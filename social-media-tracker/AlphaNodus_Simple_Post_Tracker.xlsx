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  <sheet name="Who Engaged" sheetId="2" state="visible" r:id="rId4"/>
    <sheet name="Target &amp; Team Lists" sheetId="3" state="visible" r:id="rId5"/>
  </sheets>
  <definedNames>
    <definedName function="false" hidden="true" localSheetId="0" name="_xlnm._FilterDatabase" vbProcedure="false">'Post Tracker'!$A$15:$AA$215</definedName>
    <definedName function="false" hidden="true" localSheetId="1" name="_xlnm._FilterDatabase" vbProcedure="false">'Who Engaged'!$A$4:$P$1004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Short unique ID, e.g. li-261002 (add -story / -reel if you post twice that day). Links this post to the Who Engaged sheet and goes into the tracking URL.</t>
        </r>
      </text>
    </comment>
    <comment ref="D15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F15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H15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I15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N15" authorId="0">
      <text>
        <r>
          <rPr>
            <sz val="10"/>
            <rFont val="Arial"/>
            <family val="2"/>
          </rPr>
          <t xml:space="preserve">All clicks on the post. LinkedIn: 'Clicks'. X: detail expands + profile visits + link clicks. Instagram: profile visits + link taps.</t>
        </r>
      </text>
    </comment>
    <comment ref="O15" authorId="0">
      <text>
        <r>
          <rPr>
            <sz val="10"/>
            <rFont val="Arial"/>
            <family val="2"/>
          </rPr>
          <t xml:space="preserve">Instagram &amp; X: follows credited to the post. LinkedIn doesn't credit follows to posts, so use followers gained on the post day + the next 2 days.</t>
        </r>
      </text>
    </comment>
    <comment ref="P15" authorId="0">
      <text>
        <r>
          <rPr>
            <sz val="10"/>
            <rFont val="Arial"/>
            <family val="2"/>
          </rPr>
          <t xml:space="preserve">Likes + Comments + Shares + Saves + Clicks, as the platform reports them.</t>
        </r>
      </text>
    </comment>
    <comment ref="Q15" authorId="0">
      <text>
        <r>
          <rPr>
            <sz val="10"/>
            <rFont val="Arial"/>
            <family val="2"/>
          </rPr>
          <t xml:space="preserve">Likes, comments, shares and saves by Alpha Nodus staff, counted from the Who Engaged sheet. These don't count as real engagement.</t>
        </r>
      </text>
    </comment>
    <comment ref="R15" authorId="0">
      <text>
        <r>
          <rPr>
            <sz val="10"/>
            <rFont val="Arial"/>
            <family val="2"/>
          </rPr>
          <t xml:space="preserve">Total Engagement minus our team's engagement.</t>
        </r>
      </text>
    </comment>
    <comment ref="S15" authorId="0">
      <text>
        <r>
          <rPr>
            <sz val="10"/>
            <rFont val="Arial"/>
            <family val="2"/>
          </rPr>
          <t xml:space="preserve">Real Engagement ÷ Impressions/Views (or Reach if views are missing). Only if no post on that platform has either yet: ÷ followers in the box above.</t>
        </r>
      </text>
    </comment>
    <comment ref="T15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U15" authorId="0">
      <text>
        <r>
          <rPr>
            <sz val="10"/>
            <rFont val="Arial"/>
            <family val="2"/>
          </rPr>
          <t xml:space="preserve">People from our target list who liked, commented, shared or saved this post (from the Who Engaged sheet).</t>
        </r>
      </text>
    </comment>
    <comment ref="V15" authorId="0">
      <text>
        <r>
          <rPr>
            <sz val="10"/>
            <rFont val="Arial"/>
            <family val="2"/>
          </rPr>
          <t xml:space="preserve">People from our target list who followed us because of this post (from the Who Engaged sheet).</t>
        </r>
      </text>
    </comment>
    <comment ref="W15" authorId="0">
      <text>
        <r>
          <rPr>
            <sz val="10"/>
            <rFont val="Arial"/>
            <family val="2"/>
          </rPr>
          <t xml:space="preserve">Name – company of each target-list person who engaged with or followed us from this post.</t>
        </r>
      </text>
    </comment>
    <comment ref="Y15" authorId="0">
      <text>
        <r>
          <rPr>
            <sz val="10"/>
            <rFont val="Arial"/>
            <family val="2"/>
          </rPr>
          <t xml:space="preserve">What to do next time, with the number from our own September data that supports it.</t>
        </r>
      </text>
    </comment>
    <comment ref="AA15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<sst xmlns="http://schemas.openxmlformats.org/spreadsheetml/2006/main" count="239" uniqueCount="175">
  <si>
    <t xml:space="preserve">Alpha Nodus — Social Post Tracker</t>
  </si>
  <si>
    <t xml:space="preserve">One row per post. Fill the yellow cells; grey cells calculate themselves. Check numbers 7 days after posting, then read the Rating and pick the Next Action. Blue = real numbers from each platform's analytics (September 2026).</t>
  </si>
  <si>
    <t xml:space="preserve">Platform</t>
  </si>
  <si>
    <t xml:space="preserve">Followers Today</t>
  </si>
  <si>
    <t xml:space="preserve">Posts</t>
  </si>
  <si>
    <t xml:space="preserve">Impressions / Views</t>
  </si>
  <si>
    <t xml:space="preserve">Real Engagement</t>
  </si>
  <si>
    <t xml:space="preserve">Avg Engagement Rate</t>
  </si>
  <si>
    <t xml:space="preserve">Clicks</t>
  </si>
  <si>
    <t xml:space="preserve">New Followers</t>
  </si>
  <si>
    <t xml:space="preserve">Good Posts</t>
  </si>
  <si>
    <t xml:space="preserve">Below Standard Posts</t>
  </si>
  <si>
    <t xml:space="preserve">Target Accounts Engaged</t>
  </si>
  <si>
    <t xml:space="preserve">Target Accounts Followed</t>
  </si>
  <si>
    <t xml:space="preserve">How the Rating works</t>
  </si>
  <si>
    <t xml:space="preserve">LinkedIn</t>
  </si>
  <si>
    <t xml:space="preserve">Good = engagement rate at least 1.2× our average for that platform</t>
  </si>
  <si>
    <t xml:space="preserve">Instagram</t>
  </si>
  <si>
    <t xml:space="preserve">Average = between 0.8× and 1.2× our average</t>
  </si>
  <si>
    <t xml:space="preserve">X</t>
  </si>
  <si>
    <t xml:space="preserve">Below Standard = under 0.8× our average</t>
  </si>
  <si>
    <t xml:space="preserve">All platforms</t>
  </si>
  <si>
    <t xml:space="preserve">No Data Yet = numbers not entered, or fewer than 2 posts on that platform</t>
  </si>
  <si>
    <t xml:space="preserve">Followers Today: update every Monday. No founder or team LinkedIn posts in September. Target / team columns fill in from the 'Who Engaged' sheet.</t>
  </si>
  <si>
    <t xml:space="preserve">Engagement Rate = real engagement (likes + comments + shares + saves + clicks, minus our own team's) ÷ impressions / views</t>
  </si>
  <si>
    <t xml:space="preserve">Why our own average: each platform behaves differently, and it improves as we post more.</t>
  </si>
  <si>
    <t xml:space="preserve">Website &amp; demos — September 2026</t>
  </si>
  <si>
    <t xml:space="preserve">Website visits from social media: 12 of 7,424 site visits (0.16%)  ·  1.6 sec average time on site  (Google Analytics → Acquisition → Traffic acquisition → Organic Social)</t>
  </si>
  <si>
    <t xml:space="preserve">Demos booked: 1 in September — where it came from wasn't recorded, so it can't be credited to any post. From October, log the source of every demo.</t>
  </si>
  <si>
    <t xml:space="preserve">Date</t>
  </si>
  <si>
    <t xml:space="preserve">Post ID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</si>
  <si>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</si>
  <si>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</si>
  <si>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</si>
  <si>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</si>
  <si>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</si>
  <si>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</si>
  <si>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</si>
  <si>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</si>
  <si>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</si>
  <si>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</si>
  <si>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Total Engagement (all)</t>
  </si>
  <si>
    <t xml:space="preserve">Our Team's Engagement (removed)</t>
  </si>
  <si>
    <t xml:space="preserve">Real Engagement (excl. our team)</t>
  </si>
  <si>
    <t xml:space="preserve">Engagement Rate</t>
  </si>
  <si>
    <t xml:space="preserve">Rating</t>
  </si>
  <si>
    <t xml:space="preserve">Who (from our target list)</t>
  </si>
  <si>
    <t xml:space="preserve">What Was Weak</t>
  </si>
  <si>
    <t xml:space="preserve">Suggestion — and the data behind it</t>
  </si>
  <si>
    <t xml:space="preserve">Next Action</t>
  </si>
  <si>
    <t xml:space="preserve">Tracking URL (use this link in the post)</t>
  </si>
  <si>
    <t xml:space="preserve">li-260911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</si>
  <si>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</si>
  <si>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</si>
  <si>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</si>
  <si>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https://www.linkedin.com/feed/update/urn:li:activity:7504198831056764928</t>
  </si>
  <si>
    <t xml:space="preserve">Most seen (413) and most clicked (24) post of the month, but 0 comments, and only 198 of 413 people started the video.</t>
  </si>
  <si>
    <t xml:space="preserve">Cut a 30–45 sec version with captions. Data: most seen (413) and most clicked (24) LinkedIn post, but only 198 of 413 people started the video — and on X the same video was watched for 2–14 sec on average; nobody finished it.</t>
  </si>
  <si>
    <t xml:space="preserve">Improve &amp; Retry</t>
  </si>
  <si>
    <t xml:space="preserve">li-260914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</si>
  <si>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</si>
  <si>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</si>
  <si>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</si>
  <si>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https://www.linkedin.com/feed/update/urn:li:activity:7505309133571686400</t>
  </si>
  <si>
    <t xml:space="preserve">Most likes of the month (16) but 0 comments: nobody used the 'comment GravityAI' ask. Very long text.</t>
  </si>
  <si>
    <t xml:space="preserve">Open with a number again. Data: 16 likes — the most on LinkedIn — and 10.6% engagement vs our 10.1% LinkedIn average. Drop 'comment GravityAI': it got 0 comments here, on Instagram and on X.</t>
  </si>
  <si>
    <t xml:space="preserve">Repeat</t>
  </si>
  <si>
    <t xml:space="preserve">li-260918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</si>
  <si>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</si>
  <si>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</si>
  <si>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</si>
  <si>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https://www.linkedin.com/feed/update/urn:li:activity:7506754588167806979</t>
  </si>
  <si>
    <t xml:space="preserve">Best engagement rate and best click rate (8.3%), but the fewest impressions (217) — the billing topic reached fewer people.</t>
  </si>
  <si>
    <t xml:space="preserve">Keep the short story + question format; write line 1 for center owners. Data: best LinkedIn engagement (11.5%) and click rate (8.3%), but the fewest impressions (217) — the billing-team angle reached fewer people.</t>
  </si>
  <si>
    <t xml:space="preserve">li-260923</t>
  </si>
  <si>
    <t xml:space="preserve">Post: an imaging order passes 4 manual handoffs before it's billable</t>
  </si>
  <si>
    <t xml:space="preserve">https://www.linkedin.com/feed/update/urn:li:activity:7508663072018939904</t>
  </si>
  <si>
    <t xml:space="preserve">Lowest engagement rate of the month and no reposts. Second billing post in 5 days; demo link hidden in the comments.</t>
  </si>
  <si>
    <t xml:space="preserve">Space billing topics 2 weeks apart. Data: posted 5 days after Sep 18's billing post, it hit 9.0% — lowest on LinkedIn — and the same story got the fewest views of any Instagram feed post (88) and of any X post (13).</t>
  </si>
  <si>
    <t xml:space="preserve">li-260928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</si>
  <si>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</si>
  <si>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</si>
  <si>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</si>
  <si>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Posted after the LinkedIn export ended (Sep 26), so there are no impressions yet.</t>
  </si>
  <si>
    <t xml:space="preserve">Re-check on Oct 5 and post the results. Data: 5 LinkedIn posts drew only 3 comments all month — a one-click poll is the test of whether people will answer at all.</t>
  </si>
  <si>
    <t xml:space="preserve">Wait for Data</t>
  </si>
  <si>
    <t xml:space="preserve">ig-260911-reel</t>
  </si>
  <si>
    <t xml:space="preserve">Reel: 3-min Gravity AI explainer video</t>
  </si>
  <si>
    <t xml:space="preserve">https://www.instagram.com/alphanodus/reel/DdJxFt3t07x/</t>
  </si>
  <si>
    <t xml:space="preserve">Low engagement rate (8 interactions on 224 views), no comments, no profile visits. But it's the only Instagram post reaching new people: 86% of views were non-followers.</t>
  </si>
  <si>
    <t xml:space="preserve">Keep making Reels, 20–30 sec. Data: 86% of its 224 views came from non-followers — the only Instagram content reaching new people (stories were 96% existing followers).</t>
  </si>
  <si>
    <t xml:space="preserve">ig-260914</t>
  </si>
  <si>
    <t xml:space="preserve">Image: 'Scanners idle a third of the day, next slot 3 weeks out'</t>
  </si>
  <si>
    <t xml:space="preserve">https://www.instagram.com/alphanodus/p/DdRoAPjkqqy/</t>
  </si>
  <si>
    <t xml:space="preserve">Most likes of any post (8) but 0 comments, saves or shares. 3 in 4 views came from existing followers. The 'comment GravityAI' ask got nothing.</t>
  </si>
  <si>
    <t xml:space="preserve">Keep the stat visual, cut the caption to 3–4 lines. Data: most likes of any Instagram feed post (8) but 0 comments, saves or shares; the 'comment GravityAI' ask got 0 on all 3 platforms.</t>
  </si>
  <si>
    <t xml:space="preserve">ig-260918</t>
  </si>
  <si>
    <t xml:space="preserve">Carousel: an order arrives with one field missing</t>
  </si>
  <si>
    <t xml:space="preserve">https://www.instagram.com/alphanodus/p/DdcD_2JkjH0/</t>
  </si>
  <si>
    <t xml:space="preserve">Most profile visits of any post (5) but 0 comments, even though it ended with a question — the question was only in the caption.</t>
  </si>
  <si>
    <t xml:space="preserve">Put the question on the last slide with 2–3 answer options. Data: 5 profile visits — the most of any Instagram feed post — but 0 comments, because the question was only in the caption.</t>
  </si>
  <si>
    <t xml:space="preserve">ig-260918-story</t>
  </si>
  <si>
    <t xml:space="preserve">Story: 'Wanna see Gravity in action?' question box + website link (shares the carousel)</t>
  </si>
  <si>
    <t xml:space="preserve">https://www.instagram.com/alphanodus/</t>
  </si>
  <si>
    <t xml:space="preserve">Nobody typed an answer in the question box, and 11 of 54 views exited here. 2 likes, 1 link click, 1 profile visit.</t>
  </si>
  <si>
    <t xml:space="preserve">Replace the type-in question box with a 'Book a demo' link sticker. Data: 0 typed answers and 11 of 54 viewers exited; stories with links got the month's only 3 story link clicks.</t>
  </si>
  <si>
    <t xml:space="preserve">ig-260923</t>
  </si>
  <si>
    <t xml:space="preserve">Image: 4 manual handoffs before an order is billable</t>
  </si>
  <si>
    <t xml:space="preserve">https://www.instagram.com/alphanodus/p/DdpdTFWN9JR/</t>
  </si>
  <si>
    <t xml:space="preserve">Fewest views of any Instagram feed post (88) and only 2 likes. Text-heavy single image; second billing post in 5 days.</t>
  </si>
  <si>
    <t xml:space="preserve">Use a carousel or Reel for process stories, not one text-heavy image. Data: 88 views vs 183 for the Sep 18 carousel and 224 for the Reel.</t>
  </si>
  <si>
    <t xml:space="preserve">ig-260923-story</t>
  </si>
  <si>
    <t xml:space="preserve">Story series (4 frames): fax poll → handoffs poll → 'Gravity watches' → Book a demo + link</t>
  </si>
  <si>
    <t xml:space="preserve">Best Instagram result for the website: the 'Book a demo' frame got 2 link clicks and the series got 5 profile visits. But 0 votes on both polls, viewers fell from 38 to 29 across the frames, and 96% were existing followers.</t>
  </si>
  <si>
    <t xml:space="preserve">Repeat the Book-a-demo frame, cut to 2 frames, skip polls. Data: best Instagram engagement (11.3%); the demo frame got 2 of the month's 3 story link clicks; viewers fell 38 → 29 over 4 frames; 0 poll votes.</t>
  </si>
  <si>
    <t xml:space="preserve">x-260911</t>
  </si>
  <si>
    <t xml:space="preserve">Video: 3-min Gravity AI explainer + demo link</t>
  </si>
  <si>
    <t xml:space="preserve">https://x.com/AlphaNodus/status/2098433794022006872</t>
  </si>
  <si>
    <t xml:space="preserve">Only 6 video views all month and nobody watched to the end (average watch 2–14 sec). No likes, replies or link clicks — the 5 engagements were 4 'show more' taps + 1 profile visit.</t>
  </si>
  <si>
    <t xml:space="preserve">Post a 20–30 sec clip, not the full video. Data: X's best post (27 impressions), but only 6 video views all month, 2–14 sec average watch, 0 finished.</t>
  </si>
  <si>
    <t xml:space="preserve">x-260914</t>
  </si>
  <si>
    <t xml:space="preserve">Image: 'Scanners idle a third of the day' + comment GravityAI ask</t>
  </si>
  <si>
    <t xml:space="preserve">https://x.com/AlphaNodus/status/2099545479755583973</t>
  </si>
  <si>
    <t xml:space="preserve">16 impressions and only 1 'show more' tap. Nobody replied to the 'comment GravityAI' ask.</t>
  </si>
  <si>
    <t xml:space="preserve">Tag 1–2 industry accounts so it's seen beyond our 46 followers. Data: 16 impressions, 1 tap, 0 likes.</t>
  </si>
  <si>
    <t xml:space="preserve">x-260918</t>
  </si>
  <si>
    <t xml:space="preserve">3-tweet thread: an order with one field missing — when is it flagged?</t>
  </si>
  <si>
    <t xml:space="preserve">https://x.com/AlphaNodus/status/2101017252221128863</t>
  </si>
  <si>
    <t xml:space="preserve">Only 1 'show more' tap. The '1 reply' X shows is our own next tweet in the thread, not a customer. The question sat in tweet 3, which only 3 people saw.</t>
  </si>
  <si>
    <t xml:space="preserve">Put the question in tweet 1. Data: tweet 1 got 26 impressions; tweet 3 — the one with the question — got 3.</t>
  </si>
  <si>
    <t xml:space="preserve">x-260923</t>
  </si>
  <si>
    <t xml:space="preserve">2-tweet thread: 4 manual handoffs before an order is billable (pinned)</t>
  </si>
  <si>
    <t xml:space="preserve">https://x.com/AlphaNodus/status/2102915695722045558</t>
  </si>
  <si>
    <t xml:space="preserve">Rated Good only because 2 of 13 viewers tapped 'show more' — too few views to mean much. The '1 reply' is our own thread tweet. No likes or replies from others.</t>
  </si>
  <si>
    <t xml:space="preserve">Grow to 50 followers (4 to go) to unlock X analytics; ask the team to repost. Data: 13 impressions, lowest of the month — its 'Good' rating is just 2 taps.</t>
  </si>
  <si>
    <t xml:space="preserve">Who Engaged — one row per person per post</t>
  </si>
  <si>
    <t xml:space="preserve">Copy names from each post's likes / comments / reposts list and from new-follower lists. Put 1 under each thing they did. 'Our Team?' and 'On Target List?' fill in automatically from the Target &amp; Team Lists sheet. Leave Post ID blank for a follow you can't tie to a post.</t>
  </si>
  <si>
    <t xml:space="preserve">Post ID (from Post Tracker)</t>
  </si>
  <si>
    <t xml:space="preserve">Person's Name</t>
  </si>
  <si>
    <t xml:space="preserve">Title / Role</t>
  </si>
  <si>
    <t xml:space="preserve">Company</t>
  </si>
  <si>
    <t xml:space="preserve">Profile Link</t>
  </si>
  <si>
    <t xml:space="preserve">Liked</t>
  </si>
  <si>
    <t xml:space="preserve">Commented</t>
  </si>
  <si>
    <t xml:space="preserve">Shared / Reposted</t>
  </si>
  <si>
    <t xml:space="preserve">Saved</t>
  </si>
  <si>
    <t xml:space="preserve">Followed Us</t>
  </si>
  <si>
    <t xml:space="preserve">Engaged?</t>
  </si>
  <si>
    <t xml:space="preserve">Our Team?</t>
  </si>
  <si>
    <t xml:space="preserve">On Target List?</t>
  </si>
  <si>
    <t xml:space="preserve">Notes</t>
  </si>
  <si>
    <t xml:space="preserve">EXAMPLE</t>
  </si>
  <si>
    <t xml:space="preserve">EXAMPLE – Jane Doe</t>
  </si>
  <si>
    <t xml:space="preserve">Owner</t>
  </si>
  <si>
    <t xml:space="preserve">EXAMPLE Imaging Center</t>
  </si>
  <si>
    <t xml:space="preserve">Example row — delete. Post ID 'EXAMPLE' matches no post, so it isn't counted.</t>
  </si>
  <si>
    <t xml:space="preserve">Target &amp; Team Lists</t>
  </si>
  <si>
    <t xml:space="preserve">Target list: type each company exactly as it appears on LinkedIn. A person counts as 'target' if their company or their name is here. Team list: anyone here — or anyone whose company contains 'Alpha Nodus' — is our team.</t>
  </si>
  <si>
    <t xml:space="preserve">TARGET LIST (imaging &amp; radiology centers)</t>
  </si>
  <si>
    <t xml:space="preserve">OUR TEAM (their engagement is not counted)</t>
  </si>
  <si>
    <t xml:space="preserve">Website</t>
  </si>
  <si>
    <t xml:space="preserve">City</t>
  </si>
  <si>
    <t xml:space="preserve">State</t>
  </si>
  <si>
    <t xml:space="preserve">Key Contact Name</t>
  </si>
  <si>
    <t xml:space="preserve">Title</t>
  </si>
  <si>
    <t xml:space="preserve">LinkedIn URL</t>
  </si>
  <si>
    <t xml:space="preserve">Team Member Name</t>
  </si>
  <si>
    <t xml:space="preserve">Role</t>
  </si>
  <si>
    <t xml:space="preserve">Profile / Handle</t>
  </si>
  <si>
    <t xml:space="preserve">example.com</t>
  </si>
  <si>
    <t xml:space="preserve">Austin</t>
  </si>
  <si>
    <t xml:space="preserve">TX</t>
  </si>
  <si>
    <t xml:space="preserve">Example row — delete when you paste your list.</t>
  </si>
  <si>
    <t xml:space="preserve">Tushant Suneja</t>
  </si>
  <si>
    <t xml:space="preserve">Posts company-page content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</si>
</sst>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mm/dd/yyyy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  <font>
      <i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7F7F7F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A21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2" min="11" style="0" width="9"/>
    <col collapsed="false" customWidth="true" hidden="false" outlineLevel="0" max="14" min="13" style="0" width="7"/>
    <col collapsed="false" customWidth="true" hidden="false" outlineLevel="0" max="16" min="15" style="0" width="10"/>
    <col collapsed="false" customWidth="true" hidden="false" outlineLevel="0" max="18" min="17" style="0" width="11"/>
    <col collapsed="false" customWidth="true" hidden="false" outlineLevel="0" max="19" min="19" style="0" width="10"/>
    <col collapsed="false" customWidth="true" hidden="false" outlineLevel="0" max="20" min="20" style="0" width="14"/>
    <col collapsed="false" customWidth="true" hidden="false" outlineLevel="0" max="22" min="21" style="0" width="10"/>
    <col collapsed="false" customWidth="true" hidden="false" outlineLevel="0" max="23" min="23" style="0" width="34"/>
    <col collapsed="false" customWidth="true" hidden="false" outlineLevel="0" max="24" min="24" style="0" width="40"/>
    <col collapsed="false" customWidth="true" hidden="false" outlineLevel="0" max="25" min="25" style="0" width="52"/>
    <col collapsed="false" customWidth="true" hidden="false" outlineLevel="0" max="26" min="26" style="0" width="14"/>
    <col collapsed="false" customWidth="true" hidden="false" outlineLevel="0" max="27" min="27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N4" s="4" t="s">
        <v>14</v>
      </c>
    </row>
    <row r="5" customFormat="false" ht="15" hidden="false" customHeight="false" outlineLevel="0" collapsed="false">
      <c r="A5" s="5" t="s">
        <v>15</v>
      </c>
      <c r="B5" s="6" t="n">
        <v>2640</v>
      </c>
      <c r="C5" s="7" t="n">
        <f aca="false">COUNTIF($B$16:$B$215,A5)</f>
        <v>5</v>
      </c>
      <c r="D5" s="7" t="n">
        <f aca="false">SUMIF($B$16:$B$215,A5,$H$16:$H$215)</f>
        <v>1186</v>
      </c>
      <c r="E5" s="7" t="n">
        <f aca="false">SUMIF($B$16:$B$215,A5,$R$16:$R$215)</f>
        <v>121</v>
      </c>
      <c r="F5" s="8" t="n">
        <f aca="false">IFERROR(AVERAGEIF($B$16:$B$215,A5,$S$16:$S$215),"")</f>
        <v>0.101243004465839</v>
      </c>
      <c r="G5" s="7" t="n">
        <f aca="false">SUMIF($B$16:$B$215,A5,$N$16:$N$215)</f>
        <v>75</v>
      </c>
      <c r="H5" s="7" t="n">
        <f aca="false">SUMIF($B$16:$B$215,A5,$O$16:$O$215)</f>
        <v>10</v>
      </c>
      <c r="I5" s="7" t="n">
        <f aca="false">COUNTIFS($B$16:$B$215,A5,$T$16:$T$215,"Good")</f>
        <v>0</v>
      </c>
      <c r="J5" s="7" t="n">
        <f aca="false">COUNTIFS($B$16:$B$215,A5,$T$16:$T$215,"Below Standard")</f>
        <v>0</v>
      </c>
      <c r="K5" s="7" t="n">
        <f aca="false">SUMIF($B$16:$B$215,A5,$U$16:$U$215)</f>
        <v>0</v>
      </c>
      <c r="L5" s="7" t="n">
        <f aca="false">SUMIF($B$16:$B$215,A5,$V$16:$V$215)</f>
        <v>0</v>
      </c>
      <c r="N5" s="9" t="s">
        <v>16</v>
      </c>
    </row>
    <row r="6" customFormat="false" ht="15" hidden="false" customHeight="false" outlineLevel="0" collapsed="false">
      <c r="A6" s="5" t="s">
        <v>17</v>
      </c>
      <c r="B6" s="6" t="n">
        <v>61</v>
      </c>
      <c r="C6" s="7" t="n">
        <f aca="false">COUNTIF($B$16:$B$215,A6)</f>
        <v>6</v>
      </c>
      <c r="D6" s="7" t="n">
        <f aca="false">SUMIF($B$16:$B$215,A6,$H$16:$H$215)</f>
        <v>768</v>
      </c>
      <c r="E6" s="7" t="n">
        <f aca="false">SUMIF($B$16:$B$215,A6,$R$16:$R$215)</f>
        <v>44</v>
      </c>
      <c r="F6" s="8" t="n">
        <f aca="false">IFERROR(AVERAGEIF($B$16:$B$215,A6,$S$16:$S$215),"")</f>
        <v>0.0651741237175819</v>
      </c>
      <c r="G6" s="7" t="n">
        <f aca="false">SUMIF($B$16:$B$215,A6,$N$16:$N$215)</f>
        <v>17</v>
      </c>
      <c r="H6" s="7" t="n">
        <f aca="false">SUMIF($B$16:$B$215,A6,$O$16:$O$215)</f>
        <v>0</v>
      </c>
      <c r="I6" s="7" t="n">
        <f aca="false">COUNTIFS($B$16:$B$215,A6,$T$16:$T$215,"Good")</f>
        <v>1</v>
      </c>
      <c r="J6" s="7" t="n">
        <f aca="false">COUNTIFS($B$16:$B$215,A6,$T$16:$T$215,"Below Standard")</f>
        <v>2</v>
      </c>
      <c r="K6" s="7" t="n">
        <f aca="false">SUMIF($B$16:$B$215,A6,$U$16:$U$215)</f>
        <v>0</v>
      </c>
      <c r="L6" s="7" t="n">
        <f aca="false">SUMIF($B$16:$B$215,A6,$V$16:$V$215)</f>
        <v>0</v>
      </c>
      <c r="N6" s="9" t="s">
        <v>18</v>
      </c>
    </row>
    <row r="7" customFormat="false" ht="15" hidden="false" customHeight="false" outlineLevel="0" collapsed="false">
      <c r="A7" s="5" t="s">
        <v>19</v>
      </c>
      <c r="B7" s="6" t="n">
        <v>46</v>
      </c>
      <c r="C7" s="7" t="n">
        <f aca="false">COUNTIF($B$16:$B$215,A7)</f>
        <v>4</v>
      </c>
      <c r="D7" s="7" t="n">
        <f aca="false">SUMIF($B$16:$B$215,A7,$H$16:$H$215)</f>
        <v>82</v>
      </c>
      <c r="E7" s="7" t="n">
        <f aca="false">SUMIF($B$16:$B$215,A7,$R$16:$R$215)</f>
        <v>9</v>
      </c>
      <c r="F7" s="8" t="n">
        <f aca="false">IFERROR(AVERAGEIF($B$16:$B$215,A7,$S$16:$S$215),"")</f>
        <v>0.109998219373219</v>
      </c>
      <c r="G7" s="7" t="n">
        <f aca="false">SUMIF($B$16:$B$215,A7,$N$16:$N$215)</f>
        <v>9</v>
      </c>
      <c r="H7" s="7" t="n">
        <f aca="false">SUMIF($B$16:$B$215,A7,$O$16:$O$215)</f>
        <v>0</v>
      </c>
      <c r="I7" s="7" t="n">
        <f aca="false">COUNTIFS($B$16:$B$215,A7,$T$16:$T$215,"Good")</f>
        <v>2</v>
      </c>
      <c r="J7" s="7" t="n">
        <f aca="false">COUNTIFS($B$16:$B$215,A7,$T$16:$T$215,"Below Standard")</f>
        <v>2</v>
      </c>
      <c r="K7" s="7" t="n">
        <f aca="false">SUMIF($B$16:$B$215,A7,$U$16:$U$215)</f>
        <v>0</v>
      </c>
      <c r="L7" s="7" t="n">
        <f aca="false">SUMIF($B$16:$B$215,A7,$V$16:$V$215)</f>
        <v>0</v>
      </c>
      <c r="N7" s="9" t="s">
        <v>20</v>
      </c>
    </row>
    <row r="8" customFormat="false" ht="15" hidden="false" customHeight="false" outlineLevel="0" collapsed="false">
      <c r="A8" s="10" t="s">
        <v>21</v>
      </c>
      <c r="B8" s="11" t="n">
        <f aca="false">SUM(B5:B7)</f>
        <v>2747</v>
      </c>
      <c r="C8" s="11" t="n">
        <f aca="false">SUM(C5:C7)</f>
        <v>15</v>
      </c>
      <c r="D8" s="11" t="n">
        <f aca="false">SUM(D5:D7)</f>
        <v>2036</v>
      </c>
      <c r="E8" s="11" t="n">
        <f aca="false">SUM(E5:E7)</f>
        <v>174</v>
      </c>
      <c r="F8" s="12" t="n">
        <f aca="false">IFERROR(AVERAGE($S$16:$S$215),"")</f>
        <v>0.0882864026901233</v>
      </c>
      <c r="G8" s="11" t="n">
        <f aca="false">SUM(G5:G7)</f>
        <v>101</v>
      </c>
      <c r="H8" s="11" t="n">
        <f aca="false">SUM(H5:H7)</f>
        <v>10</v>
      </c>
      <c r="I8" s="11" t="n">
        <f aca="false">SUM(I5:I7)</f>
        <v>3</v>
      </c>
      <c r="J8" s="11" t="n">
        <f aca="false">SUM(J5:J7)</f>
        <v>4</v>
      </c>
      <c r="K8" s="11" t="n">
        <f aca="false">SUM(K5:K7)</f>
        <v>0</v>
      </c>
      <c r="L8" s="11" t="n">
        <f aca="false">SUM(L5:L7)</f>
        <v>0</v>
      </c>
      <c r="N8" s="9" t="s">
        <v>22</v>
      </c>
    </row>
    <row r="9" customFormat="false" ht="15" hidden="false" customHeight="false" outlineLevel="0" collapsed="false">
      <c r="A9" s="13" t="s">
        <v>23</v>
      </c>
      <c r="N9" s="9" t="s">
        <v>24</v>
      </c>
    </row>
    <row r="10" customFormat="false" ht="15" hidden="false" customHeight="false" outlineLevel="0" collapsed="false">
      <c r="N10" s="9" t="s">
        <v>25</v>
      </c>
    </row>
    <row r="11" customFormat="false" ht="15" hidden="false" customHeight="false" outlineLevel="0" collapsed="false">
      <c r="A11" s="14" t="s">
        <v>26</v>
      </c>
    </row>
    <row r="12" customFormat="false" ht="15" hidden="false" customHeight="false" outlineLevel="0" collapsed="false">
      <c r="A12" s="15" t="s">
        <v>27</v>
      </c>
    </row>
    <row r="13" customFormat="false" ht="15" hidden="false" customHeight="false" outlineLevel="0" collapsed="false">
      <c r="A13" s="15" t="s">
        <v>28</v>
      </c>
    </row>
    <row r="15" customFormat="false" ht="42" hidden="false" customHeight="true" outlineLevel="0" collapsed="false">
      <c r="A15" s="3" t="s">
        <v>29</v>
      </c>
      <c r="B15" s="3" t="s">
        <v>2</v>
      </c>
      <c r="C15" s="3" t="s">
        <v>30</v>
      </c>
      <c r="D15" s="3" t="s">
        <v>31</v>
      </c>
      <c r="E15" s="3" t="s">
        <v>32</v>
      </c>
      <c r="F15" s="3" t="s">
        <v>33</v>
      </c>
      <c r="G15" s="3" t="s">
        <v>34</v>
      </c>
      <c r="H15" s="3" t="s">
        <v>35</v>
      </c>
      <c r="I15" s="3" t="s">
        <v>36</v>
      </c>
      <c r="J15" s="3" t="s">
        <v>37</v>
      </c>
      <c r="K15" s="3" t="s">
        <v>38</v>
      </c>
      <c r="L15" s="3" t="s">
        <v>39</v>
      </c>
      <c r="M15" s="3" t="s">
        <v>40</v>
      </c>
      <c r="N15" s="3" t="s">
        <v>8</v>
      </c>
      <c r="O15" s="3" t="s">
        <v>9</v>
      </c>
      <c r="P15" s="16" t="s">
        <v>41</v>
      </c>
      <c r="Q15" s="16" t="s">
        <v>42</v>
      </c>
      <c r="R15" s="16" t="s">
        <v>43</v>
      </c>
      <c r="S15" s="16" t="s">
        <v>44</v>
      </c>
      <c r="T15" s="16" t="s">
        <v>45</v>
      </c>
      <c r="U15" s="16" t="s">
        <v>12</v>
      </c>
      <c r="V15" s="16" t="s">
        <v>13</v>
      </c>
      <c r="W15" s="16" t="s">
        <v>46</v>
      </c>
      <c r="X15" s="3" t="s">
        <v>47</v>
      </c>
      <c r="Y15" s="3" t="s">
        <v>48</v>
      </c>
      <c r="Z15" s="3" t="s">
        <v>49</v>
      </c>
      <c r="AA15" s="16" t="s">
        <v>50</v>
      </c>
    </row>
    <row r="16" customFormat="false" ht="67.5" hidden="false" customHeight="true" outlineLevel="0" collapsed="false">
      <c r="A16" s="17" t="n">
        <v>46276</v>
      </c>
      <c r="B16" s="18" t="s">
        <v>15</v>
      </c>
      <c r="C16" s="18" t="s">
        <v>51</v>
      </c>
      <c r="D16" s="19" t="s">
        <v>52</v>
      </c>
      <c r="E16" s="18" t="s">
        <v>53</v>
      </c>
      <c r="F16" s="18" t="s">
        <v>54</v>
      </c>
      <c r="G16" s="18" t="s">
        <v>55</v>
      </c>
      <c r="H16" s="20" t="n">
        <v>413</v>
      </c>
      <c r="I16" s="21"/>
      <c r="J16" s="20" t="n">
        <v>14</v>
      </c>
      <c r="K16" s="20" t="n">
        <v>0</v>
      </c>
      <c r="L16" s="20" t="n">
        <v>1</v>
      </c>
      <c r="M16" s="21"/>
      <c r="N16" s="20" t="n">
        <v>24</v>
      </c>
      <c r="O16" s="20" t="n">
        <v>0</v>
      </c>
      <c r="P16" s="22" t="n">
        <f aca="false">IF(OR(A16="",B16="",C16=""),"",IF(COUNT(J16:N16)=0,"",SUM(J16:N16)))</f>
        <v>39</v>
      </c>
      <c r="Q16" s="22" t="n">
        <f aca="false">IF(OR(A16="",B16="",C16=""),"",SUMIFS('Who Engaged'!$H$5:$H$1004,'Who Engaged'!$C$5:$C$1004,C16,'Who Engaged'!$N$5:$N$1004,"Yes")+SUMIFS('Who Engaged'!$I$5:$I$1004,'Who Engaged'!$C$5:$C$1004,C16,'Who Engaged'!$N$5:$N$1004,"Yes")+SUMIFS('Who Engaged'!$J$5:$J$1004,'Who Engaged'!$C$5:$C$1004,C16,'Who Engaged'!$N$5:$N$1004,"Yes")+SUMIFS('Who Engaged'!$K$5:$K$1004,'Who Engaged'!$C$5:$C$1004,C16,'Who Engaged'!$N$5:$N$1004,"Yes"))</f>
        <v>0</v>
      </c>
      <c r="R16" s="22" t="n">
        <f aca="false">IF(OR(OR(A16="",B16="",C16=""),P16=""),"",MAX(0,P16-N(Q16)))</f>
        <v>39</v>
      </c>
      <c r="S16" s="23" t="n">
        <f aca="false">IF(OR(OR(A16="",B16="",C16=""),R16=""),"",IFERROR(R16/(IF(N(H16)&gt;0,H16,IF(N(I16)&gt;0,I16,IF(COUNTIFS($B$16:$B$215,B16,$H$16:$H$215,"&gt;0")+COUNTIFS($B$16:$B$215,B16,$I$16:$I$215,"&gt;0")&gt;0,"",INDEX($B$5:$B$7,MATCH(B16,$A$5:$A$7,0)))))),""))</f>
        <v>0.0944309927360775</v>
      </c>
      <c r="T16" s="24" t="str">
        <f aca="false">IF(OR(A16="",B16="",C16=""),"",IF(OR(S16="",COUNTIFS($B$16:$B$215,B16,$S$16:$S$215,"&gt;=0")&lt;2),"No Data Yet",IFERROR(IF(S16/AVERAGEIFS($S$16:$S$215,$B$16:$B$215,B16)&gt;=1.2,"Good",IF(S16/AVERAGEIFS($S$16:$S$215,$B$16:$B$215,B16)&gt;=0.8,"Average","Below Standard")),"Average")))</f>
        <v>Average</v>
      </c>
      <c r="U16" s="22" t="n">
        <f aca="false">IF(OR(A16="",B16="",C16=""),"",COUNTIFS('Who Engaged'!$C$5:$C$1004,C16,'Who Engaged'!$O$5:$O$1004,"Yes",'Who Engaged'!$M$5:$M$1004,1))</f>
        <v>0</v>
      </c>
      <c r="V16" s="22" t="n">
        <f aca="false">IF(OR(A16="",B16="",C16=""),"",COUNTIFS('Who Engaged'!$C$5:$C$1004,C16,'Who Engaged'!$O$5:$O$1004,"Yes",'Who Engaged'!$L$5:$L$1004,1))</f>
        <v>0</v>
      </c>
      <c r="W16" s="25" t="str">
        <f aca="false" t="array" ref="W16:W16">IF(OR(A16="",B16="",C16=""),"",_xlfn.TEXTJOIN("; ",TRUE(),IF(('Who Engaged'!$C$5:$C$1004=C16)*('Who Engaged'!$O$5:$O$1004="Yes"),'Who Engaged'!$D$5:$D$1004&amp;" – "&amp;'Who Engaged'!$F$5:$F$1004&amp;IF('Who Engaged'!$L$5:$L$1004=1," (followed)",""),"")))</f>
        <v/>
      </c>
      <c r="X16" s="26" t="s">
        <v>56</v>
      </c>
      <c r="Y16" s="26" t="s">
        <v>57</v>
      </c>
      <c r="Z16" s="27" t="s">
        <v>58</v>
      </c>
      <c r="AA16" s="24" t="str">
        <f aca="false">IF(OR(A16="",B16="",C16=""),"","https://www.alphanodus.com/contact?utm_source="&amp;IF(B16="X","twitter",LOWER(B16))&amp;"&amp;utm_medium=social&amp;utm_campaign="&amp;IF(E16="","general",LOWER(SUBSTITUTE(SUBSTITUTE(E16," / ","-")," ","-")))&amp;"&amp;utm_content="&amp;LOWER(C16))</f>
        <v>https://www.alphanodus.com/contact?utm_source=linkedin&amp;utm_medium=social&amp;utm_campaign=product-demo&amp;utm_content=li-260911</v>
      </c>
    </row>
    <row r="17" customFormat="false" ht="67.5" hidden="false" customHeight="true" outlineLevel="0" collapsed="false">
      <c r="A17" s="17" t="n">
        <v>46279</v>
      </c>
      <c r="B17" s="18" t="s">
        <v>15</v>
      </c>
      <c r="C17" s="18" t="s">
        <v>59</v>
      </c>
      <c r="D17" s="19" t="s">
        <v>60</v>
      </c>
      <c r="E17" s="18" t="s">
        <v>61</v>
      </c>
      <c r="F17" s="18" t="s">
        <v>62</v>
      </c>
      <c r="G17" s="18" t="s">
        <v>63</v>
      </c>
      <c r="H17" s="20" t="n">
        <v>322</v>
      </c>
      <c r="I17" s="21"/>
      <c r="J17" s="20" t="n">
        <v>16</v>
      </c>
      <c r="K17" s="20" t="n">
        <v>0</v>
      </c>
      <c r="L17" s="20" t="n">
        <v>1</v>
      </c>
      <c r="M17" s="21"/>
      <c r="N17" s="20" t="n">
        <v>17</v>
      </c>
      <c r="O17" s="20" t="n">
        <v>3</v>
      </c>
      <c r="P17" s="22" t="n">
        <f aca="false">IF(OR(A17="",B17="",C17=""),"",IF(COUNT(J17:N17)=0,"",SUM(J17:N17)))</f>
        <v>34</v>
      </c>
      <c r="Q17" s="22" t="n">
        <f aca="false">IF(OR(A17="",B17="",C17=""),"",SUMIFS('Who Engaged'!$H$5:$H$1004,'Who Engaged'!$C$5:$C$1004,C17,'Who Engaged'!$N$5:$N$1004,"Yes")+SUMIFS('Who Engaged'!$I$5:$I$1004,'Who Engaged'!$C$5:$C$1004,C17,'Who Engaged'!$N$5:$N$1004,"Yes")+SUMIFS('Who Engaged'!$J$5:$J$1004,'Who Engaged'!$C$5:$C$1004,C17,'Who Engaged'!$N$5:$N$1004,"Yes")+SUMIFS('Who Engaged'!$K$5:$K$1004,'Who Engaged'!$C$5:$C$1004,C17,'Who Engaged'!$N$5:$N$1004,"Yes"))</f>
        <v>0</v>
      </c>
      <c r="R17" s="22" t="n">
        <f aca="false">IF(OR(OR(A17="",B17="",C17=""),P17=""),"",MAX(0,P17-N(Q17)))</f>
        <v>34</v>
      </c>
      <c r="S17" s="23" t="n">
        <f aca="false">IF(OR(OR(A17="",B17="",C17=""),R17=""),"",IFERROR(R17/(IF(N(H17)&gt;0,H17,IF(N(I17)&gt;0,I17,IF(COUNTIFS($B$16:$B$215,B17,$H$16:$H$215,"&gt;0")+COUNTIFS($B$16:$B$215,B17,$I$16:$I$215,"&gt;0")&gt;0,"",INDEX($B$5:$B$7,MATCH(B17,$A$5:$A$7,0)))))),""))</f>
        <v>0.105590062111801</v>
      </c>
      <c r="T17" s="24" t="str">
        <f aca="false">IF(OR(A17="",B17="",C17=""),"",IF(OR(S17="",COUNTIFS($B$16:$B$215,B17,$S$16:$S$215,"&gt;=0")&lt;2),"No Data Yet",IFERROR(IF(S17/AVERAGEIFS($S$16:$S$215,$B$16:$B$215,B17)&gt;=1.2,"Good",IF(S17/AVERAGEIFS($S$16:$S$215,$B$16:$B$215,B17)&gt;=0.8,"Average","Below Standard")),"Average")))</f>
        <v>Average</v>
      </c>
      <c r="U17" s="22" t="n">
        <f aca="false">IF(OR(A17="",B17="",C17=""),"",COUNTIFS('Who Engaged'!$C$5:$C$1004,C17,'Who Engaged'!$O$5:$O$1004,"Yes",'Who Engaged'!$M$5:$M$1004,1))</f>
        <v>0</v>
      </c>
      <c r="V17" s="22" t="n">
        <f aca="false">IF(OR(A17="",B17="",C17=""),"",COUNTIFS('Who Engaged'!$C$5:$C$1004,C17,'Who Engaged'!$O$5:$O$1004,"Yes",'Who Engaged'!$L$5:$L$1004,1))</f>
        <v>0</v>
      </c>
      <c r="W17" s="25" t="str">
        <f aca="false" t="array" ref="W17:W17">IF(OR(A17="",B17="",C17=""),"",_xlfn.TEXTJOIN("; ",TRUE(),IF(('Who Engaged'!$C$5:$C$1004=C17)*('Who Engaged'!$O$5:$O$1004="Yes"),'Who Engaged'!$D$5:$D$1004&amp;" – "&amp;'Who Engaged'!$F$5:$F$1004&amp;IF('Who Engaged'!$L$5:$L$1004=1," (followed)",""),"")))</f>
        <v/>
      </c>
      <c r="X17" s="26" t="s">
        <v>64</v>
      </c>
      <c r="Y17" s="26" t="s">
        <v>65</v>
      </c>
      <c r="Z17" s="27" t="s">
        <v>66</v>
      </c>
      <c r="AA17" s="24" t="str">
        <f aca="false">IF(OR(A17="",B17="",C17=""),"","https://www.alphanodus.com/contact?utm_source="&amp;IF(B17="X","twitter",LOWER(B17))&amp;"&amp;utm_medium=social&amp;utm_campaign="&amp;IF(E17="","general",LOWER(SUBSTITUTE(SUBSTITUTE(E17," / ","-")," ","-")))&amp;"&amp;utm_content="&amp;LOWER(C17))</f>
        <v>https://www.alphanodus.com/contact?utm_source=linkedin&amp;utm_medium=social&amp;utm_campaign=operations-tips&amp;utm_content=li-260914</v>
      </c>
    </row>
    <row r="18" customFormat="false" ht="67.5" hidden="false" customHeight="true" outlineLevel="0" collapsed="false">
      <c r="A18" s="17" t="n">
        <v>46283</v>
      </c>
      <c r="B18" s="18" t="s">
        <v>15</v>
      </c>
      <c r="C18" s="18" t="s">
        <v>67</v>
      </c>
      <c r="D18" s="19" t="s">
        <v>68</v>
      </c>
      <c r="E18" s="18" t="s">
        <v>69</v>
      </c>
      <c r="F18" s="18" t="s">
        <v>70</v>
      </c>
      <c r="G18" s="18" t="s">
        <v>71</v>
      </c>
      <c r="H18" s="20" t="n">
        <v>217</v>
      </c>
      <c r="I18" s="21"/>
      <c r="J18" s="20" t="n">
        <v>5</v>
      </c>
      <c r="K18" s="20" t="n">
        <v>1</v>
      </c>
      <c r="L18" s="20" t="n">
        <v>1</v>
      </c>
      <c r="M18" s="21"/>
      <c r="N18" s="20" t="n">
        <v>18</v>
      </c>
      <c r="O18" s="20" t="n">
        <v>1</v>
      </c>
      <c r="P18" s="22" t="n">
        <f aca="false">IF(OR(A18="",B18="",C18=""),"",IF(COUNT(J18:N18)=0,"",SUM(J18:N18)))</f>
        <v>25</v>
      </c>
      <c r="Q18" s="22" t="n">
        <f aca="false">IF(OR(A18="",B18="",C18=""),"",SUMIFS('Who Engaged'!$H$5:$H$1004,'Who Engaged'!$C$5:$C$1004,C18,'Who Engaged'!$N$5:$N$1004,"Yes")+SUMIFS('Who Engaged'!$I$5:$I$1004,'Who Engaged'!$C$5:$C$1004,C18,'Who Engaged'!$N$5:$N$1004,"Yes")+SUMIFS('Who Engaged'!$J$5:$J$1004,'Who Engaged'!$C$5:$C$1004,C18,'Who Engaged'!$N$5:$N$1004,"Yes")+SUMIFS('Who Engaged'!$K$5:$K$1004,'Who Engaged'!$C$5:$C$1004,C18,'Who Engaged'!$N$5:$N$1004,"Yes"))</f>
        <v>0</v>
      </c>
      <c r="R18" s="22" t="n">
        <f aca="false">IF(OR(OR(A18="",B18="",C18=""),P18=""),"",MAX(0,P18-N(Q18)))</f>
        <v>25</v>
      </c>
      <c r="S18" s="23" t="n">
        <f aca="false">IF(OR(OR(A18="",B18="",C18=""),R18=""),"",IFERROR(R18/(IF(N(H18)&gt;0,H18,IF(N(I18)&gt;0,I18,IF(COUNTIFS($B$16:$B$215,B18,$H$16:$H$215,"&gt;0")+COUNTIFS($B$16:$B$215,B18,$I$16:$I$215,"&gt;0")&gt;0,"",INDEX($B$5:$B$7,MATCH(B18,$A$5:$A$7,0)))))),""))</f>
        <v>0.115207373271889</v>
      </c>
      <c r="T18" s="24" t="str">
        <f aca="false">IF(OR(A18="",B18="",C18=""),"",IF(OR(S18="",COUNTIFS($B$16:$B$215,B18,$S$16:$S$215,"&gt;=0")&lt;2),"No Data Yet",IFERROR(IF(S18/AVERAGEIFS($S$16:$S$215,$B$16:$B$215,B18)&gt;=1.2,"Good",IF(S18/AVERAGEIFS($S$16:$S$215,$B$16:$B$215,B18)&gt;=0.8,"Average","Below Standard")),"Average")))</f>
        <v>Average</v>
      </c>
      <c r="U18" s="22" t="n">
        <f aca="false">IF(OR(A18="",B18="",C18=""),"",COUNTIFS('Who Engaged'!$C$5:$C$1004,C18,'Who Engaged'!$O$5:$O$1004,"Yes",'Who Engaged'!$M$5:$M$1004,1))</f>
        <v>0</v>
      </c>
      <c r="V18" s="22" t="n">
        <f aca="false">IF(OR(A18="",B18="",C18=""),"",COUNTIFS('Who Engaged'!$C$5:$C$1004,C18,'Who Engaged'!$O$5:$O$1004,"Yes",'Who Engaged'!$L$5:$L$1004,1))</f>
        <v>0</v>
      </c>
      <c r="W18" s="25" t="str">
        <f aca="false" t="array" ref="W18:W18">IF(OR(A18="",B18="",C18=""),"",_xlfn.TEXTJOIN("; ",TRUE(),IF(('Who Engaged'!$C$5:$C$1004=C18)*('Who Engaged'!$O$5:$O$1004="Yes"),'Who Engaged'!$D$5:$D$1004&amp;" – "&amp;'Who Engaged'!$F$5:$F$1004&amp;IF('Who Engaged'!$L$5:$L$1004=1," (followed)",""),"")))</f>
        <v/>
      </c>
      <c r="X18" s="26" t="s">
        <v>72</v>
      </c>
      <c r="Y18" s="26" t="s">
        <v>73</v>
      </c>
      <c r="Z18" s="27" t="s">
        <v>66</v>
      </c>
      <c r="AA18" s="24" t="str">
        <f aca="false">IF(OR(A18="",B18="",C18=""),"","https://www.alphanodus.com/contact?utm_source="&amp;IF(B18="X","twitter",LOWER(B18))&amp;"&amp;utm_medium=social&amp;utm_campaign="&amp;IF(E18="","general",LOWER(SUBSTITUTE(SUBSTITUTE(E18," / ","-")," ","-")))&amp;"&amp;utm_content="&amp;LOWER(C18))</f>
        <v>https://www.alphanodus.com/contact?utm_source=linkedin&amp;utm_medium=social&amp;utm_campaign=revenue-cycle&amp;utm_content=li-260918</v>
      </c>
    </row>
    <row r="19" customFormat="false" ht="67.5" hidden="false" customHeight="true" outlineLevel="0" collapsed="false">
      <c r="A19" s="17" t="n">
        <v>46288</v>
      </c>
      <c r="B19" s="18" t="s">
        <v>15</v>
      </c>
      <c r="C19" s="18" t="s">
        <v>74</v>
      </c>
      <c r="D19" s="19" t="s">
        <v>75</v>
      </c>
      <c r="E19" s="18" t="s">
        <v>69</v>
      </c>
      <c r="F19" s="18" t="s">
        <v>70</v>
      </c>
      <c r="G19" s="18" t="s">
        <v>76</v>
      </c>
      <c r="H19" s="20" t="n">
        <v>234</v>
      </c>
      <c r="I19" s="21"/>
      <c r="J19" s="20" t="n">
        <v>4</v>
      </c>
      <c r="K19" s="20" t="n">
        <v>1</v>
      </c>
      <c r="L19" s="20" t="n">
        <v>0</v>
      </c>
      <c r="M19" s="21"/>
      <c r="N19" s="20" t="n">
        <v>16</v>
      </c>
      <c r="O19" s="20" t="n">
        <v>6</v>
      </c>
      <c r="P19" s="22" t="n">
        <f aca="false">IF(OR(A19="",B19="",C19=""),"",IF(COUNT(J19:N19)=0,"",SUM(J19:N19)))</f>
        <v>21</v>
      </c>
      <c r="Q19" s="22" t="n">
        <f aca="false">IF(OR(A19="",B19="",C19=""),"",SUMIFS('Who Engaged'!$H$5:$H$1004,'Who Engaged'!$C$5:$C$1004,C19,'Who Engaged'!$N$5:$N$1004,"Yes")+SUMIFS('Who Engaged'!$I$5:$I$1004,'Who Engaged'!$C$5:$C$1004,C19,'Who Engaged'!$N$5:$N$1004,"Yes")+SUMIFS('Who Engaged'!$J$5:$J$1004,'Who Engaged'!$C$5:$C$1004,C19,'Who Engaged'!$N$5:$N$1004,"Yes")+SUMIFS('Who Engaged'!$K$5:$K$1004,'Who Engaged'!$C$5:$C$1004,C19,'Who Engaged'!$N$5:$N$1004,"Yes"))</f>
        <v>0</v>
      </c>
      <c r="R19" s="22" t="n">
        <f aca="false">IF(OR(OR(A19="",B19="",C19=""),P19=""),"",MAX(0,P19-N(Q19)))</f>
        <v>21</v>
      </c>
      <c r="S19" s="23" t="n">
        <f aca="false">IF(OR(OR(A19="",B19="",C19=""),R19=""),"",IFERROR(R19/(IF(N(H19)&gt;0,H19,IF(N(I19)&gt;0,I19,IF(COUNTIFS($B$16:$B$215,B19,$H$16:$H$215,"&gt;0")+COUNTIFS($B$16:$B$215,B19,$I$16:$I$215,"&gt;0")&gt;0,"",INDEX($B$5:$B$7,MATCH(B19,$A$5:$A$7,0)))))),""))</f>
        <v>0.0897435897435897</v>
      </c>
      <c r="T19" s="24" t="str">
        <f aca="false">IF(OR(A19="",B19="",C19=""),"",IF(OR(S19="",COUNTIFS($B$16:$B$215,B19,$S$16:$S$215,"&gt;=0")&lt;2),"No Data Yet",IFERROR(IF(S19/AVERAGEIFS($S$16:$S$215,$B$16:$B$215,B19)&gt;=1.2,"Good",IF(S19/AVERAGEIFS($S$16:$S$215,$B$16:$B$215,B19)&gt;=0.8,"Average","Below Standard")),"Average")))</f>
        <v>Average</v>
      </c>
      <c r="U19" s="22" t="n">
        <f aca="false">IF(OR(A19="",B19="",C19=""),"",COUNTIFS('Who Engaged'!$C$5:$C$1004,C19,'Who Engaged'!$O$5:$O$1004,"Yes",'Who Engaged'!$M$5:$M$1004,1))</f>
        <v>0</v>
      </c>
      <c r="V19" s="22" t="n">
        <f aca="false">IF(OR(A19="",B19="",C19=""),"",COUNTIFS('Who Engaged'!$C$5:$C$1004,C19,'Who Engaged'!$O$5:$O$1004,"Yes",'Who Engaged'!$L$5:$L$1004,1))</f>
        <v>0</v>
      </c>
      <c r="W19" s="25" t="str">
        <f aca="false" t="array" ref="W19:W19">IF(OR(A19="",B19="",C19=""),"",_xlfn.TEXTJOIN("; ",TRUE(),IF(('Who Engaged'!$C$5:$C$1004=C19)*('Who Engaged'!$O$5:$O$1004="Yes"),'Who Engaged'!$D$5:$D$1004&amp;" – "&amp;'Who Engaged'!$F$5:$F$1004&amp;IF('Who Engaged'!$L$5:$L$1004=1," (followed)",""),"")))</f>
        <v/>
      </c>
      <c r="X19" s="26" t="s">
        <v>77</v>
      </c>
      <c r="Y19" s="26" t="s">
        <v>78</v>
      </c>
      <c r="Z19" s="27" t="s">
        <v>58</v>
      </c>
      <c r="AA19" s="24" t="str">
        <f aca="false">IF(OR(A19="",B19="",C19=""),"","https://www.alphanodus.com/contact?utm_source="&amp;IF(B19="X","twitter",LOWER(B19))&amp;"&amp;utm_medium=social&amp;utm_campaign="&amp;IF(E19="","general",LOWER(SUBSTITUTE(SUBSTITUTE(E19," / ","-")," ","-")))&amp;"&amp;utm_content="&amp;LOWER(C19))</f>
        <v>https://www.alphanodus.com/contact?utm_source=linkedin&amp;utm_medium=social&amp;utm_campaign=revenue-cycle&amp;utm_content=li-260923</v>
      </c>
    </row>
    <row r="20" customFormat="false" ht="67.5" hidden="false" customHeight="true" outlineLevel="0" collapsed="false">
      <c r="A20" s="17" t="n">
        <v>46293</v>
      </c>
      <c r="B20" s="18" t="s">
        <v>15</v>
      </c>
      <c r="C20" s="18" t="s">
        <v>79</v>
      </c>
      <c r="D20" s="19" t="s">
        <v>80</v>
      </c>
      <c r="E20" s="18" t="s">
        <v>81</v>
      </c>
      <c r="F20" s="18" t="s">
        <v>54</v>
      </c>
      <c r="G20" s="18" t="s">
        <v>82</v>
      </c>
      <c r="H20" s="21"/>
      <c r="I20" s="21"/>
      <c r="J20" s="20" t="n">
        <v>1</v>
      </c>
      <c r="K20" s="20" t="n">
        <v>1</v>
      </c>
      <c r="L20" s="21"/>
      <c r="M20" s="21"/>
      <c r="N20" s="21"/>
      <c r="O20" s="21"/>
      <c r="P20" s="22" t="n">
        <f aca="false">IF(OR(A20="",B20="",C20=""),"",IF(COUNT(J20:N20)=0,"",SUM(J20:N20)))</f>
        <v>2</v>
      </c>
      <c r="Q20" s="22" t="n">
        <f aca="false">IF(OR(A20="",B20="",C20=""),"",SUMIFS('Who Engaged'!$H$5:$H$1004,'Who Engaged'!$C$5:$C$1004,C20,'Who Engaged'!$N$5:$N$1004,"Yes")+SUMIFS('Who Engaged'!$I$5:$I$1004,'Who Engaged'!$C$5:$C$1004,C20,'Who Engaged'!$N$5:$N$1004,"Yes")+SUMIFS('Who Engaged'!$J$5:$J$1004,'Who Engaged'!$C$5:$C$1004,C20,'Who Engaged'!$N$5:$N$1004,"Yes")+SUMIFS('Who Engaged'!$K$5:$K$1004,'Who Engaged'!$C$5:$C$1004,C20,'Who Engaged'!$N$5:$N$1004,"Yes"))</f>
        <v>0</v>
      </c>
      <c r="R20" s="22" t="n">
        <f aca="false">IF(OR(OR(A20="",B20="",C20=""),P20=""),"",MAX(0,P20-N(Q20)))</f>
        <v>2</v>
      </c>
      <c r="S20" s="23" t="str">
        <f aca="false">IF(OR(OR(A20="",B20="",C20=""),R20=""),"",IFERROR(R20/(IF(N(H20)&gt;0,H20,IF(N(I20)&gt;0,I20,IF(COUNTIFS($B$16:$B$215,B20,$H$16:$H$215,"&gt;0")+COUNTIFS($B$16:$B$215,B20,$I$16:$I$215,"&gt;0")&gt;0,"",INDEX($B$5:$B$7,MATCH(B20,$A$5:$A$7,0)))))),""))</f>
        <v/>
      </c>
      <c r="T20" s="24" t="str">
        <f aca="false">IF(OR(A20="",B20="",C20=""),"",IF(OR(S20="",COUNTIFS($B$16:$B$215,B20,$S$16:$S$215,"&gt;=0")&lt;2),"No Data Yet",IFERROR(IF(S20/AVERAGEIFS($S$16:$S$215,$B$16:$B$215,B20)&gt;=1.2,"Good",IF(S20/AVERAGEIFS($S$16:$S$215,$B$16:$B$215,B20)&gt;=0.8,"Average","Below Standard")),"Average")))</f>
        <v>No Data Yet</v>
      </c>
      <c r="U20" s="22" t="n">
        <f aca="false">IF(OR(A20="",B20="",C20=""),"",COUNTIFS('Who Engaged'!$C$5:$C$1004,C20,'Who Engaged'!$O$5:$O$1004,"Yes",'Who Engaged'!$M$5:$M$1004,1))</f>
        <v>0</v>
      </c>
      <c r="V20" s="22" t="n">
        <f aca="false">IF(OR(A20="",B20="",C20=""),"",COUNTIFS('Who Engaged'!$C$5:$C$1004,C20,'Who Engaged'!$O$5:$O$1004,"Yes",'Who Engaged'!$L$5:$L$1004,1))</f>
        <v>0</v>
      </c>
      <c r="W20" s="25" t="str">
        <f aca="false" t="array" ref="W20:W20">IF(OR(A20="",B20="",C20=""),"",_xlfn.TEXTJOIN("; ",TRUE(),IF(('Who Engaged'!$C$5:$C$1004=C20)*('Who Engaged'!$O$5:$O$1004="Yes"),'Who Engaged'!$D$5:$D$1004&amp;" – "&amp;'Who Engaged'!$F$5:$F$1004&amp;IF('Who Engaged'!$L$5:$L$1004=1," (followed)",""),"")))</f>
        <v/>
      </c>
      <c r="X20" s="26" t="s">
        <v>83</v>
      </c>
      <c r="Y20" s="26" t="s">
        <v>84</v>
      </c>
      <c r="Z20" s="27" t="s">
        <v>85</v>
      </c>
      <c r="AA20" s="24" t="str">
        <f aca="false">IF(OR(A20="",B20="",C20=""),"","https://www.alphanodus.com/contact?utm_source="&amp;IF(B20="X","twitter",LOWER(B20))&amp;"&amp;utm_medium=social&amp;utm_campaign="&amp;IF(E20="","general",LOWER(SUBSTITUTE(SUBSTITUTE(E20," / ","-")," ","-")))&amp;"&amp;utm_content="&amp;LOWER(C20))</f>
        <v>https://www.alphanodus.com/contact?utm_source=linkedin&amp;utm_medium=social&amp;utm_campaign=industry-insight&amp;utm_content=li-260928</v>
      </c>
    </row>
    <row r="21" customFormat="false" ht="67.5" hidden="false" customHeight="true" outlineLevel="0" collapsed="false">
      <c r="A21" s="17" t="n">
        <v>46276</v>
      </c>
      <c r="B21" s="18" t="s">
        <v>17</v>
      </c>
      <c r="C21" s="18" t="s">
        <v>86</v>
      </c>
      <c r="D21" s="19" t="s">
        <v>87</v>
      </c>
      <c r="E21" s="18" t="s">
        <v>53</v>
      </c>
      <c r="F21" s="18" t="s">
        <v>54</v>
      </c>
      <c r="G21" s="18" t="s">
        <v>88</v>
      </c>
      <c r="H21" s="20" t="n">
        <v>224</v>
      </c>
      <c r="I21" s="20" t="n">
        <v>158</v>
      </c>
      <c r="J21" s="20" t="n">
        <v>7</v>
      </c>
      <c r="K21" s="20" t="n">
        <v>0</v>
      </c>
      <c r="L21" s="20" t="n">
        <v>0</v>
      </c>
      <c r="M21" s="20" t="n">
        <v>1</v>
      </c>
      <c r="N21" s="20" t="n">
        <v>0</v>
      </c>
      <c r="O21" s="20" t="n">
        <v>0</v>
      </c>
      <c r="P21" s="22" t="n">
        <f aca="false">IF(OR(A21="",B21="",C21=""),"",IF(COUNT(J21:N21)=0,"",SUM(J21:N21)))</f>
        <v>8</v>
      </c>
      <c r="Q21" s="22" t="n">
        <f aca="false">IF(OR(A21="",B21="",C21=""),"",SUMIFS('Who Engaged'!$H$5:$H$1004,'Who Engaged'!$C$5:$C$1004,C21,'Who Engaged'!$N$5:$N$1004,"Yes")+SUMIFS('Who Engaged'!$I$5:$I$1004,'Who Engaged'!$C$5:$C$1004,C21,'Who Engaged'!$N$5:$N$1004,"Yes")+SUMIFS('Who Engaged'!$J$5:$J$1004,'Who Engaged'!$C$5:$C$1004,C21,'Who Engaged'!$N$5:$N$1004,"Yes")+SUMIFS('Who Engaged'!$K$5:$K$1004,'Who Engaged'!$C$5:$C$1004,C21,'Who Engaged'!$N$5:$N$1004,"Yes"))</f>
        <v>0</v>
      </c>
      <c r="R21" s="22" t="n">
        <f aca="false">IF(OR(OR(A21="",B21="",C21=""),P21=""),"",MAX(0,P21-N(Q21)))</f>
        <v>8</v>
      </c>
      <c r="S21" s="23" t="n">
        <f aca="false">IF(OR(OR(A21="",B21="",C21=""),R21=""),"",IFERROR(R21/(IF(N(H21)&gt;0,H21,IF(N(I21)&gt;0,I21,IF(COUNTIFS($B$16:$B$215,B21,$H$16:$H$215,"&gt;0")+COUNTIFS($B$16:$B$215,B21,$I$16:$I$215,"&gt;0")&gt;0,"",INDEX($B$5:$B$7,MATCH(B21,$A$5:$A$7,0)))))),""))</f>
        <v>0.0357142857142857</v>
      </c>
      <c r="T21" s="24" t="str">
        <f aca="false">IF(OR(A21="",B21="",C21=""),"",IF(OR(S21="",COUNTIFS($B$16:$B$215,B21,$S$16:$S$215,"&gt;=0")&lt;2),"No Data Yet",IFERROR(IF(S21/AVERAGEIFS($S$16:$S$215,$B$16:$B$215,B21)&gt;=1.2,"Good",IF(S21/AVERAGEIFS($S$16:$S$215,$B$16:$B$215,B21)&gt;=0.8,"Average","Below Standard")),"Average")))</f>
        <v>Below Standard</v>
      </c>
      <c r="U21" s="22" t="n">
        <f aca="false">IF(OR(A21="",B21="",C21=""),"",COUNTIFS('Who Engaged'!$C$5:$C$1004,C21,'Who Engaged'!$O$5:$O$1004,"Yes",'Who Engaged'!$M$5:$M$1004,1))</f>
        <v>0</v>
      </c>
      <c r="V21" s="22" t="n">
        <f aca="false">IF(OR(A21="",B21="",C21=""),"",COUNTIFS('Who Engaged'!$C$5:$C$1004,C21,'Who Engaged'!$O$5:$O$1004,"Yes",'Who Engaged'!$L$5:$L$1004,1))</f>
        <v>0</v>
      </c>
      <c r="W21" s="25" t="str">
        <f aca="false" t="array" ref="W21:W21">IF(OR(A21="",B21="",C21=""),"",_xlfn.TEXTJOIN("; ",TRUE(),IF(('Who Engaged'!$C$5:$C$1004=C21)*('Who Engaged'!$O$5:$O$1004="Yes"),'Who Engaged'!$D$5:$D$1004&amp;" – "&amp;'Who Engaged'!$F$5:$F$1004&amp;IF('Who Engaged'!$L$5:$L$1004=1," (followed)",""),"")))</f>
        <v/>
      </c>
      <c r="X21" s="26" t="s">
        <v>89</v>
      </c>
      <c r="Y21" s="26" t="s">
        <v>90</v>
      </c>
      <c r="Z21" s="27" t="s">
        <v>58</v>
      </c>
      <c r="AA21" s="24" t="str">
        <f aca="false">IF(OR(A21="",B21="",C21=""),"","https://www.alphanodus.com/contact?utm_source="&amp;IF(B21="X","twitter",LOWER(B21))&amp;"&amp;utm_medium=social&amp;utm_campaign="&amp;IF(E21="","general",LOWER(SUBSTITUTE(SUBSTITUTE(E21," / ","-")," ","-")))&amp;"&amp;utm_content="&amp;LOWER(C21))</f>
        <v>https://www.alphanodus.com/contact?utm_source=instagram&amp;utm_medium=social&amp;utm_campaign=product-demo&amp;utm_content=ig-260911-reel</v>
      </c>
    </row>
    <row r="22" customFormat="false" ht="67.5" hidden="false" customHeight="true" outlineLevel="0" collapsed="false">
      <c r="A22" s="17" t="n">
        <v>46279</v>
      </c>
      <c r="B22" s="18" t="s">
        <v>17</v>
      </c>
      <c r="C22" s="18" t="s">
        <v>91</v>
      </c>
      <c r="D22" s="19" t="s">
        <v>92</v>
      </c>
      <c r="E22" s="18" t="s">
        <v>61</v>
      </c>
      <c r="F22" s="18" t="s">
        <v>62</v>
      </c>
      <c r="G22" s="18" t="s">
        <v>93</v>
      </c>
      <c r="H22" s="20" t="n">
        <v>157</v>
      </c>
      <c r="I22" s="20" t="n">
        <v>53</v>
      </c>
      <c r="J22" s="20" t="n">
        <v>8</v>
      </c>
      <c r="K22" s="20" t="n">
        <v>0</v>
      </c>
      <c r="L22" s="20" t="n">
        <v>0</v>
      </c>
      <c r="M22" s="20" t="n">
        <v>0</v>
      </c>
      <c r="N22" s="20" t="n">
        <v>1</v>
      </c>
      <c r="O22" s="20" t="n">
        <v>0</v>
      </c>
      <c r="P22" s="22" t="n">
        <f aca="false">IF(OR(A22="",B22="",C22=""),"",IF(COUNT(J22:N22)=0,"",SUM(J22:N22)))</f>
        <v>9</v>
      </c>
      <c r="Q22" s="22" t="n">
        <f aca="false">IF(OR(A22="",B22="",C22=""),"",SUMIFS('Who Engaged'!$H$5:$H$1004,'Who Engaged'!$C$5:$C$1004,C22,'Who Engaged'!$N$5:$N$1004,"Yes")+SUMIFS('Who Engaged'!$I$5:$I$1004,'Who Engaged'!$C$5:$C$1004,C22,'Who Engaged'!$N$5:$N$1004,"Yes")+SUMIFS('Who Engaged'!$J$5:$J$1004,'Who Engaged'!$C$5:$C$1004,C22,'Who Engaged'!$N$5:$N$1004,"Yes")+SUMIFS('Who Engaged'!$K$5:$K$1004,'Who Engaged'!$C$5:$C$1004,C22,'Who Engaged'!$N$5:$N$1004,"Yes"))</f>
        <v>0</v>
      </c>
      <c r="R22" s="22" t="n">
        <f aca="false">IF(OR(OR(A22="",B22="",C22=""),P22=""),"",MAX(0,P22-N(Q22)))</f>
        <v>9</v>
      </c>
      <c r="S22" s="23" t="n">
        <f aca="false">IF(OR(OR(A22="",B22="",C22=""),R22=""),"",IFERROR(R22/(IF(N(H22)&gt;0,H22,IF(N(I22)&gt;0,I22,IF(COUNTIFS($B$16:$B$215,B22,$H$16:$H$215,"&gt;0")+COUNTIFS($B$16:$B$215,B22,$I$16:$I$215,"&gt;0")&gt;0,"",INDEX($B$5:$B$7,MATCH(B22,$A$5:$A$7,0)))))),""))</f>
        <v>0.0573248407643312</v>
      </c>
      <c r="T22" s="24" t="str">
        <f aca="false">IF(OR(A22="",B22="",C22=""),"",IF(OR(S22="",COUNTIFS($B$16:$B$215,B22,$S$16:$S$215,"&gt;=0")&lt;2),"No Data Yet",IFERROR(IF(S22/AVERAGEIFS($S$16:$S$215,$B$16:$B$215,B22)&gt;=1.2,"Good",IF(S22/AVERAGEIFS($S$16:$S$215,$B$16:$B$215,B22)&gt;=0.8,"Average","Below Standard")),"Average")))</f>
        <v>Average</v>
      </c>
      <c r="U22" s="22" t="n">
        <f aca="false">IF(OR(A22="",B22="",C22=""),"",COUNTIFS('Who Engaged'!$C$5:$C$1004,C22,'Who Engaged'!$O$5:$O$1004,"Yes",'Who Engaged'!$M$5:$M$1004,1))</f>
        <v>0</v>
      </c>
      <c r="V22" s="22" t="n">
        <f aca="false">IF(OR(A22="",B22="",C22=""),"",COUNTIFS('Who Engaged'!$C$5:$C$1004,C22,'Who Engaged'!$O$5:$O$1004,"Yes",'Who Engaged'!$L$5:$L$1004,1))</f>
        <v>0</v>
      </c>
      <c r="W22" s="25" t="str">
        <f aca="false" t="array" ref="W22:W22">IF(OR(A22="",B22="",C22=""),"",_xlfn.TEXTJOIN("; ",TRUE(),IF(('Who Engaged'!$C$5:$C$1004=C22)*('Who Engaged'!$O$5:$O$1004="Yes"),'Who Engaged'!$D$5:$D$1004&amp;" – "&amp;'Who Engaged'!$F$5:$F$1004&amp;IF('Who Engaged'!$L$5:$L$1004=1," (followed)",""),"")))</f>
        <v/>
      </c>
      <c r="X22" s="26" t="s">
        <v>94</v>
      </c>
      <c r="Y22" s="26" t="s">
        <v>95</v>
      </c>
      <c r="Z22" s="27" t="s">
        <v>66</v>
      </c>
      <c r="AA22" s="24" t="str">
        <f aca="false">IF(OR(A22="",B22="",C22=""),"","https://www.alphanodus.com/contact?utm_source="&amp;IF(B22="X","twitter",LOWER(B22))&amp;"&amp;utm_medium=social&amp;utm_campaign="&amp;IF(E22="","general",LOWER(SUBSTITUTE(SUBSTITUTE(E22," / ","-")," ","-")))&amp;"&amp;utm_content="&amp;LOWER(C22))</f>
        <v>https://www.alphanodus.com/contact?utm_source=instagram&amp;utm_medium=social&amp;utm_campaign=operations-tips&amp;utm_content=ig-260914</v>
      </c>
    </row>
    <row r="23" customFormat="false" ht="67.5" hidden="false" customHeight="true" outlineLevel="0" collapsed="false">
      <c r="A23" s="17" t="n">
        <v>46283</v>
      </c>
      <c r="B23" s="18" t="s">
        <v>17</v>
      </c>
      <c r="C23" s="18" t="s">
        <v>96</v>
      </c>
      <c r="D23" s="19" t="s">
        <v>97</v>
      </c>
      <c r="E23" s="18" t="s">
        <v>69</v>
      </c>
      <c r="F23" s="18" t="s">
        <v>70</v>
      </c>
      <c r="G23" s="18" t="s">
        <v>98</v>
      </c>
      <c r="H23" s="20" t="n">
        <v>183</v>
      </c>
      <c r="I23" s="20" t="n">
        <v>57</v>
      </c>
      <c r="J23" s="20" t="n">
        <v>7</v>
      </c>
      <c r="K23" s="20" t="n">
        <v>0</v>
      </c>
      <c r="L23" s="20" t="n">
        <v>0</v>
      </c>
      <c r="M23" s="20" t="n">
        <v>0</v>
      </c>
      <c r="N23" s="20" t="n">
        <v>5</v>
      </c>
      <c r="O23" s="20" t="n">
        <v>0</v>
      </c>
      <c r="P23" s="22" t="n">
        <f aca="false">IF(OR(A23="",B23="",C23=""),"",IF(COUNT(J23:N23)=0,"",SUM(J23:N23)))</f>
        <v>12</v>
      </c>
      <c r="Q23" s="22" t="n">
        <f aca="false">IF(OR(A23="",B23="",C23=""),"",SUMIFS('Who Engaged'!$H$5:$H$1004,'Who Engaged'!$C$5:$C$1004,C23,'Who Engaged'!$N$5:$N$1004,"Yes")+SUMIFS('Who Engaged'!$I$5:$I$1004,'Who Engaged'!$C$5:$C$1004,C23,'Who Engaged'!$N$5:$N$1004,"Yes")+SUMIFS('Who Engaged'!$J$5:$J$1004,'Who Engaged'!$C$5:$C$1004,C23,'Who Engaged'!$N$5:$N$1004,"Yes")+SUMIFS('Who Engaged'!$K$5:$K$1004,'Who Engaged'!$C$5:$C$1004,C23,'Who Engaged'!$N$5:$N$1004,"Yes"))</f>
        <v>0</v>
      </c>
      <c r="R23" s="22" t="n">
        <f aca="false">IF(OR(OR(A23="",B23="",C23=""),P23=""),"",MAX(0,P23-N(Q23)))</f>
        <v>12</v>
      </c>
      <c r="S23" s="23" t="n">
        <f aca="false">IF(OR(OR(A23="",B23="",C23=""),R23=""),"",IFERROR(R23/(IF(N(H23)&gt;0,H23,IF(N(I23)&gt;0,I23,IF(COUNTIFS($B$16:$B$215,B23,$H$16:$H$215,"&gt;0")+COUNTIFS($B$16:$B$215,B23,$I$16:$I$215,"&gt;0")&gt;0,"",INDEX($B$5:$B$7,MATCH(B23,$A$5:$A$7,0)))))),""))</f>
        <v>0.0655737704918033</v>
      </c>
      <c r="T23" s="24" t="str">
        <f aca="false">IF(OR(A23="",B23="",C23=""),"",IF(OR(S23="",COUNTIFS($B$16:$B$215,B23,$S$16:$S$215,"&gt;=0")&lt;2),"No Data Yet",IFERROR(IF(S23/AVERAGEIFS($S$16:$S$215,$B$16:$B$215,B23)&gt;=1.2,"Good",IF(S23/AVERAGEIFS($S$16:$S$215,$B$16:$B$215,B23)&gt;=0.8,"Average","Below Standard")),"Average")))</f>
        <v>Average</v>
      </c>
      <c r="U23" s="22" t="n">
        <f aca="false">IF(OR(A23="",B23="",C23=""),"",COUNTIFS('Who Engaged'!$C$5:$C$1004,C23,'Who Engaged'!$O$5:$O$1004,"Yes",'Who Engaged'!$M$5:$M$1004,1))</f>
        <v>0</v>
      </c>
      <c r="V23" s="22" t="n">
        <f aca="false">IF(OR(A23="",B23="",C23=""),"",COUNTIFS('Who Engaged'!$C$5:$C$1004,C23,'Who Engaged'!$O$5:$O$1004,"Yes",'Who Engaged'!$L$5:$L$1004,1))</f>
        <v>0</v>
      </c>
      <c r="W23" s="25" t="str">
        <f aca="false" t="array" ref="W23:W23">IF(OR(A23="",B23="",C23=""),"",_xlfn.TEXTJOIN("; ",TRUE(),IF(('Who Engaged'!$C$5:$C$1004=C23)*('Who Engaged'!$O$5:$O$1004="Yes"),'Who Engaged'!$D$5:$D$1004&amp;" – "&amp;'Who Engaged'!$F$5:$F$1004&amp;IF('Who Engaged'!$L$5:$L$1004=1," (followed)",""),"")))</f>
        <v/>
      </c>
      <c r="X23" s="26" t="s">
        <v>99</v>
      </c>
      <c r="Y23" s="26" t="s">
        <v>100</v>
      </c>
      <c r="Z23" s="27" t="s">
        <v>58</v>
      </c>
      <c r="AA23" s="24" t="str">
        <f aca="false">IF(OR(A23="",B23="",C23=""),"","https://www.alphanodus.com/contact?utm_source="&amp;IF(B23="X","twitter",LOWER(B23))&amp;"&amp;utm_medium=social&amp;utm_campaign="&amp;IF(E23="","general",LOWER(SUBSTITUTE(SUBSTITUTE(E23," / ","-")," ","-")))&amp;"&amp;utm_content="&amp;LOWER(C23))</f>
        <v>https://www.alphanodus.com/contact?utm_source=instagram&amp;utm_medium=social&amp;utm_campaign=revenue-cycle&amp;utm_content=ig-260918</v>
      </c>
    </row>
    <row r="24" customFormat="false" ht="67.5" hidden="false" customHeight="true" outlineLevel="0" collapsed="false">
      <c r="A24" s="17" t="n">
        <v>46283</v>
      </c>
      <c r="B24" s="18" t="s">
        <v>17</v>
      </c>
      <c r="C24" s="18" t="s">
        <v>101</v>
      </c>
      <c r="D24" s="19" t="s">
        <v>102</v>
      </c>
      <c r="E24" s="18" t="s">
        <v>69</v>
      </c>
      <c r="F24" s="18" t="s">
        <v>54</v>
      </c>
      <c r="G24" s="18" t="s">
        <v>103</v>
      </c>
      <c r="H24" s="20" t="n">
        <v>54</v>
      </c>
      <c r="I24" s="20" t="n">
        <v>40</v>
      </c>
      <c r="J24" s="20" t="n">
        <v>2</v>
      </c>
      <c r="K24" s="20" t="n">
        <v>0</v>
      </c>
      <c r="L24" s="20" t="n">
        <v>0</v>
      </c>
      <c r="M24" s="21"/>
      <c r="N24" s="20" t="n">
        <v>2</v>
      </c>
      <c r="O24" s="20" t="n">
        <v>0</v>
      </c>
      <c r="P24" s="22" t="n">
        <f aca="false">IF(OR(A24="",B24="",C24=""),"",IF(COUNT(J24:N24)=0,"",SUM(J24:N24)))</f>
        <v>4</v>
      </c>
      <c r="Q24" s="22" t="n">
        <f aca="false">IF(OR(A24="",B24="",C24=""),"",SUMIFS('Who Engaged'!$H$5:$H$1004,'Who Engaged'!$C$5:$C$1004,C24,'Who Engaged'!$N$5:$N$1004,"Yes")+SUMIFS('Who Engaged'!$I$5:$I$1004,'Who Engaged'!$C$5:$C$1004,C24,'Who Engaged'!$N$5:$N$1004,"Yes")+SUMIFS('Who Engaged'!$J$5:$J$1004,'Who Engaged'!$C$5:$C$1004,C24,'Who Engaged'!$N$5:$N$1004,"Yes")+SUMIFS('Who Engaged'!$K$5:$K$1004,'Who Engaged'!$C$5:$C$1004,C24,'Who Engaged'!$N$5:$N$1004,"Yes"))</f>
        <v>0</v>
      </c>
      <c r="R24" s="22" t="n">
        <f aca="false">IF(OR(OR(A24="",B24="",C24=""),P24=""),"",MAX(0,P24-N(Q24)))</f>
        <v>4</v>
      </c>
      <c r="S24" s="23" t="n">
        <f aca="false">IF(OR(OR(A24="",B24="",C24=""),R24=""),"",IFERROR(R24/(IF(N(H24)&gt;0,H24,IF(N(I24)&gt;0,I24,IF(COUNTIFS($B$16:$B$215,B24,$H$16:$H$215,"&gt;0")+COUNTIFS($B$16:$B$215,B24,$I$16:$I$215,"&gt;0")&gt;0,"",INDEX($B$5:$B$7,MATCH(B24,$A$5:$A$7,0)))))),""))</f>
        <v>0.0740740740740741</v>
      </c>
      <c r="T24" s="24" t="str">
        <f aca="false">IF(OR(A24="",B24="",C24=""),"",IF(OR(S24="",COUNTIFS($B$16:$B$215,B24,$S$16:$S$215,"&gt;=0")&lt;2),"No Data Yet",IFERROR(IF(S24/AVERAGEIFS($S$16:$S$215,$B$16:$B$215,B24)&gt;=1.2,"Good",IF(S24/AVERAGEIFS($S$16:$S$215,$B$16:$B$215,B24)&gt;=0.8,"Average","Below Standard")),"Average")))</f>
        <v>Average</v>
      </c>
      <c r="U24" s="22" t="n">
        <f aca="false">IF(OR(A24="",B24="",C24=""),"",COUNTIFS('Who Engaged'!$C$5:$C$1004,C24,'Who Engaged'!$O$5:$O$1004,"Yes",'Who Engaged'!$M$5:$M$1004,1))</f>
        <v>0</v>
      </c>
      <c r="V24" s="22" t="n">
        <f aca="false">IF(OR(A24="",B24="",C24=""),"",COUNTIFS('Who Engaged'!$C$5:$C$1004,C24,'Who Engaged'!$O$5:$O$1004,"Yes",'Who Engaged'!$L$5:$L$1004,1))</f>
        <v>0</v>
      </c>
      <c r="W24" s="25" t="str">
        <f aca="false" t="array" ref="W24:W24">IF(OR(A24="",B24="",C24=""),"",_xlfn.TEXTJOIN("; ",TRUE(),IF(('Who Engaged'!$C$5:$C$1004=C24)*('Who Engaged'!$O$5:$O$1004="Yes"),'Who Engaged'!$D$5:$D$1004&amp;" – "&amp;'Who Engaged'!$F$5:$F$1004&amp;IF('Who Engaged'!$L$5:$L$1004=1," (followed)",""),"")))</f>
        <v/>
      </c>
      <c r="X24" s="26" t="s">
        <v>104</v>
      </c>
      <c r="Y24" s="26" t="s">
        <v>105</v>
      </c>
      <c r="Z24" s="27" t="s">
        <v>58</v>
      </c>
      <c r="AA24" s="24" t="str">
        <f aca="false">IF(OR(A24="",B24="",C24=""),"","https://www.alphanodus.com/contact?utm_source="&amp;IF(B24="X","twitter",LOWER(B24))&amp;"&amp;utm_medium=social&amp;utm_campaign="&amp;IF(E24="","general",LOWER(SUBSTITUTE(SUBSTITUTE(E24," / ","-")," ","-")))&amp;"&amp;utm_content="&amp;LOWER(C24))</f>
        <v>https://www.alphanodus.com/contact?utm_source=instagram&amp;utm_medium=social&amp;utm_campaign=revenue-cycle&amp;utm_content=ig-260918-story</v>
      </c>
    </row>
    <row r="25" customFormat="false" ht="67.5" hidden="false" customHeight="true" outlineLevel="0" collapsed="false">
      <c r="A25" s="17" t="n">
        <v>46288</v>
      </c>
      <c r="B25" s="18" t="s">
        <v>17</v>
      </c>
      <c r="C25" s="18" t="s">
        <v>106</v>
      </c>
      <c r="D25" s="19" t="s">
        <v>107</v>
      </c>
      <c r="E25" s="18" t="s">
        <v>69</v>
      </c>
      <c r="F25" s="18" t="s">
        <v>70</v>
      </c>
      <c r="G25" s="18" t="s">
        <v>108</v>
      </c>
      <c r="H25" s="20" t="n">
        <v>88</v>
      </c>
      <c r="I25" s="20" t="n">
        <v>37</v>
      </c>
      <c r="J25" s="20" t="n">
        <v>2</v>
      </c>
      <c r="K25" s="20" t="n">
        <v>0</v>
      </c>
      <c r="L25" s="20" t="n">
        <v>0</v>
      </c>
      <c r="M25" s="20" t="n">
        <v>0</v>
      </c>
      <c r="N25" s="20" t="n">
        <v>2</v>
      </c>
      <c r="O25" s="20" t="n">
        <v>0</v>
      </c>
      <c r="P25" s="22" t="n">
        <f aca="false">IF(OR(A25="",B25="",C25=""),"",IF(COUNT(J25:N25)=0,"",SUM(J25:N25)))</f>
        <v>4</v>
      </c>
      <c r="Q25" s="22" t="n">
        <f aca="false">IF(OR(A25="",B25="",C25=""),"",SUMIFS('Who Engaged'!$H$5:$H$1004,'Who Engaged'!$C$5:$C$1004,C25,'Who Engaged'!$N$5:$N$1004,"Yes")+SUMIFS('Who Engaged'!$I$5:$I$1004,'Who Engaged'!$C$5:$C$1004,C25,'Who Engaged'!$N$5:$N$1004,"Yes")+SUMIFS('Who Engaged'!$J$5:$J$1004,'Who Engaged'!$C$5:$C$1004,C25,'Who Engaged'!$N$5:$N$1004,"Yes")+SUMIFS('Who Engaged'!$K$5:$K$1004,'Who Engaged'!$C$5:$C$1004,C25,'Who Engaged'!$N$5:$N$1004,"Yes"))</f>
        <v>0</v>
      </c>
      <c r="R25" s="22" t="n">
        <f aca="false">IF(OR(OR(A25="",B25="",C25=""),P25=""),"",MAX(0,P25-N(Q25)))</f>
        <v>4</v>
      </c>
      <c r="S25" s="23" t="n">
        <f aca="false">IF(OR(OR(A25="",B25="",C25=""),R25=""),"",IFERROR(R25/(IF(N(H25)&gt;0,H25,IF(N(I25)&gt;0,I25,IF(COUNTIFS($B$16:$B$215,B25,$H$16:$H$215,"&gt;0")+COUNTIFS($B$16:$B$215,B25,$I$16:$I$215,"&gt;0")&gt;0,"",INDEX($B$5:$B$7,MATCH(B25,$A$5:$A$7,0)))))),""))</f>
        <v>0.0454545454545455</v>
      </c>
      <c r="T25" s="24" t="str">
        <f aca="false">IF(OR(A25="",B25="",C25=""),"",IF(OR(S25="",COUNTIFS($B$16:$B$215,B25,$S$16:$S$215,"&gt;=0")&lt;2),"No Data Yet",IFERROR(IF(S25/AVERAGEIFS($S$16:$S$215,$B$16:$B$215,B25)&gt;=1.2,"Good",IF(S25/AVERAGEIFS($S$16:$S$215,$B$16:$B$215,B25)&gt;=0.8,"Average","Below Standard")),"Average")))</f>
        <v>Below Standard</v>
      </c>
      <c r="U25" s="22" t="n">
        <f aca="false">IF(OR(A25="",B25="",C25=""),"",COUNTIFS('Who Engaged'!$C$5:$C$1004,C25,'Who Engaged'!$O$5:$O$1004,"Yes",'Who Engaged'!$M$5:$M$1004,1))</f>
        <v>0</v>
      </c>
      <c r="V25" s="22" t="n">
        <f aca="false">IF(OR(A25="",B25="",C25=""),"",COUNTIFS('Who Engaged'!$C$5:$C$1004,C25,'Who Engaged'!$O$5:$O$1004,"Yes",'Who Engaged'!$L$5:$L$1004,1))</f>
        <v>0</v>
      </c>
      <c r="W25" s="25" t="str">
        <f aca="false" t="array" ref="W25:W25">IF(OR(A25="",B25="",C25=""),"",_xlfn.TEXTJOIN("; ",TRUE(),IF(('Who Engaged'!$C$5:$C$1004=C25)*('Who Engaged'!$O$5:$O$1004="Yes"),'Who Engaged'!$D$5:$D$1004&amp;" – "&amp;'Who Engaged'!$F$5:$F$1004&amp;IF('Who Engaged'!$L$5:$L$1004=1," (followed)",""),"")))</f>
        <v/>
      </c>
      <c r="X25" s="26" t="s">
        <v>109</v>
      </c>
      <c r="Y25" s="26" t="s">
        <v>110</v>
      </c>
      <c r="Z25" s="27" t="s">
        <v>58</v>
      </c>
      <c r="AA25" s="24" t="str">
        <f aca="false">IF(OR(A25="",B25="",C25=""),"","https://www.alphanodus.com/contact?utm_source="&amp;IF(B25="X","twitter",LOWER(B25))&amp;"&amp;utm_medium=social&amp;utm_campaign="&amp;IF(E25="","general",LOWER(SUBSTITUTE(SUBSTITUTE(E25," / ","-")," ","-")))&amp;"&amp;utm_content="&amp;LOWER(C25))</f>
        <v>https://www.alphanodus.com/contact?utm_source=instagram&amp;utm_medium=social&amp;utm_campaign=revenue-cycle&amp;utm_content=ig-260923</v>
      </c>
    </row>
    <row r="26" customFormat="false" ht="67.5" hidden="false" customHeight="true" outlineLevel="0" collapsed="false">
      <c r="A26" s="17" t="n">
        <v>46288</v>
      </c>
      <c r="B26" s="18" t="s">
        <v>17</v>
      </c>
      <c r="C26" s="18" t="s">
        <v>111</v>
      </c>
      <c r="D26" s="19" t="s">
        <v>112</v>
      </c>
      <c r="E26" s="18" t="s">
        <v>69</v>
      </c>
      <c r="F26" s="18" t="s">
        <v>54</v>
      </c>
      <c r="G26" s="18" t="s">
        <v>103</v>
      </c>
      <c r="H26" s="20" t="n">
        <v>62</v>
      </c>
      <c r="I26" s="20" t="n">
        <v>38</v>
      </c>
      <c r="J26" s="20" t="n">
        <v>0</v>
      </c>
      <c r="K26" s="20" t="n">
        <v>0</v>
      </c>
      <c r="L26" s="20" t="n">
        <v>0</v>
      </c>
      <c r="M26" s="21"/>
      <c r="N26" s="20" t="n">
        <v>7</v>
      </c>
      <c r="O26" s="20" t="n">
        <v>0</v>
      </c>
      <c r="P26" s="22" t="n">
        <f aca="false">IF(OR(A26="",B26="",C26=""),"",IF(COUNT(J26:N26)=0,"",SUM(J26:N26)))</f>
        <v>7</v>
      </c>
      <c r="Q26" s="22" t="n">
        <f aca="false">IF(OR(A26="",B26="",C26=""),"",SUMIFS('Who Engaged'!$H$5:$H$1004,'Who Engaged'!$C$5:$C$1004,C26,'Who Engaged'!$N$5:$N$1004,"Yes")+SUMIFS('Who Engaged'!$I$5:$I$1004,'Who Engaged'!$C$5:$C$1004,C26,'Who Engaged'!$N$5:$N$1004,"Yes")+SUMIFS('Who Engaged'!$J$5:$J$1004,'Who Engaged'!$C$5:$C$1004,C26,'Who Engaged'!$N$5:$N$1004,"Yes")+SUMIFS('Who Engaged'!$K$5:$K$1004,'Who Engaged'!$C$5:$C$1004,C26,'Who Engaged'!$N$5:$N$1004,"Yes"))</f>
        <v>0</v>
      </c>
      <c r="R26" s="22" t="n">
        <f aca="false">IF(OR(OR(A26="",B26="",C26=""),P26=""),"",MAX(0,P26-N(Q26)))</f>
        <v>7</v>
      </c>
      <c r="S26" s="23" t="n">
        <f aca="false">IF(OR(OR(A26="",B26="",C26=""),R26=""),"",IFERROR(R26/(IF(N(H26)&gt;0,H26,IF(N(I26)&gt;0,I26,IF(COUNTIFS($B$16:$B$215,B26,$H$16:$H$215,"&gt;0")+COUNTIFS($B$16:$B$215,B26,$I$16:$I$215,"&gt;0")&gt;0,"",INDEX($B$5:$B$7,MATCH(B26,$A$5:$A$7,0)))))),""))</f>
        <v>0.112903225806452</v>
      </c>
      <c r="T26" s="24" t="str">
        <f aca="false">IF(OR(A26="",B26="",C26=""),"",IF(OR(S26="",COUNTIFS($B$16:$B$215,B26,$S$16:$S$215,"&gt;=0")&lt;2),"No Data Yet",IFERROR(IF(S26/AVERAGEIFS($S$16:$S$215,$B$16:$B$215,B26)&gt;=1.2,"Good",IF(S26/AVERAGEIFS($S$16:$S$215,$B$16:$B$215,B26)&gt;=0.8,"Average","Below Standard")),"Average")))</f>
        <v>Good</v>
      </c>
      <c r="U26" s="22" t="n">
        <f aca="false">IF(OR(A26="",B26="",C26=""),"",COUNTIFS('Who Engaged'!$C$5:$C$1004,C26,'Who Engaged'!$O$5:$O$1004,"Yes",'Who Engaged'!$M$5:$M$1004,1))</f>
        <v>0</v>
      </c>
      <c r="V26" s="22" t="n">
        <f aca="false">IF(OR(A26="",B26="",C26=""),"",COUNTIFS('Who Engaged'!$C$5:$C$1004,C26,'Who Engaged'!$O$5:$O$1004,"Yes",'Who Engaged'!$L$5:$L$1004,1))</f>
        <v>0</v>
      </c>
      <c r="W26" s="25" t="str">
        <f aca="false" t="array" ref="W26:W26">IF(OR(A26="",B26="",C26=""),"",_xlfn.TEXTJOIN("; ",TRUE(),IF(('Who Engaged'!$C$5:$C$1004=C26)*('Who Engaged'!$O$5:$O$1004="Yes"),'Who Engaged'!$D$5:$D$1004&amp;" – "&amp;'Who Engaged'!$F$5:$F$1004&amp;IF('Who Engaged'!$L$5:$L$1004=1," (followed)",""),"")))</f>
        <v/>
      </c>
      <c r="X26" s="26" t="s">
        <v>113</v>
      </c>
      <c r="Y26" s="26" t="s">
        <v>114</v>
      </c>
      <c r="Z26" s="27" t="s">
        <v>66</v>
      </c>
      <c r="AA26" s="24" t="str">
        <f aca="false">IF(OR(A26="",B26="",C26=""),"","https://www.alphanodus.com/contact?utm_source="&amp;IF(B26="X","twitter",LOWER(B26))&amp;"&amp;utm_medium=social&amp;utm_campaign="&amp;IF(E26="","general",LOWER(SUBSTITUTE(SUBSTITUTE(E26," / ","-")," ","-")))&amp;"&amp;utm_content="&amp;LOWER(C26))</f>
        <v>https://www.alphanodus.com/contact?utm_source=instagram&amp;utm_medium=social&amp;utm_campaign=revenue-cycle&amp;utm_content=ig-260923-story</v>
      </c>
    </row>
    <row r="27" customFormat="false" ht="67.5" hidden="false" customHeight="true" outlineLevel="0" collapsed="false">
      <c r="A27" s="17" t="n">
        <v>46276</v>
      </c>
      <c r="B27" s="18" t="s">
        <v>19</v>
      </c>
      <c r="C27" s="18" t="s">
        <v>115</v>
      </c>
      <c r="D27" s="19" t="s">
        <v>116</v>
      </c>
      <c r="E27" s="18" t="s">
        <v>53</v>
      </c>
      <c r="F27" s="18" t="s">
        <v>54</v>
      </c>
      <c r="G27" s="18" t="s">
        <v>117</v>
      </c>
      <c r="H27" s="20" t="n">
        <v>27</v>
      </c>
      <c r="I27" s="21"/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5</v>
      </c>
      <c r="O27" s="20" t="n">
        <v>0</v>
      </c>
      <c r="P27" s="22" t="n">
        <f aca="false">IF(OR(A27="",B27="",C27=""),"",IF(COUNT(J27:N27)=0,"",SUM(J27:N27)))</f>
        <v>5</v>
      </c>
      <c r="Q27" s="22" t="n">
        <f aca="false">IF(OR(A27="",B27="",C27=""),"",SUMIFS('Who Engaged'!$H$5:$H$1004,'Who Engaged'!$C$5:$C$1004,C27,'Who Engaged'!$N$5:$N$1004,"Yes")+SUMIFS('Who Engaged'!$I$5:$I$1004,'Who Engaged'!$C$5:$C$1004,C27,'Who Engaged'!$N$5:$N$1004,"Yes")+SUMIFS('Who Engaged'!$J$5:$J$1004,'Who Engaged'!$C$5:$C$1004,C27,'Who Engaged'!$N$5:$N$1004,"Yes")+SUMIFS('Who Engaged'!$K$5:$K$1004,'Who Engaged'!$C$5:$C$1004,C27,'Who Engaged'!$N$5:$N$1004,"Yes"))</f>
        <v>0</v>
      </c>
      <c r="R27" s="22" t="n">
        <f aca="false">IF(OR(OR(A27="",B27="",C27=""),P27=""),"",MAX(0,P27-N(Q27)))</f>
        <v>5</v>
      </c>
      <c r="S27" s="23" t="n">
        <f aca="false">IF(OR(OR(A27="",B27="",C27=""),R27=""),"",IFERROR(R27/(IF(N(H27)&gt;0,H27,IF(N(I27)&gt;0,I27,IF(COUNTIFS($B$16:$B$215,B27,$H$16:$H$215,"&gt;0")+COUNTIFS($B$16:$B$215,B27,$I$16:$I$215,"&gt;0")&gt;0,"",INDEX($B$5:$B$7,MATCH(B27,$A$5:$A$7,0)))))),""))</f>
        <v>0.185185185185185</v>
      </c>
      <c r="T27" s="24" t="str">
        <f aca="false">IF(OR(A27="",B27="",C27=""),"",IF(OR(S27="",COUNTIFS($B$16:$B$215,B27,$S$16:$S$215,"&gt;=0")&lt;2),"No Data Yet",IFERROR(IF(S27/AVERAGEIFS($S$16:$S$215,$B$16:$B$215,B27)&gt;=1.2,"Good",IF(S27/AVERAGEIFS($S$16:$S$215,$B$16:$B$215,B27)&gt;=0.8,"Average","Below Standard")),"Average")))</f>
        <v>Good</v>
      </c>
      <c r="U27" s="22" t="n">
        <f aca="false">IF(OR(A27="",B27="",C27=""),"",COUNTIFS('Who Engaged'!$C$5:$C$1004,C27,'Who Engaged'!$O$5:$O$1004,"Yes",'Who Engaged'!$M$5:$M$1004,1))</f>
        <v>0</v>
      </c>
      <c r="V27" s="22" t="n">
        <f aca="false">IF(OR(A27="",B27="",C27=""),"",COUNTIFS('Who Engaged'!$C$5:$C$1004,C27,'Who Engaged'!$O$5:$O$1004,"Yes",'Who Engaged'!$L$5:$L$1004,1))</f>
        <v>0</v>
      </c>
      <c r="W27" s="25" t="str">
        <f aca="false" t="array" ref="W27:W27">IF(OR(A27="",B27="",C27=""),"",_xlfn.TEXTJOIN("; ",TRUE(),IF(('Who Engaged'!$C$5:$C$1004=C27)*('Who Engaged'!$O$5:$O$1004="Yes"),'Who Engaged'!$D$5:$D$1004&amp;" – "&amp;'Who Engaged'!$F$5:$F$1004&amp;IF('Who Engaged'!$L$5:$L$1004=1," (followed)",""),"")))</f>
        <v/>
      </c>
      <c r="X27" s="26" t="s">
        <v>118</v>
      </c>
      <c r="Y27" s="26" t="s">
        <v>119</v>
      </c>
      <c r="Z27" s="27" t="s">
        <v>58</v>
      </c>
      <c r="AA27" s="24" t="str">
        <f aca="false">IF(OR(A27="",B27="",C27=""),"","https://www.alphanodus.com/contact?utm_source="&amp;IF(B27="X","twitter",LOWER(B27))&amp;"&amp;utm_medium=social&amp;utm_campaign="&amp;IF(E27="","general",LOWER(SUBSTITUTE(SUBSTITUTE(E27," / ","-")," ","-")))&amp;"&amp;utm_content="&amp;LOWER(C27))</f>
        <v>https://www.alphanodus.com/contact?utm_source=twitter&amp;utm_medium=social&amp;utm_campaign=product-demo&amp;utm_content=x-260911</v>
      </c>
    </row>
    <row r="28" customFormat="false" ht="67.5" hidden="false" customHeight="true" outlineLevel="0" collapsed="false">
      <c r="A28" s="17" t="n">
        <v>46279</v>
      </c>
      <c r="B28" s="18" t="s">
        <v>19</v>
      </c>
      <c r="C28" s="18" t="s">
        <v>120</v>
      </c>
      <c r="D28" s="19" t="s">
        <v>121</v>
      </c>
      <c r="E28" s="18" t="s">
        <v>61</v>
      </c>
      <c r="F28" s="18" t="s">
        <v>62</v>
      </c>
      <c r="G28" s="18" t="s">
        <v>122</v>
      </c>
      <c r="H28" s="20" t="n">
        <v>16</v>
      </c>
      <c r="I28" s="21"/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1</v>
      </c>
      <c r="O28" s="20" t="n">
        <v>0</v>
      </c>
      <c r="P28" s="22" t="n">
        <f aca="false">IF(OR(A28="",B28="",C28=""),"",IF(COUNT(J28:N28)=0,"",SUM(J28:N28)))</f>
        <v>1</v>
      </c>
      <c r="Q28" s="22" t="n">
        <f aca="false">IF(OR(A28="",B28="",C28=""),"",SUMIFS('Who Engaged'!$H$5:$H$1004,'Who Engaged'!$C$5:$C$1004,C28,'Who Engaged'!$N$5:$N$1004,"Yes")+SUMIFS('Who Engaged'!$I$5:$I$1004,'Who Engaged'!$C$5:$C$1004,C28,'Who Engaged'!$N$5:$N$1004,"Yes")+SUMIFS('Who Engaged'!$J$5:$J$1004,'Who Engaged'!$C$5:$C$1004,C28,'Who Engaged'!$N$5:$N$1004,"Yes")+SUMIFS('Who Engaged'!$K$5:$K$1004,'Who Engaged'!$C$5:$C$1004,C28,'Who Engaged'!$N$5:$N$1004,"Yes"))</f>
        <v>0</v>
      </c>
      <c r="R28" s="22" t="n">
        <f aca="false">IF(OR(OR(A28="",B28="",C28=""),P28=""),"",MAX(0,P28-N(Q28)))</f>
        <v>1</v>
      </c>
      <c r="S28" s="23" t="n">
        <f aca="false">IF(OR(OR(A28="",B28="",C28=""),R28=""),"",IFERROR(R28/(IF(N(H28)&gt;0,H28,IF(N(I28)&gt;0,I28,IF(COUNTIFS($B$16:$B$215,B28,$H$16:$H$215,"&gt;0")+COUNTIFS($B$16:$B$215,B28,$I$16:$I$215,"&gt;0")&gt;0,"",INDEX($B$5:$B$7,MATCH(B28,$A$5:$A$7,0)))))),""))</f>
        <v>0.0625</v>
      </c>
      <c r="T28" s="24" t="str">
        <f aca="false">IF(OR(A28="",B28="",C28=""),"",IF(OR(S28="",COUNTIFS($B$16:$B$215,B28,$S$16:$S$215,"&gt;=0")&lt;2),"No Data Yet",IFERROR(IF(S28/AVERAGEIFS($S$16:$S$215,$B$16:$B$215,B28)&gt;=1.2,"Good",IF(S28/AVERAGEIFS($S$16:$S$215,$B$16:$B$215,B28)&gt;=0.8,"Average","Below Standard")),"Average")))</f>
        <v>Below Standard</v>
      </c>
      <c r="U28" s="22" t="n">
        <f aca="false">IF(OR(A28="",B28="",C28=""),"",COUNTIFS('Who Engaged'!$C$5:$C$1004,C28,'Who Engaged'!$O$5:$O$1004,"Yes",'Who Engaged'!$M$5:$M$1004,1))</f>
        <v>0</v>
      </c>
      <c r="V28" s="22" t="n">
        <f aca="false">IF(OR(A28="",B28="",C28=""),"",COUNTIFS('Who Engaged'!$C$5:$C$1004,C28,'Who Engaged'!$O$5:$O$1004,"Yes",'Who Engaged'!$L$5:$L$1004,1))</f>
        <v>0</v>
      </c>
      <c r="W28" s="25" t="str">
        <f aca="false" t="array" ref="W28:W28">IF(OR(A28="",B28="",C28=""),"",_xlfn.TEXTJOIN("; ",TRUE(),IF(('Who Engaged'!$C$5:$C$1004=C28)*('Who Engaged'!$O$5:$O$1004="Yes"),'Who Engaged'!$D$5:$D$1004&amp;" – "&amp;'Who Engaged'!$F$5:$F$1004&amp;IF('Who Engaged'!$L$5:$L$1004=1," (followed)",""),"")))</f>
        <v/>
      </c>
      <c r="X28" s="26" t="s">
        <v>123</v>
      </c>
      <c r="Y28" s="26" t="s">
        <v>124</v>
      </c>
      <c r="Z28" s="27" t="s">
        <v>58</v>
      </c>
      <c r="AA28" s="24" t="str">
        <f aca="false">IF(OR(A28="",B28="",C28=""),"","https://www.alphanodus.com/contact?utm_source="&amp;IF(B28="X","twitter",LOWER(B28))&amp;"&amp;utm_medium=social&amp;utm_campaign="&amp;IF(E28="","general",LOWER(SUBSTITUTE(SUBSTITUTE(E28," / ","-")," ","-")))&amp;"&amp;utm_content="&amp;LOWER(C28))</f>
        <v>https://www.alphanodus.com/contact?utm_source=twitter&amp;utm_medium=social&amp;utm_campaign=operations-tips&amp;utm_content=x-260914</v>
      </c>
    </row>
    <row r="29" customFormat="false" ht="67.5" hidden="false" customHeight="true" outlineLevel="0" collapsed="false">
      <c r="A29" s="17" t="n">
        <v>46283</v>
      </c>
      <c r="B29" s="18" t="s">
        <v>19</v>
      </c>
      <c r="C29" s="18" t="s">
        <v>125</v>
      </c>
      <c r="D29" s="19" t="s">
        <v>126</v>
      </c>
      <c r="E29" s="18" t="s">
        <v>69</v>
      </c>
      <c r="F29" s="18" t="s">
        <v>70</v>
      </c>
      <c r="G29" s="18" t="s">
        <v>127</v>
      </c>
      <c r="H29" s="20" t="n">
        <v>26</v>
      </c>
      <c r="I29" s="21"/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1</v>
      </c>
      <c r="O29" s="20" t="n">
        <v>0</v>
      </c>
      <c r="P29" s="22" t="n">
        <f aca="false">IF(OR(A29="",B29="",C29=""),"",IF(COUNT(J29:N29)=0,"",SUM(J29:N29)))</f>
        <v>1</v>
      </c>
      <c r="Q29" s="22" t="n">
        <f aca="false">IF(OR(A29="",B29="",C29=""),"",SUMIFS('Who Engaged'!$H$5:$H$1004,'Who Engaged'!$C$5:$C$1004,C29,'Who Engaged'!$N$5:$N$1004,"Yes")+SUMIFS('Who Engaged'!$I$5:$I$1004,'Who Engaged'!$C$5:$C$1004,C29,'Who Engaged'!$N$5:$N$1004,"Yes")+SUMIFS('Who Engaged'!$J$5:$J$1004,'Who Engaged'!$C$5:$C$1004,C29,'Who Engaged'!$N$5:$N$1004,"Yes")+SUMIFS('Who Engaged'!$K$5:$K$1004,'Who Engaged'!$C$5:$C$1004,C29,'Who Engaged'!$N$5:$N$1004,"Yes"))</f>
        <v>0</v>
      </c>
      <c r="R29" s="22" t="n">
        <f aca="false">IF(OR(OR(A29="",B29="",C29=""),P29=""),"",MAX(0,P29-N(Q29)))</f>
        <v>1</v>
      </c>
      <c r="S29" s="23" t="n">
        <f aca="false">IF(OR(OR(A29="",B29="",C29=""),R29=""),"",IFERROR(R29/(IF(N(H29)&gt;0,H29,IF(N(I29)&gt;0,I29,IF(COUNTIFS($B$16:$B$215,B29,$H$16:$H$215,"&gt;0")+COUNTIFS($B$16:$B$215,B29,$I$16:$I$215,"&gt;0")&gt;0,"",INDEX($B$5:$B$7,MATCH(B29,$A$5:$A$7,0)))))),""))</f>
        <v>0.0384615384615385</v>
      </c>
      <c r="T29" s="24" t="str">
        <f aca="false">IF(OR(A29="",B29="",C29=""),"",IF(OR(S29="",COUNTIFS($B$16:$B$215,B29,$S$16:$S$215,"&gt;=0")&lt;2),"No Data Yet",IFERROR(IF(S29/AVERAGEIFS($S$16:$S$215,$B$16:$B$215,B29)&gt;=1.2,"Good",IF(S29/AVERAGEIFS($S$16:$S$215,$B$16:$B$215,B29)&gt;=0.8,"Average","Below Standard")),"Average")))</f>
        <v>Below Standard</v>
      </c>
      <c r="U29" s="22" t="n">
        <f aca="false">IF(OR(A29="",B29="",C29=""),"",COUNTIFS('Who Engaged'!$C$5:$C$1004,C29,'Who Engaged'!$O$5:$O$1004,"Yes",'Who Engaged'!$M$5:$M$1004,1))</f>
        <v>0</v>
      </c>
      <c r="V29" s="22" t="n">
        <f aca="false">IF(OR(A29="",B29="",C29=""),"",COUNTIFS('Who Engaged'!$C$5:$C$1004,C29,'Who Engaged'!$O$5:$O$1004,"Yes",'Who Engaged'!$L$5:$L$1004,1))</f>
        <v>0</v>
      </c>
      <c r="W29" s="25" t="str">
        <f aca="false" t="array" ref="W29:W29">IF(OR(A29="",B29="",C29=""),"",_xlfn.TEXTJOIN("; ",TRUE(),IF(('Who Engaged'!$C$5:$C$1004=C29)*('Who Engaged'!$O$5:$O$1004="Yes"),'Who Engaged'!$D$5:$D$1004&amp;" – "&amp;'Who Engaged'!$F$5:$F$1004&amp;IF('Who Engaged'!$L$5:$L$1004=1," (followed)",""),"")))</f>
        <v/>
      </c>
      <c r="X29" s="26" t="s">
        <v>128</v>
      </c>
      <c r="Y29" s="26" t="s">
        <v>129</v>
      </c>
      <c r="Z29" s="27" t="s">
        <v>58</v>
      </c>
      <c r="AA29" s="24" t="str">
        <f aca="false">IF(OR(A29="",B29="",C29=""),"","https://www.alphanodus.com/contact?utm_source="&amp;IF(B29="X","twitter",LOWER(B29))&amp;"&amp;utm_medium=social&amp;utm_campaign="&amp;IF(E29="","general",LOWER(SUBSTITUTE(SUBSTITUTE(E29," / ","-")," ","-")))&amp;"&amp;utm_content="&amp;LOWER(C29))</f>
        <v>https://www.alphanodus.com/contact?utm_source=twitter&amp;utm_medium=social&amp;utm_campaign=revenue-cycle&amp;utm_content=x-260918</v>
      </c>
    </row>
    <row r="30" customFormat="false" ht="67.5" hidden="false" customHeight="true" outlineLevel="0" collapsed="false">
      <c r="A30" s="17" t="n">
        <v>46288</v>
      </c>
      <c r="B30" s="18" t="s">
        <v>19</v>
      </c>
      <c r="C30" s="18" t="s">
        <v>130</v>
      </c>
      <c r="D30" s="19" t="s">
        <v>131</v>
      </c>
      <c r="E30" s="18" t="s">
        <v>69</v>
      </c>
      <c r="F30" s="18" t="s">
        <v>70</v>
      </c>
      <c r="G30" s="18" t="s">
        <v>132</v>
      </c>
      <c r="H30" s="20" t="n">
        <v>13</v>
      </c>
      <c r="I30" s="21"/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2</v>
      </c>
      <c r="O30" s="20" t="n">
        <v>0</v>
      </c>
      <c r="P30" s="22" t="n">
        <f aca="false">IF(OR(A30="",B30="",C30=""),"",IF(COUNT(J30:N30)=0,"",SUM(J30:N30)))</f>
        <v>2</v>
      </c>
      <c r="Q30" s="22" t="n">
        <f aca="false">IF(OR(A30="",B30="",C30=""),"",SUMIFS('Who Engaged'!$H$5:$H$1004,'Who Engaged'!$C$5:$C$1004,C30,'Who Engaged'!$N$5:$N$1004,"Yes")+SUMIFS('Who Engaged'!$I$5:$I$1004,'Who Engaged'!$C$5:$C$1004,C30,'Who Engaged'!$N$5:$N$1004,"Yes")+SUMIFS('Who Engaged'!$J$5:$J$1004,'Who Engaged'!$C$5:$C$1004,C30,'Who Engaged'!$N$5:$N$1004,"Yes")+SUMIFS('Who Engaged'!$K$5:$K$1004,'Who Engaged'!$C$5:$C$1004,C30,'Who Engaged'!$N$5:$N$1004,"Yes"))</f>
        <v>0</v>
      </c>
      <c r="R30" s="22" t="n">
        <f aca="false">IF(OR(OR(A30="",B30="",C30=""),P30=""),"",MAX(0,P30-N(Q30)))</f>
        <v>2</v>
      </c>
      <c r="S30" s="23" t="n">
        <f aca="false">IF(OR(OR(A30="",B30="",C30=""),R30=""),"",IFERROR(R30/(IF(N(H30)&gt;0,H30,IF(N(I30)&gt;0,I30,IF(COUNTIFS($B$16:$B$215,B30,$H$16:$H$215,"&gt;0")+COUNTIFS($B$16:$B$215,B30,$I$16:$I$215,"&gt;0")&gt;0,"",INDEX($B$5:$B$7,MATCH(B30,$A$5:$A$7,0)))))),""))</f>
        <v>0.153846153846154</v>
      </c>
      <c r="T30" s="24" t="str">
        <f aca="false">IF(OR(A30="",B30="",C30=""),"",IF(OR(S30="",COUNTIFS($B$16:$B$215,B30,$S$16:$S$215,"&gt;=0")&lt;2),"No Data Yet",IFERROR(IF(S30/AVERAGEIFS($S$16:$S$215,$B$16:$B$215,B30)&gt;=1.2,"Good",IF(S30/AVERAGEIFS($S$16:$S$215,$B$16:$B$215,B30)&gt;=0.8,"Average","Below Standard")),"Average")))</f>
        <v>Good</v>
      </c>
      <c r="U30" s="22" t="n">
        <f aca="false">IF(OR(A30="",B30="",C30=""),"",COUNTIFS('Who Engaged'!$C$5:$C$1004,C30,'Who Engaged'!$O$5:$O$1004,"Yes",'Who Engaged'!$M$5:$M$1004,1))</f>
        <v>0</v>
      </c>
      <c r="V30" s="22" t="n">
        <f aca="false">IF(OR(A30="",B30="",C30=""),"",COUNTIFS('Who Engaged'!$C$5:$C$1004,C30,'Who Engaged'!$O$5:$O$1004,"Yes",'Who Engaged'!$L$5:$L$1004,1))</f>
        <v>0</v>
      </c>
      <c r="W30" s="25" t="str">
        <f aca="false" t="array" ref="W30:W30">IF(OR(A30="",B30="",C30=""),"",_xlfn.TEXTJOIN("; ",TRUE(),IF(('Who Engaged'!$C$5:$C$1004=C30)*('Who Engaged'!$O$5:$O$1004="Yes"),'Who Engaged'!$D$5:$D$1004&amp;" – "&amp;'Who Engaged'!$F$5:$F$1004&amp;IF('Who Engaged'!$L$5:$L$1004=1," (followed)",""),"")))</f>
        <v/>
      </c>
      <c r="X30" s="26" t="s">
        <v>133</v>
      </c>
      <c r="Y30" s="26" t="s">
        <v>134</v>
      </c>
      <c r="Z30" s="27" t="s">
        <v>58</v>
      </c>
      <c r="AA30" s="24" t="str">
        <f aca="false">IF(OR(A30="",B30="",C30=""),"","https://www.alphanodus.com/contact?utm_source="&amp;IF(B30="X","twitter",LOWER(B30))&amp;"&amp;utm_medium=social&amp;utm_campaign="&amp;IF(E30="","general",LOWER(SUBSTITUTE(SUBSTITUTE(E30," / ","-")," ","-")))&amp;"&amp;utm_content="&amp;LOWER(C30))</f>
        <v>https://www.alphanodus.com/contact?utm_source=twitter&amp;utm_medium=social&amp;utm_campaign=revenue-cycle&amp;utm_content=x-260923</v>
      </c>
    </row>
    <row r="31" customFormat="false" ht="15" hidden="false" customHeight="false" outlineLevel="0" collapsed="false">
      <c r="A31" s="28"/>
      <c r="B31" s="27"/>
      <c r="C31" s="27"/>
      <c r="D31" s="26"/>
      <c r="E31" s="27"/>
      <c r="F31" s="27"/>
      <c r="G31" s="27"/>
      <c r="H31" s="21"/>
      <c r="I31" s="21"/>
      <c r="J31" s="21"/>
      <c r="K31" s="21"/>
      <c r="L31" s="21"/>
      <c r="M31" s="21"/>
      <c r="N31" s="21"/>
      <c r="O31" s="21"/>
      <c r="P31" s="22" t="str">
        <f aca="false">IF(OR(A31="",B31="",C31=""),"",IF(COUNT(J31:N31)=0,"",SUM(J31:N31)))</f>
        <v/>
      </c>
      <c r="Q31" s="22" t="str">
        <f aca="false">IF(OR(A31="",B31="",C31=""),"",SUMIFS('Who Engaged'!$H$5:$H$1004,'Who Engaged'!$C$5:$C$1004,C31,'Who Engaged'!$N$5:$N$1004,"Yes")+SUMIFS('Who Engaged'!$I$5:$I$1004,'Who Engaged'!$C$5:$C$1004,C31,'Who Engaged'!$N$5:$N$1004,"Yes")+SUMIFS('Who Engaged'!$J$5:$J$1004,'Who Engaged'!$C$5:$C$1004,C31,'Who Engaged'!$N$5:$N$1004,"Yes")+SUMIFS('Who Engaged'!$K$5:$K$1004,'Who Engaged'!$C$5:$C$1004,C31,'Who Engaged'!$N$5:$N$1004,"Yes"))</f>
        <v/>
      </c>
      <c r="R31" s="22" t="str">
        <f aca="false">IF(OR(OR(A31="",B31="",C31=""),P31=""),"",MAX(0,P31-N(Q31)))</f>
        <v/>
      </c>
      <c r="S31" s="23" t="str">
        <f aca="false">IF(OR(OR(A31="",B31="",C31=""),R31=""),"",IFERROR(R31/(IF(N(H31)&gt;0,H31,IF(N(I31)&gt;0,I31,IF(COUNTIFS($B$16:$B$215,B31,$H$16:$H$215,"&gt;0")+COUNTIFS($B$16:$B$215,B31,$I$16:$I$215,"&gt;0")&gt;0,"",INDEX($B$5:$B$7,MATCH(B31,$A$5:$A$7,0)))))),""))</f>
        <v/>
      </c>
      <c r="T31" s="24" t="str">
        <f aca="false">IF(OR(A31="",B31="",C31=""),"",IF(OR(S31="",COUNTIFS($B$16:$B$215,B31,$S$16:$S$215,"&gt;=0")&lt;2),"No Data Yet",IFERROR(IF(S31/AVERAGEIFS($S$16:$S$215,$B$16:$B$215,B31)&gt;=1.2,"Good",IF(S31/AVERAGEIFS($S$16:$S$215,$B$16:$B$215,B31)&gt;=0.8,"Average","Below Standard")),"Average")))</f>
        <v/>
      </c>
      <c r="U31" s="22" t="str">
        <f aca="false">IF(OR(A31="",B31="",C31=""),"",COUNTIFS('Who Engaged'!$C$5:$C$1004,C31,'Who Engaged'!$O$5:$O$1004,"Yes",'Who Engaged'!$M$5:$M$1004,1))</f>
        <v/>
      </c>
      <c r="V31" s="22" t="str">
        <f aca="false">IF(OR(A31="",B31="",C31=""),"",COUNTIFS('Who Engaged'!$C$5:$C$1004,C31,'Who Engaged'!$O$5:$O$1004,"Yes",'Who Engaged'!$L$5:$L$1004,1))</f>
        <v/>
      </c>
      <c r="W31" s="25" t="str">
        <f aca="false" t="array" ref="W31:W31">IF(OR(A31="",B31="",C31=""),"",_xlfn.TEXTJOIN("; ",TRUE(),IF(('Who Engaged'!$C$5:$C$1004=C31)*('Who Engaged'!$O$5:$O$1004="Yes"),'Who Engaged'!$D$5:$D$1004&amp;" – "&amp;'Who Engaged'!$F$5:$F$1004&amp;IF('Who Engaged'!$L$5:$L$1004=1," (followed)",""),"")))</f>
        <v/>
      </c>
      <c r="X31" s="26"/>
      <c r="Y31" s="26"/>
      <c r="Z31" s="27"/>
      <c r="AA31" s="24" t="str">
        <f aca="false">IF(OR(A31="",B31="",C31=""),"","https://www.alphanodus.com/contact?utm_source="&amp;IF(B31="X","twitter",LOWER(B31))&amp;"&amp;utm_medium=social&amp;utm_campaign="&amp;IF(E31="","general",LOWER(SUBSTITUTE(SUBSTITUTE(E31," / ","-")," ","-")))&amp;"&amp;utm_content="&amp;LOWER(C31))</f>
        <v/>
      </c>
    </row>
    <row r="32" customFormat="false" ht="15" hidden="false" customHeight="false" outlineLevel="0" collapsed="false">
      <c r="A32" s="28"/>
      <c r="B32" s="27"/>
      <c r="C32" s="27"/>
      <c r="D32" s="26"/>
      <c r="E32" s="27"/>
      <c r="F32" s="27"/>
      <c r="G32" s="27"/>
      <c r="H32" s="21"/>
      <c r="I32" s="21"/>
      <c r="J32" s="21"/>
      <c r="K32" s="21"/>
      <c r="L32" s="21"/>
      <c r="M32" s="21"/>
      <c r="N32" s="21"/>
      <c r="O32" s="21"/>
      <c r="P32" s="22" t="str">
        <f aca="false">IF(OR(A32="",B32="",C32=""),"",IF(COUNT(J32:N32)=0,"",SUM(J32:N32)))</f>
        <v/>
      </c>
      <c r="Q32" s="22" t="str">
        <f aca="false">IF(OR(A32="",B32="",C32=""),"",SUMIFS('Who Engaged'!$H$5:$H$1004,'Who Engaged'!$C$5:$C$1004,C32,'Who Engaged'!$N$5:$N$1004,"Yes")+SUMIFS('Who Engaged'!$I$5:$I$1004,'Who Engaged'!$C$5:$C$1004,C32,'Who Engaged'!$N$5:$N$1004,"Yes")+SUMIFS('Who Engaged'!$J$5:$J$1004,'Who Engaged'!$C$5:$C$1004,C32,'Who Engaged'!$N$5:$N$1004,"Yes")+SUMIFS('Who Engaged'!$K$5:$K$1004,'Who Engaged'!$C$5:$C$1004,C32,'Who Engaged'!$N$5:$N$1004,"Yes"))</f>
        <v/>
      </c>
      <c r="R32" s="22" t="str">
        <f aca="false">IF(OR(OR(A32="",B32="",C32=""),P32=""),"",MAX(0,P32-N(Q32)))</f>
        <v/>
      </c>
      <c r="S32" s="23" t="str">
        <f aca="false">IF(OR(OR(A32="",B32="",C32=""),R32=""),"",IFERROR(R32/(IF(N(H32)&gt;0,H32,IF(N(I32)&gt;0,I32,IF(COUNTIFS($B$16:$B$215,B32,$H$16:$H$215,"&gt;0")+COUNTIFS($B$16:$B$215,B32,$I$16:$I$215,"&gt;0")&gt;0,"",INDEX($B$5:$B$7,MATCH(B32,$A$5:$A$7,0)))))),""))</f>
        <v/>
      </c>
      <c r="T32" s="24" t="str">
        <f aca="false">IF(OR(A32="",B32="",C32=""),"",IF(OR(S32="",COUNTIFS($B$16:$B$215,B32,$S$16:$S$215,"&gt;=0")&lt;2),"No Data Yet",IFERROR(IF(S32/AVERAGEIFS($S$16:$S$215,$B$16:$B$215,B32)&gt;=1.2,"Good",IF(S32/AVERAGEIFS($S$16:$S$215,$B$16:$B$215,B32)&gt;=0.8,"Average","Below Standard")),"Average")))</f>
        <v/>
      </c>
      <c r="U32" s="22" t="str">
        <f aca="false">IF(OR(A32="",B32="",C32=""),"",COUNTIFS('Who Engaged'!$C$5:$C$1004,C32,'Who Engaged'!$O$5:$O$1004,"Yes",'Who Engaged'!$M$5:$M$1004,1))</f>
        <v/>
      </c>
      <c r="V32" s="22" t="str">
        <f aca="false">IF(OR(A32="",B32="",C32=""),"",COUNTIFS('Who Engaged'!$C$5:$C$1004,C32,'Who Engaged'!$O$5:$O$1004,"Yes",'Who Engaged'!$L$5:$L$1004,1))</f>
        <v/>
      </c>
      <c r="W32" s="25" t="str">
        <f aca="false" t="array" ref="W32:W32">IF(OR(A32="",B32="",C32=""),"",_xlfn.TEXTJOIN("; ",TRUE(),IF(('Who Engaged'!$C$5:$C$1004=C32)*('Who Engaged'!$O$5:$O$1004="Yes"),'Who Engaged'!$D$5:$D$1004&amp;" – "&amp;'Who Engaged'!$F$5:$F$1004&amp;IF('Who Engaged'!$L$5:$L$1004=1," (followed)",""),"")))</f>
        <v/>
      </c>
      <c r="X32" s="26"/>
      <c r="Y32" s="26"/>
      <c r="Z32" s="27"/>
      <c r="AA32" s="24" t="str">
        <f aca="false">IF(OR(A32="",B32="",C32=""),"","https://www.alphanodus.com/contact?utm_source="&amp;IF(B32="X","twitter",LOWER(B32))&amp;"&amp;utm_medium=social&amp;utm_campaign="&amp;IF(E32="","general",LOWER(SUBSTITUTE(SUBSTITUTE(E32," / ","-")," ","-")))&amp;"&amp;utm_content="&amp;LOWER(C32))</f>
        <v/>
      </c>
    </row>
    <row r="33" customFormat="false" ht="15" hidden="false" customHeight="false" outlineLevel="0" collapsed="false">
      <c r="A33" s="28"/>
      <c r="B33" s="27"/>
      <c r="C33" s="27"/>
      <c r="D33" s="26"/>
      <c r="E33" s="27"/>
      <c r="F33" s="27"/>
      <c r="G33" s="27"/>
      <c r="H33" s="21"/>
      <c r="I33" s="21"/>
      <c r="J33" s="21"/>
      <c r="K33" s="21"/>
      <c r="L33" s="21"/>
      <c r="M33" s="21"/>
      <c r="N33" s="21"/>
      <c r="O33" s="21"/>
      <c r="P33" s="22" t="str">
        <f aca="false">IF(OR(A33="",B33="",C33=""),"",IF(COUNT(J33:N33)=0,"",SUM(J33:N33)))</f>
        <v/>
      </c>
      <c r="Q33" s="22" t="str">
        <f aca="false">IF(OR(A33="",B33="",C33=""),"",SUMIFS('Who Engaged'!$H$5:$H$1004,'Who Engaged'!$C$5:$C$1004,C33,'Who Engaged'!$N$5:$N$1004,"Yes")+SUMIFS('Who Engaged'!$I$5:$I$1004,'Who Engaged'!$C$5:$C$1004,C33,'Who Engaged'!$N$5:$N$1004,"Yes")+SUMIFS('Who Engaged'!$J$5:$J$1004,'Who Engaged'!$C$5:$C$1004,C33,'Who Engaged'!$N$5:$N$1004,"Yes")+SUMIFS('Who Engaged'!$K$5:$K$1004,'Who Engaged'!$C$5:$C$1004,C33,'Who Engaged'!$N$5:$N$1004,"Yes"))</f>
        <v/>
      </c>
      <c r="R33" s="22" t="str">
        <f aca="false">IF(OR(OR(A33="",B33="",C33=""),P33=""),"",MAX(0,P33-N(Q33)))</f>
        <v/>
      </c>
      <c r="S33" s="23" t="str">
        <f aca="false">IF(OR(OR(A33="",B33="",C33=""),R33=""),"",IFERROR(R33/(IF(N(H33)&gt;0,H33,IF(N(I33)&gt;0,I33,IF(COUNTIFS($B$16:$B$215,B33,$H$16:$H$215,"&gt;0")+COUNTIFS($B$16:$B$215,B33,$I$16:$I$215,"&gt;0")&gt;0,"",INDEX($B$5:$B$7,MATCH(B33,$A$5:$A$7,0)))))),""))</f>
        <v/>
      </c>
      <c r="T33" s="24" t="str">
        <f aca="false">IF(OR(A33="",B33="",C33=""),"",IF(OR(S33="",COUNTIFS($B$16:$B$215,B33,$S$16:$S$215,"&gt;=0")&lt;2),"No Data Yet",IFERROR(IF(S33/AVERAGEIFS($S$16:$S$215,$B$16:$B$215,B33)&gt;=1.2,"Good",IF(S33/AVERAGEIFS($S$16:$S$215,$B$16:$B$215,B33)&gt;=0.8,"Average","Below Standard")),"Average")))</f>
        <v/>
      </c>
      <c r="U33" s="22" t="str">
        <f aca="false">IF(OR(A33="",B33="",C33=""),"",COUNTIFS('Who Engaged'!$C$5:$C$1004,C33,'Who Engaged'!$O$5:$O$1004,"Yes",'Who Engaged'!$M$5:$M$1004,1))</f>
        <v/>
      </c>
      <c r="V33" s="22" t="str">
        <f aca="false">IF(OR(A33="",B33="",C33=""),"",COUNTIFS('Who Engaged'!$C$5:$C$1004,C33,'Who Engaged'!$O$5:$O$1004,"Yes",'Who Engaged'!$L$5:$L$1004,1))</f>
        <v/>
      </c>
      <c r="W33" s="25" t="str">
        <f aca="false" t="array" ref="W33:W33">IF(OR(A33="",B33="",C33=""),"",_xlfn.TEXTJOIN("; ",TRUE(),IF(('Who Engaged'!$C$5:$C$1004=C33)*('Who Engaged'!$O$5:$O$1004="Yes"),'Who Engaged'!$D$5:$D$1004&amp;" – "&amp;'Who Engaged'!$F$5:$F$1004&amp;IF('Who Engaged'!$L$5:$L$1004=1," (followed)",""),"")))</f>
        <v/>
      </c>
      <c r="X33" s="26"/>
      <c r="Y33" s="26"/>
      <c r="Z33" s="27"/>
      <c r="AA33" s="24" t="str">
        <f aca="false">IF(OR(A33="",B33="",C33=""),"","https://www.alphanodus.com/contact?utm_source="&amp;IF(B33="X","twitter",LOWER(B33))&amp;"&amp;utm_medium=social&amp;utm_campaign="&amp;IF(E33="","general",LOWER(SUBSTITUTE(SUBSTITUTE(E33," / ","-")," ","-")))&amp;"&amp;utm_content="&amp;LOWER(C33))</f>
        <v/>
      </c>
    </row>
    <row r="34" customFormat="false" ht="15" hidden="false" customHeight="false" outlineLevel="0" collapsed="false">
      <c r="A34" s="28"/>
      <c r="B34" s="27"/>
      <c r="C34" s="27"/>
      <c r="D34" s="26"/>
      <c r="E34" s="27"/>
      <c r="F34" s="27"/>
      <c r="G34" s="27"/>
      <c r="H34" s="21"/>
      <c r="I34" s="21"/>
      <c r="J34" s="21"/>
      <c r="K34" s="21"/>
      <c r="L34" s="21"/>
      <c r="M34" s="21"/>
      <c r="N34" s="21"/>
      <c r="O34" s="21"/>
      <c r="P34" s="22" t="str">
        <f aca="false">IF(OR(A34="",B34="",C34=""),"",IF(COUNT(J34:N34)=0,"",SUM(J34:N34)))</f>
        <v/>
      </c>
      <c r="Q34" s="22" t="str">
        <f aca="false">IF(OR(A34="",B34="",C34=""),"",SUMIFS('Who Engaged'!$H$5:$H$1004,'Who Engaged'!$C$5:$C$1004,C34,'Who Engaged'!$N$5:$N$1004,"Yes")+SUMIFS('Who Engaged'!$I$5:$I$1004,'Who Engaged'!$C$5:$C$1004,C34,'Who Engaged'!$N$5:$N$1004,"Yes")+SUMIFS('Who Engaged'!$J$5:$J$1004,'Who Engaged'!$C$5:$C$1004,C34,'Who Engaged'!$N$5:$N$1004,"Yes")+SUMIFS('Who Engaged'!$K$5:$K$1004,'Who Engaged'!$C$5:$C$1004,C34,'Who Engaged'!$N$5:$N$1004,"Yes"))</f>
        <v/>
      </c>
      <c r="R34" s="22" t="str">
        <f aca="false">IF(OR(OR(A34="",B34="",C34=""),P34=""),"",MAX(0,P34-N(Q34)))</f>
        <v/>
      </c>
      <c r="S34" s="23" t="str">
        <f aca="false">IF(OR(OR(A34="",B34="",C34=""),R34=""),"",IFERROR(R34/(IF(N(H34)&gt;0,H34,IF(N(I34)&gt;0,I34,IF(COUNTIFS($B$16:$B$215,B34,$H$16:$H$215,"&gt;0")+COUNTIFS($B$16:$B$215,B34,$I$16:$I$215,"&gt;0")&gt;0,"",INDEX($B$5:$B$7,MATCH(B34,$A$5:$A$7,0)))))),""))</f>
        <v/>
      </c>
      <c r="T34" s="24" t="str">
        <f aca="false">IF(OR(A34="",B34="",C34=""),"",IF(OR(S34="",COUNTIFS($B$16:$B$215,B34,$S$16:$S$215,"&gt;=0")&lt;2),"No Data Yet",IFERROR(IF(S34/AVERAGEIFS($S$16:$S$215,$B$16:$B$215,B34)&gt;=1.2,"Good",IF(S34/AVERAGEIFS($S$16:$S$215,$B$16:$B$215,B34)&gt;=0.8,"Average","Below Standard")),"Average")))</f>
        <v/>
      </c>
      <c r="U34" s="22" t="str">
        <f aca="false">IF(OR(A34="",B34="",C34=""),"",COUNTIFS('Who Engaged'!$C$5:$C$1004,C34,'Who Engaged'!$O$5:$O$1004,"Yes",'Who Engaged'!$M$5:$M$1004,1))</f>
        <v/>
      </c>
      <c r="V34" s="22" t="str">
        <f aca="false">IF(OR(A34="",B34="",C34=""),"",COUNTIFS('Who Engaged'!$C$5:$C$1004,C34,'Who Engaged'!$O$5:$O$1004,"Yes",'Who Engaged'!$L$5:$L$1004,1))</f>
        <v/>
      </c>
      <c r="W34" s="25" t="str">
        <f aca="false" t="array" ref="W34:W34">IF(OR(A34="",B34="",C34=""),"",_xlfn.TEXTJOIN("; ",TRUE(),IF(('Who Engaged'!$C$5:$C$1004=C34)*('Who Engaged'!$O$5:$O$1004="Yes"),'Who Engaged'!$D$5:$D$1004&amp;" – "&amp;'Who Engaged'!$F$5:$F$1004&amp;IF('Who Engaged'!$L$5:$L$1004=1," (followed)",""),"")))</f>
        <v/>
      </c>
      <c r="X34" s="26"/>
      <c r="Y34" s="26"/>
      <c r="Z34" s="27"/>
      <c r="AA34" s="24" t="str">
        <f aca="false">IF(OR(A34="",B34="",C34=""),"","https://www.alphanodus.com/contact?utm_source="&amp;IF(B34="X","twitter",LOWER(B34))&amp;"&amp;utm_medium=social&amp;utm_campaign="&amp;IF(E34="","general",LOWER(SUBSTITUTE(SUBSTITUTE(E34," / ","-")," ","-")))&amp;"&amp;utm_content="&amp;LOWER(C34))</f>
        <v/>
      </c>
    </row>
    <row r="35" customFormat="false" ht="15" hidden="false" customHeight="false" outlineLevel="0" collapsed="false">
      <c r="A35" s="28"/>
      <c r="B35" s="27"/>
      <c r="C35" s="27"/>
      <c r="D35" s="26"/>
      <c r="E35" s="27"/>
      <c r="F35" s="27"/>
      <c r="G35" s="27"/>
      <c r="H35" s="21"/>
      <c r="I35" s="21"/>
      <c r="J35" s="21"/>
      <c r="K35" s="21"/>
      <c r="L35" s="21"/>
      <c r="M35" s="21"/>
      <c r="N35" s="21"/>
      <c r="O35" s="21"/>
      <c r="P35" s="22" t="str">
        <f aca="false">IF(OR(A35="",B35="",C35=""),"",IF(COUNT(J35:N35)=0,"",SUM(J35:N35)))</f>
        <v/>
      </c>
      <c r="Q35" s="22" t="str">
        <f aca="false">IF(OR(A35="",B35="",C35=""),"",SUMIFS('Who Engaged'!$H$5:$H$1004,'Who Engaged'!$C$5:$C$1004,C35,'Who Engaged'!$N$5:$N$1004,"Yes")+SUMIFS('Who Engaged'!$I$5:$I$1004,'Who Engaged'!$C$5:$C$1004,C35,'Who Engaged'!$N$5:$N$1004,"Yes")+SUMIFS('Who Engaged'!$J$5:$J$1004,'Who Engaged'!$C$5:$C$1004,C35,'Who Engaged'!$N$5:$N$1004,"Yes")+SUMIFS('Who Engaged'!$K$5:$K$1004,'Who Engaged'!$C$5:$C$1004,C35,'Who Engaged'!$N$5:$N$1004,"Yes"))</f>
        <v/>
      </c>
      <c r="R35" s="22" t="str">
        <f aca="false">IF(OR(OR(A35="",B35="",C35=""),P35=""),"",MAX(0,P35-N(Q35)))</f>
        <v/>
      </c>
      <c r="S35" s="23" t="str">
        <f aca="false">IF(OR(OR(A35="",B35="",C35=""),R35=""),"",IFERROR(R35/(IF(N(H35)&gt;0,H35,IF(N(I35)&gt;0,I35,IF(COUNTIFS($B$16:$B$215,B35,$H$16:$H$215,"&gt;0")+COUNTIFS($B$16:$B$215,B35,$I$16:$I$215,"&gt;0")&gt;0,"",INDEX($B$5:$B$7,MATCH(B35,$A$5:$A$7,0)))))),""))</f>
        <v/>
      </c>
      <c r="T35" s="24" t="str">
        <f aca="false">IF(OR(A35="",B35="",C35=""),"",IF(OR(S35="",COUNTIFS($B$16:$B$215,B35,$S$16:$S$215,"&gt;=0")&lt;2),"No Data Yet",IFERROR(IF(S35/AVERAGEIFS($S$16:$S$215,$B$16:$B$215,B35)&gt;=1.2,"Good",IF(S35/AVERAGEIFS($S$16:$S$215,$B$16:$B$215,B35)&gt;=0.8,"Average","Below Standard")),"Average")))</f>
        <v/>
      </c>
      <c r="U35" s="22" t="str">
        <f aca="false">IF(OR(A35="",B35="",C35=""),"",COUNTIFS('Who Engaged'!$C$5:$C$1004,C35,'Who Engaged'!$O$5:$O$1004,"Yes",'Who Engaged'!$M$5:$M$1004,1))</f>
        <v/>
      </c>
      <c r="V35" s="22" t="str">
        <f aca="false">IF(OR(A35="",B35="",C35=""),"",COUNTIFS('Who Engaged'!$C$5:$C$1004,C35,'Who Engaged'!$O$5:$O$1004,"Yes",'Who Engaged'!$L$5:$L$1004,1))</f>
        <v/>
      </c>
      <c r="W35" s="25" t="str">
        <f aca="false" t="array" ref="W35:W35">IF(OR(A35="",B35="",C35=""),"",_xlfn.TEXTJOIN("; ",TRUE(),IF(('Who Engaged'!$C$5:$C$1004=C35)*('Who Engaged'!$O$5:$O$1004="Yes"),'Who Engaged'!$D$5:$D$1004&amp;" – "&amp;'Who Engaged'!$F$5:$F$1004&amp;IF('Who Engaged'!$L$5:$L$1004=1," (followed)",""),"")))</f>
        <v/>
      </c>
      <c r="X35" s="26"/>
      <c r="Y35" s="26"/>
      <c r="Z35" s="27"/>
      <c r="AA35" s="24" t="str">
        <f aca="false">IF(OR(A35="",B35="",C35=""),"","https://www.alphanodus.com/contact?utm_source="&amp;IF(B35="X","twitter",LOWER(B35))&amp;"&amp;utm_medium=social&amp;utm_campaign="&amp;IF(E35="","general",LOWER(SUBSTITUTE(SUBSTITUTE(E35," / ","-")," ","-")))&amp;"&amp;utm_content="&amp;LOWER(C35))</f>
        <v/>
      </c>
    </row>
    <row r="36" customFormat="false" ht="15" hidden="false" customHeight="false" outlineLevel="0" collapsed="false">
      <c r="A36" s="28"/>
      <c r="B36" s="27"/>
      <c r="C36" s="27"/>
      <c r="D36" s="26"/>
      <c r="E36" s="27"/>
      <c r="F36" s="27"/>
      <c r="G36" s="27"/>
      <c r="H36" s="21"/>
      <c r="I36" s="21"/>
      <c r="J36" s="21"/>
      <c r="K36" s="21"/>
      <c r="L36" s="21"/>
      <c r="M36" s="21"/>
      <c r="N36" s="21"/>
      <c r="O36" s="21"/>
      <c r="P36" s="22" t="str">
        <f aca="false">IF(OR(A36="",B36="",C36=""),"",IF(COUNT(J36:N36)=0,"",SUM(J36:N36)))</f>
        <v/>
      </c>
      <c r="Q36" s="22" t="str">
        <f aca="false">IF(OR(A36="",B36="",C36=""),"",SUMIFS('Who Engaged'!$H$5:$H$1004,'Who Engaged'!$C$5:$C$1004,C36,'Who Engaged'!$N$5:$N$1004,"Yes")+SUMIFS('Who Engaged'!$I$5:$I$1004,'Who Engaged'!$C$5:$C$1004,C36,'Who Engaged'!$N$5:$N$1004,"Yes")+SUMIFS('Who Engaged'!$J$5:$J$1004,'Who Engaged'!$C$5:$C$1004,C36,'Who Engaged'!$N$5:$N$1004,"Yes")+SUMIFS('Who Engaged'!$K$5:$K$1004,'Who Engaged'!$C$5:$C$1004,C36,'Who Engaged'!$N$5:$N$1004,"Yes"))</f>
        <v/>
      </c>
      <c r="R36" s="22" t="str">
        <f aca="false">IF(OR(OR(A36="",B36="",C36=""),P36=""),"",MAX(0,P36-N(Q36)))</f>
        <v/>
      </c>
      <c r="S36" s="23" t="str">
        <f aca="false">IF(OR(OR(A36="",B36="",C36=""),R36=""),"",IFERROR(R36/(IF(N(H36)&gt;0,H36,IF(N(I36)&gt;0,I36,IF(COUNTIFS($B$16:$B$215,B36,$H$16:$H$215,"&gt;0")+COUNTIFS($B$16:$B$215,B36,$I$16:$I$215,"&gt;0")&gt;0,"",INDEX($B$5:$B$7,MATCH(B36,$A$5:$A$7,0)))))),""))</f>
        <v/>
      </c>
      <c r="T36" s="24" t="str">
        <f aca="false">IF(OR(A36="",B36="",C36=""),"",IF(OR(S36="",COUNTIFS($B$16:$B$215,B36,$S$16:$S$215,"&gt;=0")&lt;2),"No Data Yet",IFERROR(IF(S36/AVERAGEIFS($S$16:$S$215,$B$16:$B$215,B36)&gt;=1.2,"Good",IF(S36/AVERAGEIFS($S$16:$S$215,$B$16:$B$215,B36)&gt;=0.8,"Average","Below Standard")),"Average")))</f>
        <v/>
      </c>
      <c r="U36" s="22" t="str">
        <f aca="false">IF(OR(A36="",B36="",C36=""),"",COUNTIFS('Who Engaged'!$C$5:$C$1004,C36,'Who Engaged'!$O$5:$O$1004,"Yes",'Who Engaged'!$M$5:$M$1004,1))</f>
        <v/>
      </c>
      <c r="V36" s="22" t="str">
        <f aca="false">IF(OR(A36="",B36="",C36=""),"",COUNTIFS('Who Engaged'!$C$5:$C$1004,C36,'Who Engaged'!$O$5:$O$1004,"Yes",'Who Engaged'!$L$5:$L$1004,1))</f>
        <v/>
      </c>
      <c r="W36" s="25" t="str">
        <f aca="false" t="array" ref="W36:W36">IF(OR(A36="",B36="",C36=""),"",_xlfn.TEXTJOIN("; ",TRUE(),IF(('Who Engaged'!$C$5:$C$1004=C36)*('Who Engaged'!$O$5:$O$1004="Yes"),'Who Engaged'!$D$5:$D$1004&amp;" – "&amp;'Who Engaged'!$F$5:$F$1004&amp;IF('Who Engaged'!$L$5:$L$1004=1," (followed)",""),"")))</f>
        <v/>
      </c>
      <c r="X36" s="26"/>
      <c r="Y36" s="26"/>
      <c r="Z36" s="27"/>
      <c r="AA36" s="24" t="str">
        <f aca="false">IF(OR(A36="",B36="",C36=""),"","https://www.alphanodus.com/contact?utm_source="&amp;IF(B36="X","twitter",LOWER(B36))&amp;"&amp;utm_medium=social&amp;utm_campaign="&amp;IF(E36="","general",LOWER(SUBSTITUTE(SUBSTITUTE(E36," / ","-")," ","-")))&amp;"&amp;utm_content="&amp;LOWER(C36))</f>
        <v/>
      </c>
    </row>
    <row r="37" customFormat="false" ht="15" hidden="false" customHeight="false" outlineLevel="0" collapsed="false">
      <c r="A37" s="28"/>
      <c r="B37" s="27"/>
      <c r="C37" s="27"/>
      <c r="D37" s="26"/>
      <c r="E37" s="27"/>
      <c r="F37" s="27"/>
      <c r="G37" s="27"/>
      <c r="H37" s="21"/>
      <c r="I37" s="21"/>
      <c r="J37" s="21"/>
      <c r="K37" s="21"/>
      <c r="L37" s="21"/>
      <c r="M37" s="21"/>
      <c r="N37" s="21"/>
      <c r="O37" s="21"/>
      <c r="P37" s="22" t="str">
        <f aca="false">IF(OR(A37="",B37="",C37=""),"",IF(COUNT(J37:N37)=0,"",SUM(J37:N37)))</f>
        <v/>
      </c>
      <c r="Q37" s="22" t="str">
        <f aca="false">IF(OR(A37="",B37="",C37=""),"",SUMIFS('Who Engaged'!$H$5:$H$1004,'Who Engaged'!$C$5:$C$1004,C37,'Who Engaged'!$N$5:$N$1004,"Yes")+SUMIFS('Who Engaged'!$I$5:$I$1004,'Who Engaged'!$C$5:$C$1004,C37,'Who Engaged'!$N$5:$N$1004,"Yes")+SUMIFS('Who Engaged'!$J$5:$J$1004,'Who Engaged'!$C$5:$C$1004,C37,'Who Engaged'!$N$5:$N$1004,"Yes")+SUMIFS('Who Engaged'!$K$5:$K$1004,'Who Engaged'!$C$5:$C$1004,C37,'Who Engaged'!$N$5:$N$1004,"Yes"))</f>
        <v/>
      </c>
      <c r="R37" s="22" t="str">
        <f aca="false">IF(OR(OR(A37="",B37="",C37=""),P37=""),"",MAX(0,P37-N(Q37)))</f>
        <v/>
      </c>
      <c r="S37" s="23" t="str">
        <f aca="false">IF(OR(OR(A37="",B37="",C37=""),R37=""),"",IFERROR(R37/(IF(N(H37)&gt;0,H37,IF(N(I37)&gt;0,I37,IF(COUNTIFS($B$16:$B$215,B37,$H$16:$H$215,"&gt;0")+COUNTIFS($B$16:$B$215,B37,$I$16:$I$215,"&gt;0")&gt;0,"",INDEX($B$5:$B$7,MATCH(B37,$A$5:$A$7,0)))))),""))</f>
        <v/>
      </c>
      <c r="T37" s="24" t="str">
        <f aca="false">IF(OR(A37="",B37="",C37=""),"",IF(OR(S37="",COUNTIFS($B$16:$B$215,B37,$S$16:$S$215,"&gt;=0")&lt;2),"No Data Yet",IFERROR(IF(S37/AVERAGEIFS($S$16:$S$215,$B$16:$B$215,B37)&gt;=1.2,"Good",IF(S37/AVERAGEIFS($S$16:$S$215,$B$16:$B$215,B37)&gt;=0.8,"Average","Below Standard")),"Average")))</f>
        <v/>
      </c>
      <c r="U37" s="22" t="str">
        <f aca="false">IF(OR(A37="",B37="",C37=""),"",COUNTIFS('Who Engaged'!$C$5:$C$1004,C37,'Who Engaged'!$O$5:$O$1004,"Yes",'Who Engaged'!$M$5:$M$1004,1))</f>
        <v/>
      </c>
      <c r="V37" s="22" t="str">
        <f aca="false">IF(OR(A37="",B37="",C37=""),"",COUNTIFS('Who Engaged'!$C$5:$C$1004,C37,'Who Engaged'!$O$5:$O$1004,"Yes",'Who Engaged'!$L$5:$L$1004,1))</f>
        <v/>
      </c>
      <c r="W37" s="25" t="str">
        <f aca="false" t="array" ref="W37:W37">IF(OR(A37="",B37="",C37=""),"",_xlfn.TEXTJOIN("; ",TRUE(),IF(('Who Engaged'!$C$5:$C$1004=C37)*('Who Engaged'!$O$5:$O$1004="Yes"),'Who Engaged'!$D$5:$D$1004&amp;" – "&amp;'Who Engaged'!$F$5:$F$1004&amp;IF('Who Engaged'!$L$5:$L$1004=1," (followed)",""),"")))</f>
        <v/>
      </c>
      <c r="X37" s="26"/>
      <c r="Y37" s="26"/>
      <c r="Z37" s="27"/>
      <c r="AA37" s="24" t="str">
        <f aca="false">IF(OR(A37="",B37="",C37=""),"","https://www.alphanodus.com/contact?utm_source="&amp;IF(B37="X","twitter",LOWER(B37))&amp;"&amp;utm_medium=social&amp;utm_campaign="&amp;IF(E37="","general",LOWER(SUBSTITUTE(SUBSTITUTE(E37," / ","-")," ","-")))&amp;"&amp;utm_content="&amp;LOWER(C37))</f>
        <v/>
      </c>
    </row>
    <row r="38" customFormat="false" ht="15" hidden="false" customHeight="false" outlineLevel="0" collapsed="false">
      <c r="A38" s="28"/>
      <c r="B38" s="27"/>
      <c r="C38" s="27"/>
      <c r="D38" s="26"/>
      <c r="E38" s="27"/>
      <c r="F38" s="27"/>
      <c r="G38" s="27"/>
      <c r="H38" s="21"/>
      <c r="I38" s="21"/>
      <c r="J38" s="21"/>
      <c r="K38" s="21"/>
      <c r="L38" s="21"/>
      <c r="M38" s="21"/>
      <c r="N38" s="21"/>
      <c r="O38" s="21"/>
      <c r="P38" s="22" t="str">
        <f aca="false">IF(OR(A38="",B38="",C38=""),"",IF(COUNT(J38:N38)=0,"",SUM(J38:N38)))</f>
        <v/>
      </c>
      <c r="Q38" s="22" t="str">
        <f aca="false">IF(OR(A38="",B38="",C38=""),"",SUMIFS('Who Engaged'!$H$5:$H$1004,'Who Engaged'!$C$5:$C$1004,C38,'Who Engaged'!$N$5:$N$1004,"Yes")+SUMIFS('Who Engaged'!$I$5:$I$1004,'Who Engaged'!$C$5:$C$1004,C38,'Who Engaged'!$N$5:$N$1004,"Yes")+SUMIFS('Who Engaged'!$J$5:$J$1004,'Who Engaged'!$C$5:$C$1004,C38,'Who Engaged'!$N$5:$N$1004,"Yes")+SUMIFS('Who Engaged'!$K$5:$K$1004,'Who Engaged'!$C$5:$C$1004,C38,'Who Engaged'!$N$5:$N$1004,"Yes"))</f>
        <v/>
      </c>
      <c r="R38" s="22" t="str">
        <f aca="false">IF(OR(OR(A38="",B38="",C38=""),P38=""),"",MAX(0,P38-N(Q38)))</f>
        <v/>
      </c>
      <c r="S38" s="23" t="str">
        <f aca="false">IF(OR(OR(A38="",B38="",C38=""),R38=""),"",IFERROR(R38/(IF(N(H38)&gt;0,H38,IF(N(I38)&gt;0,I38,IF(COUNTIFS($B$16:$B$215,B38,$H$16:$H$215,"&gt;0")+COUNTIFS($B$16:$B$215,B38,$I$16:$I$215,"&gt;0")&gt;0,"",INDEX($B$5:$B$7,MATCH(B38,$A$5:$A$7,0)))))),""))</f>
        <v/>
      </c>
      <c r="T38" s="24" t="str">
        <f aca="false">IF(OR(A38="",B38="",C38=""),"",IF(OR(S38="",COUNTIFS($B$16:$B$215,B38,$S$16:$S$215,"&gt;=0")&lt;2),"No Data Yet",IFERROR(IF(S38/AVERAGEIFS($S$16:$S$215,$B$16:$B$215,B38)&gt;=1.2,"Good",IF(S38/AVERAGEIFS($S$16:$S$215,$B$16:$B$215,B38)&gt;=0.8,"Average","Below Standard")),"Average")))</f>
        <v/>
      </c>
      <c r="U38" s="22" t="str">
        <f aca="false">IF(OR(A38="",B38="",C38=""),"",COUNTIFS('Who Engaged'!$C$5:$C$1004,C38,'Who Engaged'!$O$5:$O$1004,"Yes",'Who Engaged'!$M$5:$M$1004,1))</f>
        <v/>
      </c>
      <c r="V38" s="22" t="str">
        <f aca="false">IF(OR(A38="",B38="",C38=""),"",COUNTIFS('Who Engaged'!$C$5:$C$1004,C38,'Who Engaged'!$O$5:$O$1004,"Yes",'Who Engaged'!$L$5:$L$1004,1))</f>
        <v/>
      </c>
      <c r="W38" s="25" t="str">
        <f aca="false" t="array" ref="W38:W38">IF(OR(A38="",B38="",C38=""),"",_xlfn.TEXTJOIN("; ",TRUE(),IF(('Who Engaged'!$C$5:$C$1004=C38)*('Who Engaged'!$O$5:$O$1004="Yes"),'Who Engaged'!$D$5:$D$1004&amp;" – "&amp;'Who Engaged'!$F$5:$F$1004&amp;IF('Who Engaged'!$L$5:$L$1004=1," (followed)",""),"")))</f>
        <v/>
      </c>
      <c r="X38" s="26"/>
      <c r="Y38" s="26"/>
      <c r="Z38" s="27"/>
      <c r="AA38" s="24" t="str">
        <f aca="false">IF(OR(A38="",B38="",C38=""),"","https://www.alphanodus.com/contact?utm_source="&amp;IF(B38="X","twitter",LOWER(B38))&amp;"&amp;utm_medium=social&amp;utm_campaign="&amp;IF(E38="","general",LOWER(SUBSTITUTE(SUBSTITUTE(E38," / ","-")," ","-")))&amp;"&amp;utm_content="&amp;LOWER(C38))</f>
        <v/>
      </c>
    </row>
    <row r="39" customFormat="false" ht="15" hidden="false" customHeight="false" outlineLevel="0" collapsed="false">
      <c r="A39" s="28"/>
      <c r="B39" s="27"/>
      <c r="C39" s="27"/>
      <c r="D39" s="26"/>
      <c r="E39" s="27"/>
      <c r="F39" s="27"/>
      <c r="G39" s="27"/>
      <c r="H39" s="21"/>
      <c r="I39" s="21"/>
      <c r="J39" s="21"/>
      <c r="K39" s="21"/>
      <c r="L39" s="21"/>
      <c r="M39" s="21"/>
      <c r="N39" s="21"/>
      <c r="O39" s="21"/>
      <c r="P39" s="22" t="str">
        <f aca="false">IF(OR(A39="",B39="",C39=""),"",IF(COUNT(J39:N39)=0,"",SUM(J39:N39)))</f>
        <v/>
      </c>
      <c r="Q39" s="22" t="str">
        <f aca="false">IF(OR(A39="",B39="",C39=""),"",SUMIFS('Who Engaged'!$H$5:$H$1004,'Who Engaged'!$C$5:$C$1004,C39,'Who Engaged'!$N$5:$N$1004,"Yes")+SUMIFS('Who Engaged'!$I$5:$I$1004,'Who Engaged'!$C$5:$C$1004,C39,'Who Engaged'!$N$5:$N$1004,"Yes")+SUMIFS('Who Engaged'!$J$5:$J$1004,'Who Engaged'!$C$5:$C$1004,C39,'Who Engaged'!$N$5:$N$1004,"Yes")+SUMIFS('Who Engaged'!$K$5:$K$1004,'Who Engaged'!$C$5:$C$1004,C39,'Who Engaged'!$N$5:$N$1004,"Yes"))</f>
        <v/>
      </c>
      <c r="R39" s="22" t="str">
        <f aca="false">IF(OR(OR(A39="",B39="",C39=""),P39=""),"",MAX(0,P39-N(Q39)))</f>
        <v/>
      </c>
      <c r="S39" s="23" t="str">
        <f aca="false">IF(OR(OR(A39="",B39="",C39=""),R39=""),"",IFERROR(R39/(IF(N(H39)&gt;0,H39,IF(N(I39)&gt;0,I39,IF(COUNTIFS($B$16:$B$215,B39,$H$16:$H$215,"&gt;0")+COUNTIFS($B$16:$B$215,B39,$I$16:$I$215,"&gt;0")&gt;0,"",INDEX($B$5:$B$7,MATCH(B39,$A$5:$A$7,0)))))),""))</f>
        <v/>
      </c>
      <c r="T39" s="24" t="str">
        <f aca="false">IF(OR(A39="",B39="",C39=""),"",IF(OR(S39="",COUNTIFS($B$16:$B$215,B39,$S$16:$S$215,"&gt;=0")&lt;2),"No Data Yet",IFERROR(IF(S39/AVERAGEIFS($S$16:$S$215,$B$16:$B$215,B39)&gt;=1.2,"Good",IF(S39/AVERAGEIFS($S$16:$S$215,$B$16:$B$215,B39)&gt;=0.8,"Average","Below Standard")),"Average")))</f>
        <v/>
      </c>
      <c r="U39" s="22" t="str">
        <f aca="false">IF(OR(A39="",B39="",C39=""),"",COUNTIFS('Who Engaged'!$C$5:$C$1004,C39,'Who Engaged'!$O$5:$O$1004,"Yes",'Who Engaged'!$M$5:$M$1004,1))</f>
        <v/>
      </c>
      <c r="V39" s="22" t="str">
        <f aca="false">IF(OR(A39="",B39="",C39=""),"",COUNTIFS('Who Engaged'!$C$5:$C$1004,C39,'Who Engaged'!$O$5:$O$1004,"Yes",'Who Engaged'!$L$5:$L$1004,1))</f>
        <v/>
      </c>
      <c r="W39" s="25" t="str">
        <f aca="false" t="array" ref="W39:W39">IF(OR(A39="",B39="",C39=""),"",_xlfn.TEXTJOIN("; ",TRUE(),IF(('Who Engaged'!$C$5:$C$1004=C39)*('Who Engaged'!$O$5:$O$1004="Yes"),'Who Engaged'!$D$5:$D$1004&amp;" – "&amp;'Who Engaged'!$F$5:$F$1004&amp;IF('Who Engaged'!$L$5:$L$1004=1," (followed)",""),"")))</f>
        <v/>
      </c>
      <c r="X39" s="26"/>
      <c r="Y39" s="26"/>
      <c r="Z39" s="27"/>
      <c r="AA39" s="24" t="str">
        <f aca="false">IF(OR(A39="",B39="",C39=""),"","https://www.alphanodus.com/contact?utm_source="&amp;IF(B39="X","twitter",LOWER(B39))&amp;"&amp;utm_medium=social&amp;utm_campaign="&amp;IF(E39="","general",LOWER(SUBSTITUTE(SUBSTITUTE(E39," / ","-")," ","-")))&amp;"&amp;utm_content="&amp;LOWER(C39))</f>
        <v/>
      </c>
    </row>
    <row r="40" customFormat="false" ht="15" hidden="false" customHeight="false" outlineLevel="0" collapsed="false">
      <c r="A40" s="28"/>
      <c r="B40" s="27"/>
      <c r="C40" s="27"/>
      <c r="D40" s="26"/>
      <c r="E40" s="27"/>
      <c r="F40" s="27"/>
      <c r="G40" s="27"/>
      <c r="H40" s="21"/>
      <c r="I40" s="21"/>
      <c r="J40" s="21"/>
      <c r="K40" s="21"/>
      <c r="L40" s="21"/>
      <c r="M40" s="21"/>
      <c r="N40" s="21"/>
      <c r="O40" s="21"/>
      <c r="P40" s="22" t="str">
        <f aca="false">IF(OR(A40="",B40="",C40=""),"",IF(COUNT(J40:N40)=0,"",SUM(J40:N40)))</f>
        <v/>
      </c>
      <c r="Q40" s="22" t="str">
        <f aca="false">IF(OR(A40="",B40="",C40=""),"",SUMIFS('Who Engaged'!$H$5:$H$1004,'Who Engaged'!$C$5:$C$1004,C40,'Who Engaged'!$N$5:$N$1004,"Yes")+SUMIFS('Who Engaged'!$I$5:$I$1004,'Who Engaged'!$C$5:$C$1004,C40,'Who Engaged'!$N$5:$N$1004,"Yes")+SUMIFS('Who Engaged'!$J$5:$J$1004,'Who Engaged'!$C$5:$C$1004,C40,'Who Engaged'!$N$5:$N$1004,"Yes")+SUMIFS('Who Engaged'!$K$5:$K$1004,'Who Engaged'!$C$5:$C$1004,C40,'Who Engaged'!$N$5:$N$1004,"Yes"))</f>
        <v/>
      </c>
      <c r="R40" s="22" t="str">
        <f aca="false">IF(OR(OR(A40="",B40="",C40=""),P40=""),"",MAX(0,P40-N(Q40)))</f>
        <v/>
      </c>
      <c r="S40" s="23" t="str">
        <f aca="false">IF(OR(OR(A40="",B40="",C40=""),R40=""),"",IFERROR(R40/(IF(N(H40)&gt;0,H40,IF(N(I40)&gt;0,I40,IF(COUNTIFS($B$16:$B$215,B40,$H$16:$H$215,"&gt;0")+COUNTIFS($B$16:$B$215,B40,$I$16:$I$215,"&gt;0")&gt;0,"",INDEX($B$5:$B$7,MATCH(B40,$A$5:$A$7,0)))))),""))</f>
        <v/>
      </c>
      <c r="T40" s="24" t="str">
        <f aca="false">IF(OR(A40="",B40="",C40=""),"",IF(OR(S40="",COUNTIFS($B$16:$B$215,B40,$S$16:$S$215,"&gt;=0")&lt;2),"No Data Yet",IFERROR(IF(S40/AVERAGEIFS($S$16:$S$215,$B$16:$B$215,B40)&gt;=1.2,"Good",IF(S40/AVERAGEIFS($S$16:$S$215,$B$16:$B$215,B40)&gt;=0.8,"Average","Below Standard")),"Average")))</f>
        <v/>
      </c>
      <c r="U40" s="22" t="str">
        <f aca="false">IF(OR(A40="",B40="",C40=""),"",COUNTIFS('Who Engaged'!$C$5:$C$1004,C40,'Who Engaged'!$O$5:$O$1004,"Yes",'Who Engaged'!$M$5:$M$1004,1))</f>
        <v/>
      </c>
      <c r="V40" s="22" t="str">
        <f aca="false">IF(OR(A40="",B40="",C40=""),"",COUNTIFS('Who Engaged'!$C$5:$C$1004,C40,'Who Engaged'!$O$5:$O$1004,"Yes",'Who Engaged'!$L$5:$L$1004,1))</f>
        <v/>
      </c>
      <c r="W40" s="25" t="str">
        <f aca="false" t="array" ref="W40:W40">IF(OR(A40="",B40="",C40=""),"",_xlfn.TEXTJOIN("; ",TRUE(),IF(('Who Engaged'!$C$5:$C$1004=C40)*('Who Engaged'!$O$5:$O$1004="Yes"),'Who Engaged'!$D$5:$D$1004&amp;" – "&amp;'Who Engaged'!$F$5:$F$1004&amp;IF('Who Engaged'!$L$5:$L$1004=1," (followed)",""),"")))</f>
        <v/>
      </c>
      <c r="X40" s="26"/>
      <c r="Y40" s="26"/>
      <c r="Z40" s="27"/>
      <c r="AA40" s="24" t="str">
        <f aca="false">IF(OR(A40="",B40="",C40=""),"","https://www.alphanodus.com/contact?utm_source="&amp;IF(B40="X","twitter",LOWER(B40))&amp;"&amp;utm_medium=social&amp;utm_campaign="&amp;IF(E40="","general",LOWER(SUBSTITUTE(SUBSTITUTE(E40," / ","-")," ","-")))&amp;"&amp;utm_content="&amp;LOWER(C40))</f>
        <v/>
      </c>
    </row>
    <row r="41" customFormat="false" ht="15" hidden="false" customHeight="false" outlineLevel="0" collapsed="false">
      <c r="A41" s="28"/>
      <c r="B41" s="27"/>
      <c r="C41" s="27"/>
      <c r="D41" s="26"/>
      <c r="E41" s="27"/>
      <c r="F41" s="27"/>
      <c r="G41" s="27"/>
      <c r="H41" s="21"/>
      <c r="I41" s="21"/>
      <c r="J41" s="21"/>
      <c r="K41" s="21"/>
      <c r="L41" s="21"/>
      <c r="M41" s="21"/>
      <c r="N41" s="21"/>
      <c r="O41" s="21"/>
      <c r="P41" s="22" t="str">
        <f aca="false">IF(OR(A41="",B41="",C41=""),"",IF(COUNT(J41:N41)=0,"",SUM(J41:N41)))</f>
        <v/>
      </c>
      <c r="Q41" s="22" t="str">
        <f aca="false">IF(OR(A41="",B41="",C41=""),"",SUMIFS('Who Engaged'!$H$5:$H$1004,'Who Engaged'!$C$5:$C$1004,C41,'Who Engaged'!$N$5:$N$1004,"Yes")+SUMIFS('Who Engaged'!$I$5:$I$1004,'Who Engaged'!$C$5:$C$1004,C41,'Who Engaged'!$N$5:$N$1004,"Yes")+SUMIFS('Who Engaged'!$J$5:$J$1004,'Who Engaged'!$C$5:$C$1004,C41,'Who Engaged'!$N$5:$N$1004,"Yes")+SUMIFS('Who Engaged'!$K$5:$K$1004,'Who Engaged'!$C$5:$C$1004,C41,'Who Engaged'!$N$5:$N$1004,"Yes"))</f>
        <v/>
      </c>
      <c r="R41" s="22" t="str">
        <f aca="false">IF(OR(OR(A41="",B41="",C41=""),P41=""),"",MAX(0,P41-N(Q41)))</f>
        <v/>
      </c>
      <c r="S41" s="23" t="str">
        <f aca="false">IF(OR(OR(A41="",B41="",C41=""),R41=""),"",IFERROR(R41/(IF(N(H41)&gt;0,H41,IF(N(I41)&gt;0,I41,IF(COUNTIFS($B$16:$B$215,B41,$H$16:$H$215,"&gt;0")+COUNTIFS($B$16:$B$215,B41,$I$16:$I$215,"&gt;0")&gt;0,"",INDEX($B$5:$B$7,MATCH(B41,$A$5:$A$7,0)))))),""))</f>
        <v/>
      </c>
      <c r="T41" s="24" t="str">
        <f aca="false">IF(OR(A41="",B41="",C41=""),"",IF(OR(S41="",COUNTIFS($B$16:$B$215,B41,$S$16:$S$215,"&gt;=0")&lt;2),"No Data Yet",IFERROR(IF(S41/AVERAGEIFS($S$16:$S$215,$B$16:$B$215,B41)&gt;=1.2,"Good",IF(S41/AVERAGEIFS($S$16:$S$215,$B$16:$B$215,B41)&gt;=0.8,"Average","Below Standard")),"Average")))</f>
        <v/>
      </c>
      <c r="U41" s="22" t="str">
        <f aca="false">IF(OR(A41="",B41="",C41=""),"",COUNTIFS('Who Engaged'!$C$5:$C$1004,C41,'Who Engaged'!$O$5:$O$1004,"Yes",'Who Engaged'!$M$5:$M$1004,1))</f>
        <v/>
      </c>
      <c r="V41" s="22" t="str">
        <f aca="false">IF(OR(A41="",B41="",C41=""),"",COUNTIFS('Who Engaged'!$C$5:$C$1004,C41,'Who Engaged'!$O$5:$O$1004,"Yes",'Who Engaged'!$L$5:$L$1004,1))</f>
        <v/>
      </c>
      <c r="W41" s="25" t="str">
        <f aca="false" t="array" ref="W41:W41">IF(OR(A41="",B41="",C41=""),"",_xlfn.TEXTJOIN("; ",TRUE(),IF(('Who Engaged'!$C$5:$C$1004=C41)*('Who Engaged'!$O$5:$O$1004="Yes"),'Who Engaged'!$D$5:$D$1004&amp;" – "&amp;'Who Engaged'!$F$5:$F$1004&amp;IF('Who Engaged'!$L$5:$L$1004=1," (followed)",""),"")))</f>
        <v/>
      </c>
      <c r="X41" s="26"/>
      <c r="Y41" s="26"/>
      <c r="Z41" s="27"/>
      <c r="AA41" s="24" t="str">
        <f aca="false">IF(OR(A41="",B41="",C41=""),"","https://www.alphanodus.com/contact?utm_source="&amp;IF(B41="X","twitter",LOWER(B41))&amp;"&amp;utm_medium=social&amp;utm_campaign="&amp;IF(E41="","general",LOWER(SUBSTITUTE(SUBSTITUTE(E41," / ","-")," ","-")))&amp;"&amp;utm_content="&amp;LOWER(C41))</f>
        <v/>
      </c>
    </row>
    <row r="42" customFormat="false" ht="15" hidden="false" customHeight="false" outlineLevel="0" collapsed="false">
      <c r="A42" s="28"/>
      <c r="B42" s="27"/>
      <c r="C42" s="27"/>
      <c r="D42" s="26"/>
      <c r="E42" s="27"/>
      <c r="F42" s="27"/>
      <c r="G42" s="27"/>
      <c r="H42" s="21"/>
      <c r="I42" s="21"/>
      <c r="J42" s="21"/>
      <c r="K42" s="21"/>
      <c r="L42" s="21"/>
      <c r="M42" s="21"/>
      <c r="N42" s="21"/>
      <c r="O42" s="21"/>
      <c r="P42" s="22" t="str">
        <f aca="false">IF(OR(A42="",B42="",C42=""),"",IF(COUNT(J42:N42)=0,"",SUM(J42:N42)))</f>
        <v/>
      </c>
      <c r="Q42" s="22" t="str">
        <f aca="false">IF(OR(A42="",B42="",C42=""),"",SUMIFS('Who Engaged'!$H$5:$H$1004,'Who Engaged'!$C$5:$C$1004,C42,'Who Engaged'!$N$5:$N$1004,"Yes")+SUMIFS('Who Engaged'!$I$5:$I$1004,'Who Engaged'!$C$5:$C$1004,C42,'Who Engaged'!$N$5:$N$1004,"Yes")+SUMIFS('Who Engaged'!$J$5:$J$1004,'Who Engaged'!$C$5:$C$1004,C42,'Who Engaged'!$N$5:$N$1004,"Yes")+SUMIFS('Who Engaged'!$K$5:$K$1004,'Who Engaged'!$C$5:$C$1004,C42,'Who Engaged'!$N$5:$N$1004,"Yes"))</f>
        <v/>
      </c>
      <c r="R42" s="22" t="str">
        <f aca="false">IF(OR(OR(A42="",B42="",C42=""),P42=""),"",MAX(0,P42-N(Q42)))</f>
        <v/>
      </c>
      <c r="S42" s="23" t="str">
        <f aca="false">IF(OR(OR(A42="",B42="",C42=""),R42=""),"",IFERROR(R42/(IF(N(H42)&gt;0,H42,IF(N(I42)&gt;0,I42,IF(COUNTIFS($B$16:$B$215,B42,$H$16:$H$215,"&gt;0")+COUNTIFS($B$16:$B$215,B42,$I$16:$I$215,"&gt;0")&gt;0,"",INDEX($B$5:$B$7,MATCH(B42,$A$5:$A$7,0)))))),""))</f>
        <v/>
      </c>
      <c r="T42" s="24" t="str">
        <f aca="false">IF(OR(A42="",B42="",C42=""),"",IF(OR(S42="",COUNTIFS($B$16:$B$215,B42,$S$16:$S$215,"&gt;=0")&lt;2),"No Data Yet",IFERROR(IF(S42/AVERAGEIFS($S$16:$S$215,$B$16:$B$215,B42)&gt;=1.2,"Good",IF(S42/AVERAGEIFS($S$16:$S$215,$B$16:$B$215,B42)&gt;=0.8,"Average","Below Standard")),"Average")))</f>
        <v/>
      </c>
      <c r="U42" s="22" t="str">
        <f aca="false">IF(OR(A42="",B42="",C42=""),"",COUNTIFS('Who Engaged'!$C$5:$C$1004,C42,'Who Engaged'!$O$5:$O$1004,"Yes",'Who Engaged'!$M$5:$M$1004,1))</f>
        <v/>
      </c>
      <c r="V42" s="22" t="str">
        <f aca="false">IF(OR(A42="",B42="",C42=""),"",COUNTIFS('Who Engaged'!$C$5:$C$1004,C42,'Who Engaged'!$O$5:$O$1004,"Yes",'Who Engaged'!$L$5:$L$1004,1))</f>
        <v/>
      </c>
      <c r="W42" s="25" t="str">
        <f aca="false" t="array" ref="W42:W42">IF(OR(A42="",B42="",C42=""),"",_xlfn.TEXTJOIN("; ",TRUE(),IF(('Who Engaged'!$C$5:$C$1004=C42)*('Who Engaged'!$O$5:$O$1004="Yes"),'Who Engaged'!$D$5:$D$1004&amp;" – "&amp;'Who Engaged'!$F$5:$F$1004&amp;IF('Who Engaged'!$L$5:$L$1004=1," (followed)",""),"")))</f>
        <v/>
      </c>
      <c r="X42" s="26"/>
      <c r="Y42" s="26"/>
      <c r="Z42" s="27"/>
      <c r="AA42" s="24" t="str">
        <f aca="false">IF(OR(A42="",B42="",C42=""),"","https://www.alphanodus.com/contact?utm_source="&amp;IF(B42="X","twitter",LOWER(B42))&amp;"&amp;utm_medium=social&amp;utm_campaign="&amp;IF(E42="","general",LOWER(SUBSTITUTE(SUBSTITUTE(E42," / ","-")," ","-")))&amp;"&amp;utm_content="&amp;LOWER(C42))</f>
        <v/>
      </c>
    </row>
    <row r="43" customFormat="false" ht="15" hidden="false" customHeight="false" outlineLevel="0" collapsed="false">
      <c r="A43" s="28"/>
      <c r="B43" s="27"/>
      <c r="C43" s="27"/>
      <c r="D43" s="26"/>
      <c r="E43" s="27"/>
      <c r="F43" s="27"/>
      <c r="G43" s="27"/>
      <c r="H43" s="21"/>
      <c r="I43" s="21"/>
      <c r="J43" s="21"/>
      <c r="K43" s="21"/>
      <c r="L43" s="21"/>
      <c r="M43" s="21"/>
      <c r="N43" s="21"/>
      <c r="O43" s="21"/>
      <c r="P43" s="22" t="str">
        <f aca="false">IF(OR(A43="",B43="",C43=""),"",IF(COUNT(J43:N43)=0,"",SUM(J43:N43)))</f>
        <v/>
      </c>
      <c r="Q43" s="22" t="str">
        <f aca="false">IF(OR(A43="",B43="",C43=""),"",SUMIFS('Who Engaged'!$H$5:$H$1004,'Who Engaged'!$C$5:$C$1004,C43,'Who Engaged'!$N$5:$N$1004,"Yes")+SUMIFS('Who Engaged'!$I$5:$I$1004,'Who Engaged'!$C$5:$C$1004,C43,'Who Engaged'!$N$5:$N$1004,"Yes")+SUMIFS('Who Engaged'!$J$5:$J$1004,'Who Engaged'!$C$5:$C$1004,C43,'Who Engaged'!$N$5:$N$1004,"Yes")+SUMIFS('Who Engaged'!$K$5:$K$1004,'Who Engaged'!$C$5:$C$1004,C43,'Who Engaged'!$N$5:$N$1004,"Yes"))</f>
        <v/>
      </c>
      <c r="R43" s="22" t="str">
        <f aca="false">IF(OR(OR(A43="",B43="",C43=""),P43=""),"",MAX(0,P43-N(Q43)))</f>
        <v/>
      </c>
      <c r="S43" s="23" t="str">
        <f aca="false">IF(OR(OR(A43="",B43="",C43=""),R43=""),"",IFERROR(R43/(IF(N(H43)&gt;0,H43,IF(N(I43)&gt;0,I43,IF(COUNTIFS($B$16:$B$215,B43,$H$16:$H$215,"&gt;0")+COUNTIFS($B$16:$B$215,B43,$I$16:$I$215,"&gt;0")&gt;0,"",INDEX($B$5:$B$7,MATCH(B43,$A$5:$A$7,0)))))),""))</f>
        <v/>
      </c>
      <c r="T43" s="24" t="str">
        <f aca="false">IF(OR(A43="",B43="",C43=""),"",IF(OR(S43="",COUNTIFS($B$16:$B$215,B43,$S$16:$S$215,"&gt;=0")&lt;2),"No Data Yet",IFERROR(IF(S43/AVERAGEIFS($S$16:$S$215,$B$16:$B$215,B43)&gt;=1.2,"Good",IF(S43/AVERAGEIFS($S$16:$S$215,$B$16:$B$215,B43)&gt;=0.8,"Average","Below Standard")),"Average")))</f>
        <v/>
      </c>
      <c r="U43" s="22" t="str">
        <f aca="false">IF(OR(A43="",B43="",C43=""),"",COUNTIFS('Who Engaged'!$C$5:$C$1004,C43,'Who Engaged'!$O$5:$O$1004,"Yes",'Who Engaged'!$M$5:$M$1004,1))</f>
        <v/>
      </c>
      <c r="V43" s="22" t="str">
        <f aca="false">IF(OR(A43="",B43="",C43=""),"",COUNTIFS('Who Engaged'!$C$5:$C$1004,C43,'Who Engaged'!$O$5:$O$1004,"Yes",'Who Engaged'!$L$5:$L$1004,1))</f>
        <v/>
      </c>
      <c r="W43" s="25" t="str">
        <f aca="false" t="array" ref="W43:W43">IF(OR(A43="",B43="",C43=""),"",_xlfn.TEXTJOIN("; ",TRUE(),IF(('Who Engaged'!$C$5:$C$1004=C43)*('Who Engaged'!$O$5:$O$1004="Yes"),'Who Engaged'!$D$5:$D$1004&amp;" – "&amp;'Who Engaged'!$F$5:$F$1004&amp;IF('Who Engaged'!$L$5:$L$1004=1," (followed)",""),"")))</f>
        <v/>
      </c>
      <c r="X43" s="26"/>
      <c r="Y43" s="26"/>
      <c r="Z43" s="27"/>
      <c r="AA43" s="24" t="str">
        <f aca="false">IF(OR(A43="",B43="",C43=""),"","https://www.alphanodus.com/contact?utm_source="&amp;IF(B43="X","twitter",LOWER(B43))&amp;"&amp;utm_medium=social&amp;utm_campaign="&amp;IF(E43="","general",LOWER(SUBSTITUTE(SUBSTITUTE(E43," / ","-")," ","-")))&amp;"&amp;utm_content="&amp;LOWER(C43))</f>
        <v/>
      </c>
    </row>
    <row r="44" customFormat="false" ht="15" hidden="false" customHeight="false" outlineLevel="0" collapsed="false">
      <c r="A44" s="28"/>
      <c r="B44" s="27"/>
      <c r="C44" s="27"/>
      <c r="D44" s="26"/>
      <c r="E44" s="27"/>
      <c r="F44" s="27"/>
      <c r="G44" s="27"/>
      <c r="H44" s="21"/>
      <c r="I44" s="21"/>
      <c r="J44" s="21"/>
      <c r="K44" s="21"/>
      <c r="L44" s="21"/>
      <c r="M44" s="21"/>
      <c r="N44" s="21"/>
      <c r="O44" s="21"/>
      <c r="P44" s="22" t="str">
        <f aca="false">IF(OR(A44="",B44="",C44=""),"",IF(COUNT(J44:N44)=0,"",SUM(J44:N44)))</f>
        <v/>
      </c>
      <c r="Q44" s="22" t="str">
        <f aca="false">IF(OR(A44="",B44="",C44=""),"",SUMIFS('Who Engaged'!$H$5:$H$1004,'Who Engaged'!$C$5:$C$1004,C44,'Who Engaged'!$N$5:$N$1004,"Yes")+SUMIFS('Who Engaged'!$I$5:$I$1004,'Who Engaged'!$C$5:$C$1004,C44,'Who Engaged'!$N$5:$N$1004,"Yes")+SUMIFS('Who Engaged'!$J$5:$J$1004,'Who Engaged'!$C$5:$C$1004,C44,'Who Engaged'!$N$5:$N$1004,"Yes")+SUMIFS('Who Engaged'!$K$5:$K$1004,'Who Engaged'!$C$5:$C$1004,C44,'Who Engaged'!$N$5:$N$1004,"Yes"))</f>
        <v/>
      </c>
      <c r="R44" s="22" t="str">
        <f aca="false">IF(OR(OR(A44="",B44="",C44=""),P44=""),"",MAX(0,P44-N(Q44)))</f>
        <v/>
      </c>
      <c r="S44" s="23" t="str">
        <f aca="false">IF(OR(OR(A44="",B44="",C44=""),R44=""),"",IFERROR(R44/(IF(N(H44)&gt;0,H44,IF(N(I44)&gt;0,I44,IF(COUNTIFS($B$16:$B$215,B44,$H$16:$H$215,"&gt;0")+COUNTIFS($B$16:$B$215,B44,$I$16:$I$215,"&gt;0")&gt;0,"",INDEX($B$5:$B$7,MATCH(B44,$A$5:$A$7,0)))))),""))</f>
        <v/>
      </c>
      <c r="T44" s="24" t="str">
        <f aca="false">IF(OR(A44="",B44="",C44=""),"",IF(OR(S44="",COUNTIFS($B$16:$B$215,B44,$S$16:$S$215,"&gt;=0")&lt;2),"No Data Yet",IFERROR(IF(S44/AVERAGEIFS($S$16:$S$215,$B$16:$B$215,B44)&gt;=1.2,"Good",IF(S44/AVERAGEIFS($S$16:$S$215,$B$16:$B$215,B44)&gt;=0.8,"Average","Below Standard")),"Average")))</f>
        <v/>
      </c>
      <c r="U44" s="22" t="str">
        <f aca="false">IF(OR(A44="",B44="",C44=""),"",COUNTIFS('Who Engaged'!$C$5:$C$1004,C44,'Who Engaged'!$O$5:$O$1004,"Yes",'Who Engaged'!$M$5:$M$1004,1))</f>
        <v/>
      </c>
      <c r="V44" s="22" t="str">
        <f aca="false">IF(OR(A44="",B44="",C44=""),"",COUNTIFS('Who Engaged'!$C$5:$C$1004,C44,'Who Engaged'!$O$5:$O$1004,"Yes",'Who Engaged'!$L$5:$L$1004,1))</f>
        <v/>
      </c>
      <c r="W44" s="25" t="str">
        <f aca="false" t="array" ref="W44:W44">IF(OR(A44="",B44="",C44=""),"",_xlfn.TEXTJOIN("; ",TRUE(),IF(('Who Engaged'!$C$5:$C$1004=C44)*('Who Engaged'!$O$5:$O$1004="Yes"),'Who Engaged'!$D$5:$D$1004&amp;" – "&amp;'Who Engaged'!$F$5:$F$1004&amp;IF('Who Engaged'!$L$5:$L$1004=1," (followed)",""),"")))</f>
        <v/>
      </c>
      <c r="X44" s="26"/>
      <c r="Y44" s="26"/>
      <c r="Z44" s="27"/>
      <c r="AA44" s="24" t="str">
        <f aca="false">IF(OR(A44="",B44="",C44=""),"","https://www.alphanodus.com/contact?utm_source="&amp;IF(B44="X","twitter",LOWER(B44))&amp;"&amp;utm_medium=social&amp;utm_campaign="&amp;IF(E44="","general",LOWER(SUBSTITUTE(SUBSTITUTE(E44," / ","-")," ","-")))&amp;"&amp;utm_content="&amp;LOWER(C44))</f>
        <v/>
      </c>
    </row>
    <row r="45" customFormat="false" ht="15" hidden="false" customHeight="false" outlineLevel="0" collapsed="false">
      <c r="A45" s="28"/>
      <c r="B45" s="27"/>
      <c r="C45" s="27"/>
      <c r="D45" s="26"/>
      <c r="E45" s="27"/>
      <c r="F45" s="27"/>
      <c r="G45" s="27"/>
      <c r="H45" s="21"/>
      <c r="I45" s="21"/>
      <c r="J45" s="21"/>
      <c r="K45" s="21"/>
      <c r="L45" s="21"/>
      <c r="M45" s="21"/>
      <c r="N45" s="21"/>
      <c r="O45" s="21"/>
      <c r="P45" s="22" t="str">
        <f aca="false">IF(OR(A45="",B45="",C45=""),"",IF(COUNT(J45:N45)=0,"",SUM(J45:N45)))</f>
        <v/>
      </c>
      <c r="Q45" s="22" t="str">
        <f aca="false">IF(OR(A45="",B45="",C45=""),"",SUMIFS('Who Engaged'!$H$5:$H$1004,'Who Engaged'!$C$5:$C$1004,C45,'Who Engaged'!$N$5:$N$1004,"Yes")+SUMIFS('Who Engaged'!$I$5:$I$1004,'Who Engaged'!$C$5:$C$1004,C45,'Who Engaged'!$N$5:$N$1004,"Yes")+SUMIFS('Who Engaged'!$J$5:$J$1004,'Who Engaged'!$C$5:$C$1004,C45,'Who Engaged'!$N$5:$N$1004,"Yes")+SUMIFS('Who Engaged'!$K$5:$K$1004,'Who Engaged'!$C$5:$C$1004,C45,'Who Engaged'!$N$5:$N$1004,"Yes"))</f>
        <v/>
      </c>
      <c r="R45" s="22" t="str">
        <f aca="false">IF(OR(OR(A45="",B45="",C45=""),P45=""),"",MAX(0,P45-N(Q45)))</f>
        <v/>
      </c>
      <c r="S45" s="23" t="str">
        <f aca="false">IF(OR(OR(A45="",B45="",C45=""),R45=""),"",IFERROR(R45/(IF(N(H45)&gt;0,H45,IF(N(I45)&gt;0,I45,IF(COUNTIFS($B$16:$B$215,B45,$H$16:$H$215,"&gt;0")+COUNTIFS($B$16:$B$215,B45,$I$16:$I$215,"&gt;0")&gt;0,"",INDEX($B$5:$B$7,MATCH(B45,$A$5:$A$7,0)))))),""))</f>
        <v/>
      </c>
      <c r="T45" s="24" t="str">
        <f aca="false">IF(OR(A45="",B45="",C45=""),"",IF(OR(S45="",COUNTIFS($B$16:$B$215,B45,$S$16:$S$215,"&gt;=0")&lt;2),"No Data Yet",IFERROR(IF(S45/AVERAGEIFS($S$16:$S$215,$B$16:$B$215,B45)&gt;=1.2,"Good",IF(S45/AVERAGEIFS($S$16:$S$215,$B$16:$B$215,B45)&gt;=0.8,"Average","Below Standard")),"Average")))</f>
        <v/>
      </c>
      <c r="U45" s="22" t="str">
        <f aca="false">IF(OR(A45="",B45="",C45=""),"",COUNTIFS('Who Engaged'!$C$5:$C$1004,C45,'Who Engaged'!$O$5:$O$1004,"Yes",'Who Engaged'!$M$5:$M$1004,1))</f>
        <v/>
      </c>
      <c r="V45" s="22" t="str">
        <f aca="false">IF(OR(A45="",B45="",C45=""),"",COUNTIFS('Who Engaged'!$C$5:$C$1004,C45,'Who Engaged'!$O$5:$O$1004,"Yes",'Who Engaged'!$L$5:$L$1004,1))</f>
        <v/>
      </c>
      <c r="W45" s="25" t="str">
        <f aca="false" t="array" ref="W45:W45">IF(OR(A45="",B45="",C45=""),"",_xlfn.TEXTJOIN("; ",TRUE(),IF(('Who Engaged'!$C$5:$C$1004=C45)*('Who Engaged'!$O$5:$O$1004="Yes"),'Who Engaged'!$D$5:$D$1004&amp;" – "&amp;'Who Engaged'!$F$5:$F$1004&amp;IF('Who Engaged'!$L$5:$L$1004=1," (followed)",""),"")))</f>
        <v/>
      </c>
      <c r="X45" s="26"/>
      <c r="Y45" s="26"/>
      <c r="Z45" s="27"/>
      <c r="AA45" s="24" t="str">
        <f aca="false">IF(OR(A45="",B45="",C45=""),"","https://www.alphanodus.com/contact?utm_source="&amp;IF(B45="X","twitter",LOWER(B45))&amp;"&amp;utm_medium=social&amp;utm_campaign="&amp;IF(E45="","general",LOWER(SUBSTITUTE(SUBSTITUTE(E45," / ","-")," ","-")))&amp;"&amp;utm_content="&amp;LOWER(C45))</f>
        <v/>
      </c>
    </row>
    <row r="46" customFormat="false" ht="15" hidden="false" customHeight="false" outlineLevel="0" collapsed="false">
      <c r="A46" s="28"/>
      <c r="B46" s="27"/>
      <c r="C46" s="27"/>
      <c r="D46" s="26"/>
      <c r="E46" s="27"/>
      <c r="F46" s="27"/>
      <c r="G46" s="27"/>
      <c r="H46" s="21"/>
      <c r="I46" s="21"/>
      <c r="J46" s="21"/>
      <c r="K46" s="21"/>
      <c r="L46" s="21"/>
      <c r="M46" s="21"/>
      <c r="N46" s="21"/>
      <c r="O46" s="21"/>
      <c r="P46" s="22" t="str">
        <f aca="false">IF(OR(A46="",B46="",C46=""),"",IF(COUNT(J46:N46)=0,"",SUM(J46:N46)))</f>
        <v/>
      </c>
      <c r="Q46" s="22" t="str">
        <f aca="false">IF(OR(A46="",B46="",C46=""),"",SUMIFS('Who Engaged'!$H$5:$H$1004,'Who Engaged'!$C$5:$C$1004,C46,'Who Engaged'!$N$5:$N$1004,"Yes")+SUMIFS('Who Engaged'!$I$5:$I$1004,'Who Engaged'!$C$5:$C$1004,C46,'Who Engaged'!$N$5:$N$1004,"Yes")+SUMIFS('Who Engaged'!$J$5:$J$1004,'Who Engaged'!$C$5:$C$1004,C46,'Who Engaged'!$N$5:$N$1004,"Yes")+SUMIFS('Who Engaged'!$K$5:$K$1004,'Who Engaged'!$C$5:$C$1004,C46,'Who Engaged'!$N$5:$N$1004,"Yes"))</f>
        <v/>
      </c>
      <c r="R46" s="22" t="str">
        <f aca="false">IF(OR(OR(A46="",B46="",C46=""),P46=""),"",MAX(0,P46-N(Q46)))</f>
        <v/>
      </c>
      <c r="S46" s="23" t="str">
        <f aca="false">IF(OR(OR(A46="",B46="",C46=""),R46=""),"",IFERROR(R46/(IF(N(H46)&gt;0,H46,IF(N(I46)&gt;0,I46,IF(COUNTIFS($B$16:$B$215,B46,$H$16:$H$215,"&gt;0")+COUNTIFS($B$16:$B$215,B46,$I$16:$I$215,"&gt;0")&gt;0,"",INDEX($B$5:$B$7,MATCH(B46,$A$5:$A$7,0)))))),""))</f>
        <v/>
      </c>
      <c r="T46" s="24" t="str">
        <f aca="false">IF(OR(A46="",B46="",C46=""),"",IF(OR(S46="",COUNTIFS($B$16:$B$215,B46,$S$16:$S$215,"&gt;=0")&lt;2),"No Data Yet",IFERROR(IF(S46/AVERAGEIFS($S$16:$S$215,$B$16:$B$215,B46)&gt;=1.2,"Good",IF(S46/AVERAGEIFS($S$16:$S$215,$B$16:$B$215,B46)&gt;=0.8,"Average","Below Standard")),"Average")))</f>
        <v/>
      </c>
      <c r="U46" s="22" t="str">
        <f aca="false">IF(OR(A46="",B46="",C46=""),"",COUNTIFS('Who Engaged'!$C$5:$C$1004,C46,'Who Engaged'!$O$5:$O$1004,"Yes",'Who Engaged'!$M$5:$M$1004,1))</f>
        <v/>
      </c>
      <c r="V46" s="22" t="str">
        <f aca="false">IF(OR(A46="",B46="",C46=""),"",COUNTIFS('Who Engaged'!$C$5:$C$1004,C46,'Who Engaged'!$O$5:$O$1004,"Yes",'Who Engaged'!$L$5:$L$1004,1))</f>
        <v/>
      </c>
      <c r="W46" s="25" t="str">
        <f aca="false" t="array" ref="W46:W46">IF(OR(A46="",B46="",C46=""),"",_xlfn.TEXTJOIN("; ",TRUE(),IF(('Who Engaged'!$C$5:$C$1004=C46)*('Who Engaged'!$O$5:$O$1004="Yes"),'Who Engaged'!$D$5:$D$1004&amp;" – "&amp;'Who Engaged'!$F$5:$F$1004&amp;IF('Who Engaged'!$L$5:$L$1004=1," (followed)",""),"")))</f>
        <v/>
      </c>
      <c r="X46" s="26"/>
      <c r="Y46" s="26"/>
      <c r="Z46" s="27"/>
      <c r="AA46" s="24" t="str">
        <f aca="false">IF(OR(A46="",B46="",C46=""),"","https://www.alphanodus.com/contact?utm_source="&amp;IF(B46="X","twitter",LOWER(B46))&amp;"&amp;utm_medium=social&amp;utm_campaign="&amp;IF(E46="","general",LOWER(SUBSTITUTE(SUBSTITUTE(E46," / ","-")," ","-")))&amp;"&amp;utm_content="&amp;LOWER(C46))</f>
        <v/>
      </c>
    </row>
    <row r="47" customFormat="false" ht="15" hidden="false" customHeight="false" outlineLevel="0" collapsed="false">
      <c r="A47" s="28"/>
      <c r="B47" s="27"/>
      <c r="C47" s="27"/>
      <c r="D47" s="26"/>
      <c r="E47" s="27"/>
      <c r="F47" s="27"/>
      <c r="G47" s="27"/>
      <c r="H47" s="21"/>
      <c r="I47" s="21"/>
      <c r="J47" s="21"/>
      <c r="K47" s="21"/>
      <c r="L47" s="21"/>
      <c r="M47" s="21"/>
      <c r="N47" s="21"/>
      <c r="O47" s="21"/>
      <c r="P47" s="22" t="str">
        <f aca="false">IF(OR(A47="",B47="",C47=""),"",IF(COUNT(J47:N47)=0,"",SUM(J47:N47)))</f>
        <v/>
      </c>
      <c r="Q47" s="22" t="str">
        <f aca="false">IF(OR(A47="",B47="",C47=""),"",SUMIFS('Who Engaged'!$H$5:$H$1004,'Who Engaged'!$C$5:$C$1004,C47,'Who Engaged'!$N$5:$N$1004,"Yes")+SUMIFS('Who Engaged'!$I$5:$I$1004,'Who Engaged'!$C$5:$C$1004,C47,'Who Engaged'!$N$5:$N$1004,"Yes")+SUMIFS('Who Engaged'!$J$5:$J$1004,'Who Engaged'!$C$5:$C$1004,C47,'Who Engaged'!$N$5:$N$1004,"Yes")+SUMIFS('Who Engaged'!$K$5:$K$1004,'Who Engaged'!$C$5:$C$1004,C47,'Who Engaged'!$N$5:$N$1004,"Yes"))</f>
        <v/>
      </c>
      <c r="R47" s="22" t="str">
        <f aca="false">IF(OR(OR(A47="",B47="",C47=""),P47=""),"",MAX(0,P47-N(Q47)))</f>
        <v/>
      </c>
      <c r="S47" s="23" t="str">
        <f aca="false">IF(OR(OR(A47="",B47="",C47=""),R47=""),"",IFERROR(R47/(IF(N(H47)&gt;0,H47,IF(N(I47)&gt;0,I47,IF(COUNTIFS($B$16:$B$215,B47,$H$16:$H$215,"&gt;0")+COUNTIFS($B$16:$B$215,B47,$I$16:$I$215,"&gt;0")&gt;0,"",INDEX($B$5:$B$7,MATCH(B47,$A$5:$A$7,0)))))),""))</f>
        <v/>
      </c>
      <c r="T47" s="24" t="str">
        <f aca="false">IF(OR(A47="",B47="",C47=""),"",IF(OR(S47="",COUNTIFS($B$16:$B$215,B47,$S$16:$S$215,"&gt;=0")&lt;2),"No Data Yet",IFERROR(IF(S47/AVERAGEIFS($S$16:$S$215,$B$16:$B$215,B47)&gt;=1.2,"Good",IF(S47/AVERAGEIFS($S$16:$S$215,$B$16:$B$215,B47)&gt;=0.8,"Average","Below Standard")),"Average")))</f>
        <v/>
      </c>
      <c r="U47" s="22" t="str">
        <f aca="false">IF(OR(A47="",B47="",C47=""),"",COUNTIFS('Who Engaged'!$C$5:$C$1004,C47,'Who Engaged'!$O$5:$O$1004,"Yes",'Who Engaged'!$M$5:$M$1004,1))</f>
        <v/>
      </c>
      <c r="V47" s="22" t="str">
        <f aca="false">IF(OR(A47="",B47="",C47=""),"",COUNTIFS('Who Engaged'!$C$5:$C$1004,C47,'Who Engaged'!$O$5:$O$1004,"Yes",'Who Engaged'!$L$5:$L$1004,1))</f>
        <v/>
      </c>
      <c r="W47" s="25" t="str">
        <f aca="false" t="array" ref="W47:W47">IF(OR(A47="",B47="",C47=""),"",_xlfn.TEXTJOIN("; ",TRUE(),IF(('Who Engaged'!$C$5:$C$1004=C47)*('Who Engaged'!$O$5:$O$1004="Yes"),'Who Engaged'!$D$5:$D$1004&amp;" – "&amp;'Who Engaged'!$F$5:$F$1004&amp;IF('Who Engaged'!$L$5:$L$1004=1," (followed)",""),"")))</f>
        <v/>
      </c>
      <c r="X47" s="26"/>
      <c r="Y47" s="26"/>
      <c r="Z47" s="27"/>
      <c r="AA47" s="24" t="str">
        <f aca="false">IF(OR(A47="",B47="",C47=""),"","https://www.alphanodus.com/contact?utm_source="&amp;IF(B47="X","twitter",LOWER(B47))&amp;"&amp;utm_medium=social&amp;utm_campaign="&amp;IF(E47="","general",LOWER(SUBSTITUTE(SUBSTITUTE(E47," / ","-")," ","-")))&amp;"&amp;utm_content="&amp;LOWER(C47))</f>
        <v/>
      </c>
    </row>
    <row r="48" customFormat="false" ht="15" hidden="false" customHeight="false" outlineLevel="0" collapsed="false">
      <c r="A48" s="28"/>
      <c r="B48" s="27"/>
      <c r="C48" s="27"/>
      <c r="D48" s="26"/>
      <c r="E48" s="27"/>
      <c r="F48" s="27"/>
      <c r="G48" s="27"/>
      <c r="H48" s="21"/>
      <c r="I48" s="21"/>
      <c r="J48" s="21"/>
      <c r="K48" s="21"/>
      <c r="L48" s="21"/>
      <c r="M48" s="21"/>
      <c r="N48" s="21"/>
      <c r="O48" s="21"/>
      <c r="P48" s="22" t="str">
        <f aca="false">IF(OR(A48="",B48="",C48=""),"",IF(COUNT(J48:N48)=0,"",SUM(J48:N48)))</f>
        <v/>
      </c>
      <c r="Q48" s="22" t="str">
        <f aca="false">IF(OR(A48="",B48="",C48=""),"",SUMIFS('Who Engaged'!$H$5:$H$1004,'Who Engaged'!$C$5:$C$1004,C48,'Who Engaged'!$N$5:$N$1004,"Yes")+SUMIFS('Who Engaged'!$I$5:$I$1004,'Who Engaged'!$C$5:$C$1004,C48,'Who Engaged'!$N$5:$N$1004,"Yes")+SUMIFS('Who Engaged'!$J$5:$J$1004,'Who Engaged'!$C$5:$C$1004,C48,'Who Engaged'!$N$5:$N$1004,"Yes")+SUMIFS('Who Engaged'!$K$5:$K$1004,'Who Engaged'!$C$5:$C$1004,C48,'Who Engaged'!$N$5:$N$1004,"Yes"))</f>
        <v/>
      </c>
      <c r="R48" s="22" t="str">
        <f aca="false">IF(OR(OR(A48="",B48="",C48=""),P48=""),"",MAX(0,P48-N(Q48)))</f>
        <v/>
      </c>
      <c r="S48" s="23" t="str">
        <f aca="false">IF(OR(OR(A48="",B48="",C48=""),R48=""),"",IFERROR(R48/(IF(N(H48)&gt;0,H48,IF(N(I48)&gt;0,I48,IF(COUNTIFS($B$16:$B$215,B48,$H$16:$H$215,"&gt;0")+COUNTIFS($B$16:$B$215,B48,$I$16:$I$215,"&gt;0")&gt;0,"",INDEX($B$5:$B$7,MATCH(B48,$A$5:$A$7,0)))))),""))</f>
        <v/>
      </c>
      <c r="T48" s="24" t="str">
        <f aca="false">IF(OR(A48="",B48="",C48=""),"",IF(OR(S48="",COUNTIFS($B$16:$B$215,B48,$S$16:$S$215,"&gt;=0")&lt;2),"No Data Yet",IFERROR(IF(S48/AVERAGEIFS($S$16:$S$215,$B$16:$B$215,B48)&gt;=1.2,"Good",IF(S48/AVERAGEIFS($S$16:$S$215,$B$16:$B$215,B48)&gt;=0.8,"Average","Below Standard")),"Average")))</f>
        <v/>
      </c>
      <c r="U48" s="22" t="str">
        <f aca="false">IF(OR(A48="",B48="",C48=""),"",COUNTIFS('Who Engaged'!$C$5:$C$1004,C48,'Who Engaged'!$O$5:$O$1004,"Yes",'Who Engaged'!$M$5:$M$1004,1))</f>
        <v/>
      </c>
      <c r="V48" s="22" t="str">
        <f aca="false">IF(OR(A48="",B48="",C48=""),"",COUNTIFS('Who Engaged'!$C$5:$C$1004,C48,'Who Engaged'!$O$5:$O$1004,"Yes",'Who Engaged'!$L$5:$L$1004,1))</f>
        <v/>
      </c>
      <c r="W48" s="25" t="str">
        <f aca="false" t="array" ref="W48:W48">IF(OR(A48="",B48="",C48=""),"",_xlfn.TEXTJOIN("; ",TRUE(),IF(('Who Engaged'!$C$5:$C$1004=C48)*('Who Engaged'!$O$5:$O$1004="Yes"),'Who Engaged'!$D$5:$D$1004&amp;" – "&amp;'Who Engaged'!$F$5:$F$1004&amp;IF('Who Engaged'!$L$5:$L$1004=1," (followed)",""),"")))</f>
        <v/>
      </c>
      <c r="X48" s="26"/>
      <c r="Y48" s="26"/>
      <c r="Z48" s="27"/>
      <c r="AA48" s="24" t="str">
        <f aca="false">IF(OR(A48="",B48="",C48=""),"","https://www.alphanodus.com/contact?utm_source="&amp;IF(B48="X","twitter",LOWER(B48))&amp;"&amp;utm_medium=social&amp;utm_campaign="&amp;IF(E48="","general",LOWER(SUBSTITUTE(SUBSTITUTE(E48," / ","-")," ","-")))&amp;"&amp;utm_content="&amp;LOWER(C48))</f>
        <v/>
      </c>
    </row>
    <row r="49" customFormat="false" ht="15" hidden="false" customHeight="false" outlineLevel="0" collapsed="false">
      <c r="A49" s="28"/>
      <c r="B49" s="27"/>
      <c r="C49" s="27"/>
      <c r="D49" s="26"/>
      <c r="E49" s="27"/>
      <c r="F49" s="27"/>
      <c r="G49" s="27"/>
      <c r="H49" s="21"/>
      <c r="I49" s="21"/>
      <c r="J49" s="21"/>
      <c r="K49" s="21"/>
      <c r="L49" s="21"/>
      <c r="M49" s="21"/>
      <c r="N49" s="21"/>
      <c r="O49" s="21"/>
      <c r="P49" s="22" t="str">
        <f aca="false">IF(OR(A49="",B49="",C49=""),"",IF(COUNT(J49:N49)=0,"",SUM(J49:N49)))</f>
        <v/>
      </c>
      <c r="Q49" s="22" t="str">
        <f aca="false">IF(OR(A49="",B49="",C49=""),"",SUMIFS('Who Engaged'!$H$5:$H$1004,'Who Engaged'!$C$5:$C$1004,C49,'Who Engaged'!$N$5:$N$1004,"Yes")+SUMIFS('Who Engaged'!$I$5:$I$1004,'Who Engaged'!$C$5:$C$1004,C49,'Who Engaged'!$N$5:$N$1004,"Yes")+SUMIFS('Who Engaged'!$J$5:$J$1004,'Who Engaged'!$C$5:$C$1004,C49,'Who Engaged'!$N$5:$N$1004,"Yes")+SUMIFS('Who Engaged'!$K$5:$K$1004,'Who Engaged'!$C$5:$C$1004,C49,'Who Engaged'!$N$5:$N$1004,"Yes"))</f>
        <v/>
      </c>
      <c r="R49" s="22" t="str">
        <f aca="false">IF(OR(OR(A49="",B49="",C49=""),P49=""),"",MAX(0,P49-N(Q49)))</f>
        <v/>
      </c>
      <c r="S49" s="23" t="str">
        <f aca="false">IF(OR(OR(A49="",B49="",C49=""),R49=""),"",IFERROR(R49/(IF(N(H49)&gt;0,H49,IF(N(I49)&gt;0,I49,IF(COUNTIFS($B$16:$B$215,B49,$H$16:$H$215,"&gt;0")+COUNTIFS($B$16:$B$215,B49,$I$16:$I$215,"&gt;0")&gt;0,"",INDEX($B$5:$B$7,MATCH(B49,$A$5:$A$7,0)))))),""))</f>
        <v/>
      </c>
      <c r="T49" s="24" t="str">
        <f aca="false">IF(OR(A49="",B49="",C49=""),"",IF(OR(S49="",COUNTIFS($B$16:$B$215,B49,$S$16:$S$215,"&gt;=0")&lt;2),"No Data Yet",IFERROR(IF(S49/AVERAGEIFS($S$16:$S$215,$B$16:$B$215,B49)&gt;=1.2,"Good",IF(S49/AVERAGEIFS($S$16:$S$215,$B$16:$B$215,B49)&gt;=0.8,"Average","Below Standard")),"Average")))</f>
        <v/>
      </c>
      <c r="U49" s="22" t="str">
        <f aca="false">IF(OR(A49="",B49="",C49=""),"",COUNTIFS('Who Engaged'!$C$5:$C$1004,C49,'Who Engaged'!$O$5:$O$1004,"Yes",'Who Engaged'!$M$5:$M$1004,1))</f>
        <v/>
      </c>
      <c r="V49" s="22" t="str">
        <f aca="false">IF(OR(A49="",B49="",C49=""),"",COUNTIFS('Who Engaged'!$C$5:$C$1004,C49,'Who Engaged'!$O$5:$O$1004,"Yes",'Who Engaged'!$L$5:$L$1004,1))</f>
        <v/>
      </c>
      <c r="W49" s="25" t="str">
        <f aca="false" t="array" ref="W49:W49">IF(OR(A49="",B49="",C49=""),"",_xlfn.TEXTJOIN("; ",TRUE(),IF(('Who Engaged'!$C$5:$C$1004=C49)*('Who Engaged'!$O$5:$O$1004="Yes"),'Who Engaged'!$D$5:$D$1004&amp;" – "&amp;'Who Engaged'!$F$5:$F$1004&amp;IF('Who Engaged'!$L$5:$L$1004=1," (followed)",""),"")))</f>
        <v/>
      </c>
      <c r="X49" s="26"/>
      <c r="Y49" s="26"/>
      <c r="Z49" s="27"/>
      <c r="AA49" s="24" t="str">
        <f aca="false">IF(OR(A49="",B49="",C49=""),"","https://www.alphanodus.com/contact?utm_source="&amp;IF(B49="X","twitter",LOWER(B49))&amp;"&amp;utm_medium=social&amp;utm_campaign="&amp;IF(E49="","general",LOWER(SUBSTITUTE(SUBSTITUTE(E49," / ","-")," ","-")))&amp;"&amp;utm_content="&amp;LOWER(C49))</f>
        <v/>
      </c>
    </row>
    <row r="50" customFormat="false" ht="15" hidden="false" customHeight="false" outlineLevel="0" collapsed="false">
      <c r="A50" s="28"/>
      <c r="B50" s="27"/>
      <c r="C50" s="27"/>
      <c r="D50" s="26"/>
      <c r="E50" s="27"/>
      <c r="F50" s="27"/>
      <c r="G50" s="27"/>
      <c r="H50" s="21"/>
      <c r="I50" s="21"/>
      <c r="J50" s="21"/>
      <c r="K50" s="21"/>
      <c r="L50" s="21"/>
      <c r="M50" s="21"/>
      <c r="N50" s="21"/>
      <c r="O50" s="21"/>
      <c r="P50" s="22" t="str">
        <f aca="false">IF(OR(A50="",B50="",C50=""),"",IF(COUNT(J50:N50)=0,"",SUM(J50:N50)))</f>
        <v/>
      </c>
      <c r="Q50" s="22" t="str">
        <f aca="false">IF(OR(A50="",B50="",C50=""),"",SUMIFS('Who Engaged'!$H$5:$H$1004,'Who Engaged'!$C$5:$C$1004,C50,'Who Engaged'!$N$5:$N$1004,"Yes")+SUMIFS('Who Engaged'!$I$5:$I$1004,'Who Engaged'!$C$5:$C$1004,C50,'Who Engaged'!$N$5:$N$1004,"Yes")+SUMIFS('Who Engaged'!$J$5:$J$1004,'Who Engaged'!$C$5:$C$1004,C50,'Who Engaged'!$N$5:$N$1004,"Yes")+SUMIFS('Who Engaged'!$K$5:$K$1004,'Who Engaged'!$C$5:$C$1004,C50,'Who Engaged'!$N$5:$N$1004,"Yes"))</f>
        <v/>
      </c>
      <c r="R50" s="22" t="str">
        <f aca="false">IF(OR(OR(A50="",B50="",C50=""),P50=""),"",MAX(0,P50-N(Q50)))</f>
        <v/>
      </c>
      <c r="S50" s="23" t="str">
        <f aca="false">IF(OR(OR(A50="",B50="",C50=""),R50=""),"",IFERROR(R50/(IF(N(H50)&gt;0,H50,IF(N(I50)&gt;0,I50,IF(COUNTIFS($B$16:$B$215,B50,$H$16:$H$215,"&gt;0")+COUNTIFS($B$16:$B$215,B50,$I$16:$I$215,"&gt;0")&gt;0,"",INDEX($B$5:$B$7,MATCH(B50,$A$5:$A$7,0)))))),""))</f>
        <v/>
      </c>
      <c r="T50" s="24" t="str">
        <f aca="false">IF(OR(A50="",B50="",C50=""),"",IF(OR(S50="",COUNTIFS($B$16:$B$215,B50,$S$16:$S$215,"&gt;=0")&lt;2),"No Data Yet",IFERROR(IF(S50/AVERAGEIFS($S$16:$S$215,$B$16:$B$215,B50)&gt;=1.2,"Good",IF(S50/AVERAGEIFS($S$16:$S$215,$B$16:$B$215,B50)&gt;=0.8,"Average","Below Standard")),"Average")))</f>
        <v/>
      </c>
      <c r="U50" s="22" t="str">
        <f aca="false">IF(OR(A50="",B50="",C50=""),"",COUNTIFS('Who Engaged'!$C$5:$C$1004,C50,'Who Engaged'!$O$5:$O$1004,"Yes",'Who Engaged'!$M$5:$M$1004,1))</f>
        <v/>
      </c>
      <c r="V50" s="22" t="str">
        <f aca="false">IF(OR(A50="",B50="",C50=""),"",COUNTIFS('Who Engaged'!$C$5:$C$1004,C50,'Who Engaged'!$O$5:$O$1004,"Yes",'Who Engaged'!$L$5:$L$1004,1))</f>
        <v/>
      </c>
      <c r="W50" s="25" t="str">
        <f aca="false" t="array" ref="W50:W50">IF(OR(A50="",B50="",C50=""),"",_xlfn.TEXTJOIN("; ",TRUE(),IF(('Who Engaged'!$C$5:$C$1004=C50)*('Who Engaged'!$O$5:$O$1004="Yes"),'Who Engaged'!$D$5:$D$1004&amp;" – "&amp;'Who Engaged'!$F$5:$F$1004&amp;IF('Who Engaged'!$L$5:$L$1004=1," (followed)",""),"")))</f>
        <v/>
      </c>
      <c r="X50" s="26"/>
      <c r="Y50" s="26"/>
      <c r="Z50" s="27"/>
      <c r="AA50" s="24" t="str">
        <f aca="false">IF(OR(A50="",B50="",C50=""),"","https://www.alphanodus.com/contact?utm_source="&amp;IF(B50="X","twitter",LOWER(B50))&amp;"&amp;utm_medium=social&amp;utm_campaign="&amp;IF(E50="","general",LOWER(SUBSTITUTE(SUBSTITUTE(E50," / ","-")," ","-")))&amp;"&amp;utm_content="&amp;LOWER(C50))</f>
        <v/>
      </c>
    </row>
    <row r="51" customFormat="false" ht="15" hidden="false" customHeight="false" outlineLevel="0" collapsed="false">
      <c r="A51" s="28"/>
      <c r="B51" s="27"/>
      <c r="C51" s="27"/>
      <c r="D51" s="26"/>
      <c r="E51" s="27"/>
      <c r="F51" s="27"/>
      <c r="G51" s="27"/>
      <c r="H51" s="21"/>
      <c r="I51" s="21"/>
      <c r="J51" s="21"/>
      <c r="K51" s="21"/>
      <c r="L51" s="21"/>
      <c r="M51" s="21"/>
      <c r="N51" s="21"/>
      <c r="O51" s="21"/>
      <c r="P51" s="22" t="str">
        <f aca="false">IF(OR(A51="",B51="",C51=""),"",IF(COUNT(J51:N51)=0,"",SUM(J51:N51)))</f>
        <v/>
      </c>
      <c r="Q51" s="22" t="str">
        <f aca="false">IF(OR(A51="",B51="",C51=""),"",SUMIFS('Who Engaged'!$H$5:$H$1004,'Who Engaged'!$C$5:$C$1004,C51,'Who Engaged'!$N$5:$N$1004,"Yes")+SUMIFS('Who Engaged'!$I$5:$I$1004,'Who Engaged'!$C$5:$C$1004,C51,'Who Engaged'!$N$5:$N$1004,"Yes")+SUMIFS('Who Engaged'!$J$5:$J$1004,'Who Engaged'!$C$5:$C$1004,C51,'Who Engaged'!$N$5:$N$1004,"Yes")+SUMIFS('Who Engaged'!$K$5:$K$1004,'Who Engaged'!$C$5:$C$1004,C51,'Who Engaged'!$N$5:$N$1004,"Yes"))</f>
        <v/>
      </c>
      <c r="R51" s="22" t="str">
        <f aca="false">IF(OR(OR(A51="",B51="",C51=""),P51=""),"",MAX(0,P51-N(Q51)))</f>
        <v/>
      </c>
      <c r="S51" s="23" t="str">
        <f aca="false">IF(OR(OR(A51="",B51="",C51=""),R51=""),"",IFERROR(R51/(IF(N(H51)&gt;0,H51,IF(N(I51)&gt;0,I51,IF(COUNTIFS($B$16:$B$215,B51,$H$16:$H$215,"&gt;0")+COUNTIFS($B$16:$B$215,B51,$I$16:$I$215,"&gt;0")&gt;0,"",INDEX($B$5:$B$7,MATCH(B51,$A$5:$A$7,0)))))),""))</f>
        <v/>
      </c>
      <c r="T51" s="24" t="str">
        <f aca="false">IF(OR(A51="",B51="",C51=""),"",IF(OR(S51="",COUNTIFS($B$16:$B$215,B51,$S$16:$S$215,"&gt;=0")&lt;2),"No Data Yet",IFERROR(IF(S51/AVERAGEIFS($S$16:$S$215,$B$16:$B$215,B51)&gt;=1.2,"Good",IF(S51/AVERAGEIFS($S$16:$S$215,$B$16:$B$215,B51)&gt;=0.8,"Average","Below Standard")),"Average")))</f>
        <v/>
      </c>
      <c r="U51" s="22" t="str">
        <f aca="false">IF(OR(A51="",B51="",C51=""),"",COUNTIFS('Who Engaged'!$C$5:$C$1004,C51,'Who Engaged'!$O$5:$O$1004,"Yes",'Who Engaged'!$M$5:$M$1004,1))</f>
        <v/>
      </c>
      <c r="V51" s="22" t="str">
        <f aca="false">IF(OR(A51="",B51="",C51=""),"",COUNTIFS('Who Engaged'!$C$5:$C$1004,C51,'Who Engaged'!$O$5:$O$1004,"Yes",'Who Engaged'!$L$5:$L$1004,1))</f>
        <v/>
      </c>
      <c r="W51" s="25" t="str">
        <f aca="false" t="array" ref="W51:W51">IF(OR(A51="",B51="",C51=""),"",_xlfn.TEXTJOIN("; ",TRUE(),IF(('Who Engaged'!$C$5:$C$1004=C51)*('Who Engaged'!$O$5:$O$1004="Yes"),'Who Engaged'!$D$5:$D$1004&amp;" – "&amp;'Who Engaged'!$F$5:$F$1004&amp;IF('Who Engaged'!$L$5:$L$1004=1," (followed)",""),"")))</f>
        <v/>
      </c>
      <c r="X51" s="26"/>
      <c r="Y51" s="26"/>
      <c r="Z51" s="27"/>
      <c r="AA51" s="24" t="str">
        <f aca="false">IF(OR(A51="",B51="",C51=""),"","https://www.alphanodus.com/contact?utm_source="&amp;IF(B51="X","twitter",LOWER(B51))&amp;"&amp;utm_medium=social&amp;utm_campaign="&amp;IF(E51="","general",LOWER(SUBSTITUTE(SUBSTITUTE(E51," / ","-")," ","-")))&amp;"&amp;utm_content="&amp;LOWER(C51))</f>
        <v/>
      </c>
    </row>
    <row r="52" customFormat="false" ht="15" hidden="false" customHeight="false" outlineLevel="0" collapsed="false">
      <c r="A52" s="28"/>
      <c r="B52" s="27"/>
      <c r="C52" s="27"/>
      <c r="D52" s="26"/>
      <c r="E52" s="27"/>
      <c r="F52" s="27"/>
      <c r="G52" s="27"/>
      <c r="H52" s="21"/>
      <c r="I52" s="21"/>
      <c r="J52" s="21"/>
      <c r="K52" s="21"/>
      <c r="L52" s="21"/>
      <c r="M52" s="21"/>
      <c r="N52" s="21"/>
      <c r="O52" s="21"/>
      <c r="P52" s="22" t="str">
        <f aca="false">IF(OR(A52="",B52="",C52=""),"",IF(COUNT(J52:N52)=0,"",SUM(J52:N52)))</f>
        <v/>
      </c>
      <c r="Q52" s="22" t="str">
        <f aca="false">IF(OR(A52="",B52="",C52=""),"",SUMIFS('Who Engaged'!$H$5:$H$1004,'Who Engaged'!$C$5:$C$1004,C52,'Who Engaged'!$N$5:$N$1004,"Yes")+SUMIFS('Who Engaged'!$I$5:$I$1004,'Who Engaged'!$C$5:$C$1004,C52,'Who Engaged'!$N$5:$N$1004,"Yes")+SUMIFS('Who Engaged'!$J$5:$J$1004,'Who Engaged'!$C$5:$C$1004,C52,'Who Engaged'!$N$5:$N$1004,"Yes")+SUMIFS('Who Engaged'!$K$5:$K$1004,'Who Engaged'!$C$5:$C$1004,C52,'Who Engaged'!$N$5:$N$1004,"Yes"))</f>
        <v/>
      </c>
      <c r="R52" s="22" t="str">
        <f aca="false">IF(OR(OR(A52="",B52="",C52=""),P52=""),"",MAX(0,P52-N(Q52)))</f>
        <v/>
      </c>
      <c r="S52" s="23" t="str">
        <f aca="false">IF(OR(OR(A52="",B52="",C52=""),R52=""),"",IFERROR(R52/(IF(N(H52)&gt;0,H52,IF(N(I52)&gt;0,I52,IF(COUNTIFS($B$16:$B$215,B52,$H$16:$H$215,"&gt;0")+COUNTIFS($B$16:$B$215,B52,$I$16:$I$215,"&gt;0")&gt;0,"",INDEX($B$5:$B$7,MATCH(B52,$A$5:$A$7,0)))))),""))</f>
        <v/>
      </c>
      <c r="T52" s="24" t="str">
        <f aca="false">IF(OR(A52="",B52="",C52=""),"",IF(OR(S52="",COUNTIFS($B$16:$B$215,B52,$S$16:$S$215,"&gt;=0")&lt;2),"No Data Yet",IFERROR(IF(S52/AVERAGEIFS($S$16:$S$215,$B$16:$B$215,B52)&gt;=1.2,"Good",IF(S52/AVERAGEIFS($S$16:$S$215,$B$16:$B$215,B52)&gt;=0.8,"Average","Below Standard")),"Average")))</f>
        <v/>
      </c>
      <c r="U52" s="22" t="str">
        <f aca="false">IF(OR(A52="",B52="",C52=""),"",COUNTIFS('Who Engaged'!$C$5:$C$1004,C52,'Who Engaged'!$O$5:$O$1004,"Yes",'Who Engaged'!$M$5:$M$1004,1))</f>
        <v/>
      </c>
      <c r="V52" s="22" t="str">
        <f aca="false">IF(OR(A52="",B52="",C52=""),"",COUNTIFS('Who Engaged'!$C$5:$C$1004,C52,'Who Engaged'!$O$5:$O$1004,"Yes",'Who Engaged'!$L$5:$L$1004,1))</f>
        <v/>
      </c>
      <c r="W52" s="25" t="str">
        <f aca="false" t="array" ref="W52:W52">IF(OR(A52="",B52="",C52=""),"",_xlfn.TEXTJOIN("; ",TRUE(),IF(('Who Engaged'!$C$5:$C$1004=C52)*('Who Engaged'!$O$5:$O$1004="Yes"),'Who Engaged'!$D$5:$D$1004&amp;" – "&amp;'Who Engaged'!$F$5:$F$1004&amp;IF('Who Engaged'!$L$5:$L$1004=1," (followed)",""),"")))</f>
        <v/>
      </c>
      <c r="X52" s="26"/>
      <c r="Y52" s="26"/>
      <c r="Z52" s="27"/>
      <c r="AA52" s="24" t="str">
        <f aca="false">IF(OR(A52="",B52="",C52=""),"","https://www.alphanodus.com/contact?utm_source="&amp;IF(B52="X","twitter",LOWER(B52))&amp;"&amp;utm_medium=social&amp;utm_campaign="&amp;IF(E52="","general",LOWER(SUBSTITUTE(SUBSTITUTE(E52," / ","-")," ","-")))&amp;"&amp;utm_content="&amp;LOWER(C52))</f>
        <v/>
      </c>
    </row>
    <row r="53" customFormat="false" ht="15" hidden="false" customHeight="false" outlineLevel="0" collapsed="false">
      <c r="A53" s="28"/>
      <c r="B53" s="27"/>
      <c r="C53" s="27"/>
      <c r="D53" s="26"/>
      <c r="E53" s="27"/>
      <c r="F53" s="27"/>
      <c r="G53" s="27"/>
      <c r="H53" s="21"/>
      <c r="I53" s="21"/>
      <c r="J53" s="21"/>
      <c r="K53" s="21"/>
      <c r="L53" s="21"/>
      <c r="M53" s="21"/>
      <c r="N53" s="21"/>
      <c r="O53" s="21"/>
      <c r="P53" s="22" t="str">
        <f aca="false">IF(OR(A53="",B53="",C53=""),"",IF(COUNT(J53:N53)=0,"",SUM(J53:N53)))</f>
        <v/>
      </c>
      <c r="Q53" s="22" t="str">
        <f aca="false">IF(OR(A53="",B53="",C53=""),"",SUMIFS('Who Engaged'!$H$5:$H$1004,'Who Engaged'!$C$5:$C$1004,C53,'Who Engaged'!$N$5:$N$1004,"Yes")+SUMIFS('Who Engaged'!$I$5:$I$1004,'Who Engaged'!$C$5:$C$1004,C53,'Who Engaged'!$N$5:$N$1004,"Yes")+SUMIFS('Who Engaged'!$J$5:$J$1004,'Who Engaged'!$C$5:$C$1004,C53,'Who Engaged'!$N$5:$N$1004,"Yes")+SUMIFS('Who Engaged'!$K$5:$K$1004,'Who Engaged'!$C$5:$C$1004,C53,'Who Engaged'!$N$5:$N$1004,"Yes"))</f>
        <v/>
      </c>
      <c r="R53" s="22" t="str">
        <f aca="false">IF(OR(OR(A53="",B53="",C53=""),P53=""),"",MAX(0,P53-N(Q53)))</f>
        <v/>
      </c>
      <c r="S53" s="23" t="str">
        <f aca="false">IF(OR(OR(A53="",B53="",C53=""),R53=""),"",IFERROR(R53/(IF(N(H53)&gt;0,H53,IF(N(I53)&gt;0,I53,IF(COUNTIFS($B$16:$B$215,B53,$H$16:$H$215,"&gt;0")+COUNTIFS($B$16:$B$215,B53,$I$16:$I$215,"&gt;0")&gt;0,"",INDEX($B$5:$B$7,MATCH(B53,$A$5:$A$7,0)))))),""))</f>
        <v/>
      </c>
      <c r="T53" s="24" t="str">
        <f aca="false">IF(OR(A53="",B53="",C53=""),"",IF(OR(S53="",COUNTIFS($B$16:$B$215,B53,$S$16:$S$215,"&gt;=0")&lt;2),"No Data Yet",IFERROR(IF(S53/AVERAGEIFS($S$16:$S$215,$B$16:$B$215,B53)&gt;=1.2,"Good",IF(S53/AVERAGEIFS($S$16:$S$215,$B$16:$B$215,B53)&gt;=0.8,"Average","Below Standard")),"Average")))</f>
        <v/>
      </c>
      <c r="U53" s="22" t="str">
        <f aca="false">IF(OR(A53="",B53="",C53=""),"",COUNTIFS('Who Engaged'!$C$5:$C$1004,C53,'Who Engaged'!$O$5:$O$1004,"Yes",'Who Engaged'!$M$5:$M$1004,1))</f>
        <v/>
      </c>
      <c r="V53" s="22" t="str">
        <f aca="false">IF(OR(A53="",B53="",C53=""),"",COUNTIFS('Who Engaged'!$C$5:$C$1004,C53,'Who Engaged'!$O$5:$O$1004,"Yes",'Who Engaged'!$L$5:$L$1004,1))</f>
        <v/>
      </c>
      <c r="W53" s="25" t="str">
        <f aca="false" t="array" ref="W53:W53">IF(OR(A53="",B53="",C53=""),"",_xlfn.TEXTJOIN("; ",TRUE(),IF(('Who Engaged'!$C$5:$C$1004=C53)*('Who Engaged'!$O$5:$O$1004="Yes"),'Who Engaged'!$D$5:$D$1004&amp;" – "&amp;'Who Engaged'!$F$5:$F$1004&amp;IF('Who Engaged'!$L$5:$L$1004=1," (followed)",""),"")))</f>
        <v/>
      </c>
      <c r="X53" s="26"/>
      <c r="Y53" s="26"/>
      <c r="Z53" s="27"/>
      <c r="AA53" s="24" t="str">
        <f aca="false">IF(OR(A53="",B53="",C53=""),"","https://www.alphanodus.com/contact?utm_source="&amp;IF(B53="X","twitter",LOWER(B53))&amp;"&amp;utm_medium=social&amp;utm_campaign="&amp;IF(E53="","general",LOWER(SUBSTITUTE(SUBSTITUTE(E53," / ","-")," ","-")))&amp;"&amp;utm_content="&amp;LOWER(C53))</f>
        <v/>
      </c>
    </row>
    <row r="54" customFormat="false" ht="15" hidden="false" customHeight="false" outlineLevel="0" collapsed="false">
      <c r="A54" s="28"/>
      <c r="B54" s="27"/>
      <c r="C54" s="27"/>
      <c r="D54" s="26"/>
      <c r="E54" s="27"/>
      <c r="F54" s="27"/>
      <c r="G54" s="27"/>
      <c r="H54" s="21"/>
      <c r="I54" s="21"/>
      <c r="J54" s="21"/>
      <c r="K54" s="21"/>
      <c r="L54" s="21"/>
      <c r="M54" s="21"/>
      <c r="N54" s="21"/>
      <c r="O54" s="21"/>
      <c r="P54" s="22" t="str">
        <f aca="false">IF(OR(A54="",B54="",C54=""),"",IF(COUNT(J54:N54)=0,"",SUM(J54:N54)))</f>
        <v/>
      </c>
      <c r="Q54" s="22" t="str">
        <f aca="false">IF(OR(A54="",B54="",C54=""),"",SUMIFS('Who Engaged'!$H$5:$H$1004,'Who Engaged'!$C$5:$C$1004,C54,'Who Engaged'!$N$5:$N$1004,"Yes")+SUMIFS('Who Engaged'!$I$5:$I$1004,'Who Engaged'!$C$5:$C$1004,C54,'Who Engaged'!$N$5:$N$1004,"Yes")+SUMIFS('Who Engaged'!$J$5:$J$1004,'Who Engaged'!$C$5:$C$1004,C54,'Who Engaged'!$N$5:$N$1004,"Yes")+SUMIFS('Who Engaged'!$K$5:$K$1004,'Who Engaged'!$C$5:$C$1004,C54,'Who Engaged'!$N$5:$N$1004,"Yes"))</f>
        <v/>
      </c>
      <c r="R54" s="22" t="str">
        <f aca="false">IF(OR(OR(A54="",B54="",C54=""),P54=""),"",MAX(0,P54-N(Q54)))</f>
        <v/>
      </c>
      <c r="S54" s="23" t="str">
        <f aca="false">IF(OR(OR(A54="",B54="",C54=""),R54=""),"",IFERROR(R54/(IF(N(H54)&gt;0,H54,IF(N(I54)&gt;0,I54,IF(COUNTIFS($B$16:$B$215,B54,$H$16:$H$215,"&gt;0")+COUNTIFS($B$16:$B$215,B54,$I$16:$I$215,"&gt;0")&gt;0,"",INDEX($B$5:$B$7,MATCH(B54,$A$5:$A$7,0)))))),""))</f>
        <v/>
      </c>
      <c r="T54" s="24" t="str">
        <f aca="false">IF(OR(A54="",B54="",C54=""),"",IF(OR(S54="",COUNTIFS($B$16:$B$215,B54,$S$16:$S$215,"&gt;=0")&lt;2),"No Data Yet",IFERROR(IF(S54/AVERAGEIFS($S$16:$S$215,$B$16:$B$215,B54)&gt;=1.2,"Good",IF(S54/AVERAGEIFS($S$16:$S$215,$B$16:$B$215,B54)&gt;=0.8,"Average","Below Standard")),"Average")))</f>
        <v/>
      </c>
      <c r="U54" s="22" t="str">
        <f aca="false">IF(OR(A54="",B54="",C54=""),"",COUNTIFS('Who Engaged'!$C$5:$C$1004,C54,'Who Engaged'!$O$5:$O$1004,"Yes",'Who Engaged'!$M$5:$M$1004,1))</f>
        <v/>
      </c>
      <c r="V54" s="22" t="str">
        <f aca="false">IF(OR(A54="",B54="",C54=""),"",COUNTIFS('Who Engaged'!$C$5:$C$1004,C54,'Who Engaged'!$O$5:$O$1004,"Yes",'Who Engaged'!$L$5:$L$1004,1))</f>
        <v/>
      </c>
      <c r="W54" s="25" t="str">
        <f aca="false" t="array" ref="W54:W54">IF(OR(A54="",B54="",C54=""),"",_xlfn.TEXTJOIN("; ",TRUE(),IF(('Who Engaged'!$C$5:$C$1004=C54)*('Who Engaged'!$O$5:$O$1004="Yes"),'Who Engaged'!$D$5:$D$1004&amp;" – "&amp;'Who Engaged'!$F$5:$F$1004&amp;IF('Who Engaged'!$L$5:$L$1004=1," (followed)",""),"")))</f>
        <v/>
      </c>
      <c r="X54" s="26"/>
      <c r="Y54" s="26"/>
      <c r="Z54" s="27"/>
      <c r="AA54" s="24" t="str">
        <f aca="false">IF(OR(A54="",B54="",C54=""),"","https://www.alphanodus.com/contact?utm_source="&amp;IF(B54="X","twitter",LOWER(B54))&amp;"&amp;utm_medium=social&amp;utm_campaign="&amp;IF(E54="","general",LOWER(SUBSTITUTE(SUBSTITUTE(E54," / ","-")," ","-")))&amp;"&amp;utm_content="&amp;LOWER(C54))</f>
        <v/>
      </c>
    </row>
    <row r="55" customFormat="false" ht="15" hidden="false" customHeight="false" outlineLevel="0" collapsed="false">
      <c r="A55" s="28"/>
      <c r="B55" s="27"/>
      <c r="C55" s="27"/>
      <c r="D55" s="26"/>
      <c r="E55" s="27"/>
      <c r="F55" s="27"/>
      <c r="G55" s="27"/>
      <c r="H55" s="21"/>
      <c r="I55" s="21"/>
      <c r="J55" s="21"/>
      <c r="K55" s="21"/>
      <c r="L55" s="21"/>
      <c r="M55" s="21"/>
      <c r="N55" s="21"/>
      <c r="O55" s="21"/>
      <c r="P55" s="22" t="str">
        <f aca="false">IF(OR(A55="",B55="",C55=""),"",IF(COUNT(J55:N55)=0,"",SUM(J55:N55)))</f>
        <v/>
      </c>
      <c r="Q55" s="22" t="str">
        <f aca="false">IF(OR(A55="",B55="",C55=""),"",SUMIFS('Who Engaged'!$H$5:$H$1004,'Who Engaged'!$C$5:$C$1004,C55,'Who Engaged'!$N$5:$N$1004,"Yes")+SUMIFS('Who Engaged'!$I$5:$I$1004,'Who Engaged'!$C$5:$C$1004,C55,'Who Engaged'!$N$5:$N$1004,"Yes")+SUMIFS('Who Engaged'!$J$5:$J$1004,'Who Engaged'!$C$5:$C$1004,C55,'Who Engaged'!$N$5:$N$1004,"Yes")+SUMIFS('Who Engaged'!$K$5:$K$1004,'Who Engaged'!$C$5:$C$1004,C55,'Who Engaged'!$N$5:$N$1004,"Yes"))</f>
        <v/>
      </c>
      <c r="R55" s="22" t="str">
        <f aca="false">IF(OR(OR(A55="",B55="",C55=""),P55=""),"",MAX(0,P55-N(Q55)))</f>
        <v/>
      </c>
      <c r="S55" s="23" t="str">
        <f aca="false">IF(OR(OR(A55="",B55="",C55=""),R55=""),"",IFERROR(R55/(IF(N(H55)&gt;0,H55,IF(N(I55)&gt;0,I55,IF(COUNTIFS($B$16:$B$215,B55,$H$16:$H$215,"&gt;0")+COUNTIFS($B$16:$B$215,B55,$I$16:$I$215,"&gt;0")&gt;0,"",INDEX($B$5:$B$7,MATCH(B55,$A$5:$A$7,0)))))),""))</f>
        <v/>
      </c>
      <c r="T55" s="24" t="str">
        <f aca="false">IF(OR(A55="",B55="",C55=""),"",IF(OR(S55="",COUNTIFS($B$16:$B$215,B55,$S$16:$S$215,"&gt;=0")&lt;2),"No Data Yet",IFERROR(IF(S55/AVERAGEIFS($S$16:$S$215,$B$16:$B$215,B55)&gt;=1.2,"Good",IF(S55/AVERAGEIFS($S$16:$S$215,$B$16:$B$215,B55)&gt;=0.8,"Average","Below Standard")),"Average")))</f>
        <v/>
      </c>
      <c r="U55" s="22" t="str">
        <f aca="false">IF(OR(A55="",B55="",C55=""),"",COUNTIFS('Who Engaged'!$C$5:$C$1004,C55,'Who Engaged'!$O$5:$O$1004,"Yes",'Who Engaged'!$M$5:$M$1004,1))</f>
        <v/>
      </c>
      <c r="V55" s="22" t="str">
        <f aca="false">IF(OR(A55="",B55="",C55=""),"",COUNTIFS('Who Engaged'!$C$5:$C$1004,C55,'Who Engaged'!$O$5:$O$1004,"Yes",'Who Engaged'!$L$5:$L$1004,1))</f>
        <v/>
      </c>
      <c r="W55" s="25" t="str">
        <f aca="false" t="array" ref="W55:W55">IF(OR(A55="",B55="",C55=""),"",_xlfn.TEXTJOIN("; ",TRUE(),IF(('Who Engaged'!$C$5:$C$1004=C55)*('Who Engaged'!$O$5:$O$1004="Yes"),'Who Engaged'!$D$5:$D$1004&amp;" – "&amp;'Who Engaged'!$F$5:$F$1004&amp;IF('Who Engaged'!$L$5:$L$1004=1," (followed)",""),"")))</f>
        <v/>
      </c>
      <c r="X55" s="26"/>
      <c r="Y55" s="26"/>
      <c r="Z55" s="27"/>
      <c r="AA55" s="24" t="str">
        <f aca="false">IF(OR(A55="",B55="",C55=""),"","https://www.alphanodus.com/contact?utm_source="&amp;IF(B55="X","twitter",LOWER(B55))&amp;"&amp;utm_medium=social&amp;utm_campaign="&amp;IF(E55="","general",LOWER(SUBSTITUTE(SUBSTITUTE(E55," / ","-")," ","-")))&amp;"&amp;utm_content="&amp;LOWER(C55))</f>
        <v/>
      </c>
    </row>
    <row r="56" customFormat="false" ht="15" hidden="false" customHeight="false" outlineLevel="0" collapsed="false">
      <c r="A56" s="28"/>
      <c r="B56" s="27"/>
      <c r="C56" s="27"/>
      <c r="D56" s="26"/>
      <c r="E56" s="27"/>
      <c r="F56" s="27"/>
      <c r="G56" s="27"/>
      <c r="H56" s="21"/>
      <c r="I56" s="21"/>
      <c r="J56" s="21"/>
      <c r="K56" s="21"/>
      <c r="L56" s="21"/>
      <c r="M56" s="21"/>
      <c r="N56" s="21"/>
      <c r="O56" s="21"/>
      <c r="P56" s="22" t="str">
        <f aca="false">IF(OR(A56="",B56="",C56=""),"",IF(COUNT(J56:N56)=0,"",SUM(J56:N56)))</f>
        <v/>
      </c>
      <c r="Q56" s="22" t="str">
        <f aca="false">IF(OR(A56="",B56="",C56=""),"",SUMIFS('Who Engaged'!$H$5:$H$1004,'Who Engaged'!$C$5:$C$1004,C56,'Who Engaged'!$N$5:$N$1004,"Yes")+SUMIFS('Who Engaged'!$I$5:$I$1004,'Who Engaged'!$C$5:$C$1004,C56,'Who Engaged'!$N$5:$N$1004,"Yes")+SUMIFS('Who Engaged'!$J$5:$J$1004,'Who Engaged'!$C$5:$C$1004,C56,'Who Engaged'!$N$5:$N$1004,"Yes")+SUMIFS('Who Engaged'!$K$5:$K$1004,'Who Engaged'!$C$5:$C$1004,C56,'Who Engaged'!$N$5:$N$1004,"Yes"))</f>
        <v/>
      </c>
      <c r="R56" s="22" t="str">
        <f aca="false">IF(OR(OR(A56="",B56="",C56=""),P56=""),"",MAX(0,P56-N(Q56)))</f>
        <v/>
      </c>
      <c r="S56" s="23" t="str">
        <f aca="false">IF(OR(OR(A56="",B56="",C56=""),R56=""),"",IFERROR(R56/(IF(N(H56)&gt;0,H56,IF(N(I56)&gt;0,I56,IF(COUNTIFS($B$16:$B$215,B56,$H$16:$H$215,"&gt;0")+COUNTIFS($B$16:$B$215,B56,$I$16:$I$215,"&gt;0")&gt;0,"",INDEX($B$5:$B$7,MATCH(B56,$A$5:$A$7,0)))))),""))</f>
        <v/>
      </c>
      <c r="T56" s="24" t="str">
        <f aca="false">IF(OR(A56="",B56="",C56=""),"",IF(OR(S56="",COUNTIFS($B$16:$B$215,B56,$S$16:$S$215,"&gt;=0")&lt;2),"No Data Yet",IFERROR(IF(S56/AVERAGEIFS($S$16:$S$215,$B$16:$B$215,B56)&gt;=1.2,"Good",IF(S56/AVERAGEIFS($S$16:$S$215,$B$16:$B$215,B56)&gt;=0.8,"Average","Below Standard")),"Average")))</f>
        <v/>
      </c>
      <c r="U56" s="22" t="str">
        <f aca="false">IF(OR(A56="",B56="",C56=""),"",COUNTIFS('Who Engaged'!$C$5:$C$1004,C56,'Who Engaged'!$O$5:$O$1004,"Yes",'Who Engaged'!$M$5:$M$1004,1))</f>
        <v/>
      </c>
      <c r="V56" s="22" t="str">
        <f aca="false">IF(OR(A56="",B56="",C56=""),"",COUNTIFS('Who Engaged'!$C$5:$C$1004,C56,'Who Engaged'!$O$5:$O$1004,"Yes",'Who Engaged'!$L$5:$L$1004,1))</f>
        <v/>
      </c>
      <c r="W56" s="25" t="str">
        <f aca="false" t="array" ref="W56:W56">IF(OR(A56="",B56="",C56=""),"",_xlfn.TEXTJOIN("; ",TRUE(),IF(('Who Engaged'!$C$5:$C$1004=C56)*('Who Engaged'!$O$5:$O$1004="Yes"),'Who Engaged'!$D$5:$D$1004&amp;" – "&amp;'Who Engaged'!$F$5:$F$1004&amp;IF('Who Engaged'!$L$5:$L$1004=1," (followed)",""),"")))</f>
        <v/>
      </c>
      <c r="X56" s="26"/>
      <c r="Y56" s="26"/>
      <c r="Z56" s="27"/>
      <c r="AA56" s="24" t="str">
        <f aca="false">IF(OR(A56="",B56="",C56=""),"","https://www.alphanodus.com/contact?utm_source="&amp;IF(B56="X","twitter",LOWER(B56))&amp;"&amp;utm_medium=social&amp;utm_campaign="&amp;IF(E56="","general",LOWER(SUBSTITUTE(SUBSTITUTE(E56," / ","-")," ","-")))&amp;"&amp;utm_content="&amp;LOWER(C56))</f>
        <v/>
      </c>
    </row>
    <row r="57" customFormat="false" ht="15" hidden="false" customHeight="false" outlineLevel="0" collapsed="false">
      <c r="A57" s="28"/>
      <c r="B57" s="27"/>
      <c r="C57" s="27"/>
      <c r="D57" s="26"/>
      <c r="E57" s="27"/>
      <c r="F57" s="27"/>
      <c r="G57" s="27"/>
      <c r="H57" s="21"/>
      <c r="I57" s="21"/>
      <c r="J57" s="21"/>
      <c r="K57" s="21"/>
      <c r="L57" s="21"/>
      <c r="M57" s="21"/>
      <c r="N57" s="21"/>
      <c r="O57" s="21"/>
      <c r="P57" s="22" t="str">
        <f aca="false">IF(OR(A57="",B57="",C57=""),"",IF(COUNT(J57:N57)=0,"",SUM(J57:N57)))</f>
        <v/>
      </c>
      <c r="Q57" s="22" t="str">
        <f aca="false">IF(OR(A57="",B57="",C57=""),"",SUMIFS('Who Engaged'!$H$5:$H$1004,'Who Engaged'!$C$5:$C$1004,C57,'Who Engaged'!$N$5:$N$1004,"Yes")+SUMIFS('Who Engaged'!$I$5:$I$1004,'Who Engaged'!$C$5:$C$1004,C57,'Who Engaged'!$N$5:$N$1004,"Yes")+SUMIFS('Who Engaged'!$J$5:$J$1004,'Who Engaged'!$C$5:$C$1004,C57,'Who Engaged'!$N$5:$N$1004,"Yes")+SUMIFS('Who Engaged'!$K$5:$K$1004,'Who Engaged'!$C$5:$C$1004,C57,'Who Engaged'!$N$5:$N$1004,"Yes"))</f>
        <v/>
      </c>
      <c r="R57" s="22" t="str">
        <f aca="false">IF(OR(OR(A57="",B57="",C57=""),P57=""),"",MAX(0,P57-N(Q57)))</f>
        <v/>
      </c>
      <c r="S57" s="23" t="str">
        <f aca="false">IF(OR(OR(A57="",B57="",C57=""),R57=""),"",IFERROR(R57/(IF(N(H57)&gt;0,H57,IF(N(I57)&gt;0,I57,IF(COUNTIFS($B$16:$B$215,B57,$H$16:$H$215,"&gt;0")+COUNTIFS($B$16:$B$215,B57,$I$16:$I$215,"&gt;0")&gt;0,"",INDEX($B$5:$B$7,MATCH(B57,$A$5:$A$7,0)))))),""))</f>
        <v/>
      </c>
      <c r="T57" s="24" t="str">
        <f aca="false">IF(OR(A57="",B57="",C57=""),"",IF(OR(S57="",COUNTIFS($B$16:$B$215,B57,$S$16:$S$215,"&gt;=0")&lt;2),"No Data Yet",IFERROR(IF(S57/AVERAGEIFS($S$16:$S$215,$B$16:$B$215,B57)&gt;=1.2,"Good",IF(S57/AVERAGEIFS($S$16:$S$215,$B$16:$B$215,B57)&gt;=0.8,"Average","Below Standard")),"Average")))</f>
        <v/>
      </c>
      <c r="U57" s="22" t="str">
        <f aca="false">IF(OR(A57="",B57="",C57=""),"",COUNTIFS('Who Engaged'!$C$5:$C$1004,C57,'Who Engaged'!$O$5:$O$1004,"Yes",'Who Engaged'!$M$5:$M$1004,1))</f>
        <v/>
      </c>
      <c r="V57" s="22" t="str">
        <f aca="false">IF(OR(A57="",B57="",C57=""),"",COUNTIFS('Who Engaged'!$C$5:$C$1004,C57,'Who Engaged'!$O$5:$O$1004,"Yes",'Who Engaged'!$L$5:$L$1004,1))</f>
        <v/>
      </c>
      <c r="W57" s="25" t="str">
        <f aca="false" t="array" ref="W57:W57">IF(OR(A57="",B57="",C57=""),"",_xlfn.TEXTJOIN("; ",TRUE(),IF(('Who Engaged'!$C$5:$C$1004=C57)*('Who Engaged'!$O$5:$O$1004="Yes"),'Who Engaged'!$D$5:$D$1004&amp;" – "&amp;'Who Engaged'!$F$5:$F$1004&amp;IF('Who Engaged'!$L$5:$L$1004=1," (followed)",""),"")))</f>
        <v/>
      </c>
      <c r="X57" s="26"/>
      <c r="Y57" s="26"/>
      <c r="Z57" s="27"/>
      <c r="AA57" s="24" t="str">
        <f aca="false">IF(OR(A57="",B57="",C57=""),"","https://www.alphanodus.com/contact?utm_source="&amp;IF(B57="X","twitter",LOWER(B57))&amp;"&amp;utm_medium=social&amp;utm_campaign="&amp;IF(E57="","general",LOWER(SUBSTITUTE(SUBSTITUTE(E57," / ","-")," ","-")))&amp;"&amp;utm_content="&amp;LOWER(C57))</f>
        <v/>
      </c>
    </row>
    <row r="58" customFormat="false" ht="15" hidden="false" customHeight="false" outlineLevel="0" collapsed="false">
      <c r="A58" s="28"/>
      <c r="B58" s="27"/>
      <c r="C58" s="27"/>
      <c r="D58" s="26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2" t="str">
        <f aca="false">IF(OR(A58="",B58="",C58=""),"",IF(COUNT(J58:N58)=0,"",SUM(J58:N58)))</f>
        <v/>
      </c>
      <c r="Q58" s="22" t="str">
        <f aca="false">IF(OR(A58="",B58="",C58=""),"",SUMIFS('Who Engaged'!$H$5:$H$1004,'Who Engaged'!$C$5:$C$1004,C58,'Who Engaged'!$N$5:$N$1004,"Yes")+SUMIFS('Who Engaged'!$I$5:$I$1004,'Who Engaged'!$C$5:$C$1004,C58,'Who Engaged'!$N$5:$N$1004,"Yes")+SUMIFS('Who Engaged'!$J$5:$J$1004,'Who Engaged'!$C$5:$C$1004,C58,'Who Engaged'!$N$5:$N$1004,"Yes")+SUMIFS('Who Engaged'!$K$5:$K$1004,'Who Engaged'!$C$5:$C$1004,C58,'Who Engaged'!$N$5:$N$1004,"Yes"))</f>
        <v/>
      </c>
      <c r="R58" s="22" t="str">
        <f aca="false">IF(OR(OR(A58="",B58="",C58=""),P58=""),"",MAX(0,P58-N(Q58)))</f>
        <v/>
      </c>
      <c r="S58" s="23" t="str">
        <f aca="false">IF(OR(OR(A58="",B58="",C58=""),R58=""),"",IFERROR(R58/(IF(N(H58)&gt;0,H58,IF(N(I58)&gt;0,I58,IF(COUNTIFS($B$16:$B$215,B58,$H$16:$H$215,"&gt;0")+COUNTIFS($B$16:$B$215,B58,$I$16:$I$215,"&gt;0")&gt;0,"",INDEX($B$5:$B$7,MATCH(B58,$A$5:$A$7,0)))))),""))</f>
        <v/>
      </c>
      <c r="T58" s="24" t="str">
        <f aca="false">IF(OR(A58="",B58="",C58=""),"",IF(OR(S58="",COUNTIFS($B$16:$B$215,B58,$S$16:$S$215,"&gt;=0")&lt;2),"No Data Yet",IFERROR(IF(S58/AVERAGEIFS($S$16:$S$215,$B$16:$B$215,B58)&gt;=1.2,"Good",IF(S58/AVERAGEIFS($S$16:$S$215,$B$16:$B$215,B58)&gt;=0.8,"Average","Below Standard")),"Average")))</f>
        <v/>
      </c>
      <c r="U58" s="22" t="str">
        <f aca="false">IF(OR(A58="",B58="",C58=""),"",COUNTIFS('Who Engaged'!$C$5:$C$1004,C58,'Who Engaged'!$O$5:$O$1004,"Yes",'Who Engaged'!$M$5:$M$1004,1))</f>
        <v/>
      </c>
      <c r="V58" s="22" t="str">
        <f aca="false">IF(OR(A58="",B58="",C58=""),"",COUNTIFS('Who Engaged'!$C$5:$C$1004,C58,'Who Engaged'!$O$5:$O$1004,"Yes",'Who Engaged'!$L$5:$L$1004,1))</f>
        <v/>
      </c>
      <c r="W58" s="25" t="str">
        <f aca="false" t="array" ref="W58:W58">IF(OR(A58="",B58="",C58=""),"",_xlfn.TEXTJOIN("; ",TRUE(),IF(('Who Engaged'!$C$5:$C$1004=C58)*('Who Engaged'!$O$5:$O$1004="Yes"),'Who Engaged'!$D$5:$D$1004&amp;" – "&amp;'Who Engaged'!$F$5:$F$1004&amp;IF('Who Engaged'!$L$5:$L$1004=1," (followed)",""),"")))</f>
        <v/>
      </c>
      <c r="X58" s="26"/>
      <c r="Y58" s="26"/>
      <c r="Z58" s="27"/>
      <c r="AA58" s="24" t="str">
        <f aca="false">IF(OR(A58="",B58="",C58=""),"","https://www.alphanodus.com/contact?utm_source="&amp;IF(B58="X","twitter",LOWER(B58))&amp;"&amp;utm_medium=social&amp;utm_campaign="&amp;IF(E58="","general",LOWER(SUBSTITUTE(SUBSTITUTE(E58," / ","-")," ","-")))&amp;"&amp;utm_content="&amp;LOWER(C58))</f>
        <v/>
      </c>
    </row>
    <row r="59" customFormat="false" ht="15" hidden="false" customHeight="false" outlineLevel="0" collapsed="false">
      <c r="A59" s="28"/>
      <c r="B59" s="27"/>
      <c r="C59" s="27"/>
      <c r="D59" s="26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2" t="str">
        <f aca="false">IF(OR(A59="",B59="",C59=""),"",IF(COUNT(J59:N59)=0,"",SUM(J59:N59)))</f>
        <v/>
      </c>
      <c r="Q59" s="22" t="str">
        <f aca="false">IF(OR(A59="",B59="",C59=""),"",SUMIFS('Who Engaged'!$H$5:$H$1004,'Who Engaged'!$C$5:$C$1004,C59,'Who Engaged'!$N$5:$N$1004,"Yes")+SUMIFS('Who Engaged'!$I$5:$I$1004,'Who Engaged'!$C$5:$C$1004,C59,'Who Engaged'!$N$5:$N$1004,"Yes")+SUMIFS('Who Engaged'!$J$5:$J$1004,'Who Engaged'!$C$5:$C$1004,C59,'Who Engaged'!$N$5:$N$1004,"Yes")+SUMIFS('Who Engaged'!$K$5:$K$1004,'Who Engaged'!$C$5:$C$1004,C59,'Who Engaged'!$N$5:$N$1004,"Yes"))</f>
        <v/>
      </c>
      <c r="R59" s="22" t="str">
        <f aca="false">IF(OR(OR(A59="",B59="",C59=""),P59=""),"",MAX(0,P59-N(Q59)))</f>
        <v/>
      </c>
      <c r="S59" s="23" t="str">
        <f aca="false">IF(OR(OR(A59="",B59="",C59=""),R59=""),"",IFERROR(R59/(IF(N(H59)&gt;0,H59,IF(N(I59)&gt;0,I59,IF(COUNTIFS($B$16:$B$215,B59,$H$16:$H$215,"&gt;0")+COUNTIFS($B$16:$B$215,B59,$I$16:$I$215,"&gt;0")&gt;0,"",INDEX($B$5:$B$7,MATCH(B59,$A$5:$A$7,0)))))),""))</f>
        <v/>
      </c>
      <c r="T59" s="24" t="str">
        <f aca="false">IF(OR(A59="",B59="",C59=""),"",IF(OR(S59="",COUNTIFS($B$16:$B$215,B59,$S$16:$S$215,"&gt;=0")&lt;2),"No Data Yet",IFERROR(IF(S59/AVERAGEIFS($S$16:$S$215,$B$16:$B$215,B59)&gt;=1.2,"Good",IF(S59/AVERAGEIFS($S$16:$S$215,$B$16:$B$215,B59)&gt;=0.8,"Average","Below Standard")),"Average")))</f>
        <v/>
      </c>
      <c r="U59" s="22" t="str">
        <f aca="false">IF(OR(A59="",B59="",C59=""),"",COUNTIFS('Who Engaged'!$C$5:$C$1004,C59,'Who Engaged'!$O$5:$O$1004,"Yes",'Who Engaged'!$M$5:$M$1004,1))</f>
        <v/>
      </c>
      <c r="V59" s="22" t="str">
        <f aca="false">IF(OR(A59="",B59="",C59=""),"",COUNTIFS('Who Engaged'!$C$5:$C$1004,C59,'Who Engaged'!$O$5:$O$1004,"Yes",'Who Engaged'!$L$5:$L$1004,1))</f>
        <v/>
      </c>
      <c r="W59" s="25" t="str">
        <f aca="false" t="array" ref="W59:W59">IF(OR(A59="",B59="",C59=""),"",_xlfn.TEXTJOIN("; ",TRUE(),IF(('Who Engaged'!$C$5:$C$1004=C59)*('Who Engaged'!$O$5:$O$1004="Yes"),'Who Engaged'!$D$5:$D$1004&amp;" – "&amp;'Who Engaged'!$F$5:$F$1004&amp;IF('Who Engaged'!$L$5:$L$1004=1," (followed)",""),"")))</f>
        <v/>
      </c>
      <c r="X59" s="26"/>
      <c r="Y59" s="26"/>
      <c r="Z59" s="27"/>
      <c r="AA59" s="24" t="str">
        <f aca="false">IF(OR(A59="",B59="",C59=""),"","https://www.alphanodus.com/contact?utm_source="&amp;IF(B59="X","twitter",LOWER(B59))&amp;"&amp;utm_medium=social&amp;utm_campaign="&amp;IF(E59="","general",LOWER(SUBSTITUTE(SUBSTITUTE(E59," / ","-")," ","-")))&amp;"&amp;utm_content="&amp;LOWER(C59))</f>
        <v/>
      </c>
    </row>
    <row r="60" customFormat="false" ht="15" hidden="false" customHeight="false" outlineLevel="0" collapsed="false">
      <c r="A60" s="28"/>
      <c r="B60" s="27"/>
      <c r="C60" s="27"/>
      <c r="D60" s="26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22" t="str">
        <f aca="false">IF(OR(A60="",B60="",C60=""),"",IF(COUNT(J60:N60)=0,"",SUM(J60:N60)))</f>
        <v/>
      </c>
      <c r="Q60" s="22" t="str">
        <f aca="false">IF(OR(A60="",B60="",C60=""),"",SUMIFS('Who Engaged'!$H$5:$H$1004,'Who Engaged'!$C$5:$C$1004,C60,'Who Engaged'!$N$5:$N$1004,"Yes")+SUMIFS('Who Engaged'!$I$5:$I$1004,'Who Engaged'!$C$5:$C$1004,C60,'Who Engaged'!$N$5:$N$1004,"Yes")+SUMIFS('Who Engaged'!$J$5:$J$1004,'Who Engaged'!$C$5:$C$1004,C60,'Who Engaged'!$N$5:$N$1004,"Yes")+SUMIFS('Who Engaged'!$K$5:$K$1004,'Who Engaged'!$C$5:$C$1004,C60,'Who Engaged'!$N$5:$N$1004,"Yes"))</f>
        <v/>
      </c>
      <c r="R60" s="22" t="str">
        <f aca="false">IF(OR(OR(A60="",B60="",C60=""),P60=""),"",MAX(0,P60-N(Q60)))</f>
        <v/>
      </c>
      <c r="S60" s="23" t="str">
        <f aca="false">IF(OR(OR(A60="",B60="",C60=""),R60=""),"",IFERROR(R60/(IF(N(H60)&gt;0,H60,IF(N(I60)&gt;0,I60,IF(COUNTIFS($B$16:$B$215,B60,$H$16:$H$215,"&gt;0")+COUNTIFS($B$16:$B$215,B60,$I$16:$I$215,"&gt;0")&gt;0,"",INDEX($B$5:$B$7,MATCH(B60,$A$5:$A$7,0)))))),""))</f>
        <v/>
      </c>
      <c r="T60" s="24" t="str">
        <f aca="false">IF(OR(A60="",B60="",C60=""),"",IF(OR(S60="",COUNTIFS($B$16:$B$215,B60,$S$16:$S$215,"&gt;=0")&lt;2),"No Data Yet",IFERROR(IF(S60/AVERAGEIFS($S$16:$S$215,$B$16:$B$215,B60)&gt;=1.2,"Good",IF(S60/AVERAGEIFS($S$16:$S$215,$B$16:$B$215,B60)&gt;=0.8,"Average","Below Standard")),"Average")))</f>
        <v/>
      </c>
      <c r="U60" s="22" t="str">
        <f aca="false">IF(OR(A60="",B60="",C60=""),"",COUNTIFS('Who Engaged'!$C$5:$C$1004,C60,'Who Engaged'!$O$5:$O$1004,"Yes",'Who Engaged'!$M$5:$M$1004,1))</f>
        <v/>
      </c>
      <c r="V60" s="22" t="str">
        <f aca="false">IF(OR(A60="",B60="",C60=""),"",COUNTIFS('Who Engaged'!$C$5:$C$1004,C60,'Who Engaged'!$O$5:$O$1004,"Yes",'Who Engaged'!$L$5:$L$1004,1))</f>
        <v/>
      </c>
      <c r="W60" s="25" t="str">
        <f aca="false" t="array" ref="W60:W60">IF(OR(A60="",B60="",C60=""),"",_xlfn.TEXTJOIN("; ",TRUE(),IF(('Who Engaged'!$C$5:$C$1004=C60)*('Who Engaged'!$O$5:$O$1004="Yes"),'Who Engaged'!$D$5:$D$1004&amp;" – "&amp;'Who Engaged'!$F$5:$F$1004&amp;IF('Who Engaged'!$L$5:$L$1004=1," (followed)",""),"")))</f>
        <v/>
      </c>
      <c r="X60" s="26"/>
      <c r="Y60" s="26"/>
      <c r="Z60" s="27"/>
      <c r="AA60" s="24" t="str">
        <f aca="false">IF(OR(A60="",B60="",C60=""),"","https://www.alphanodus.com/contact?utm_source="&amp;IF(B60="X","twitter",LOWER(B60))&amp;"&amp;utm_medium=social&amp;utm_campaign="&amp;IF(E60="","general",LOWER(SUBSTITUTE(SUBSTITUTE(E60," / ","-")," ","-")))&amp;"&amp;utm_content="&amp;LOWER(C60))</f>
        <v/>
      </c>
    </row>
    <row r="61" customFormat="false" ht="15" hidden="false" customHeight="false" outlineLevel="0" collapsed="false">
      <c r="A61" s="28"/>
      <c r="B61" s="27"/>
      <c r="C61" s="27"/>
      <c r="D61" s="26"/>
      <c r="E61" s="27"/>
      <c r="F61" s="27"/>
      <c r="G61" s="27"/>
      <c r="H61" s="21"/>
      <c r="I61" s="21"/>
      <c r="J61" s="21"/>
      <c r="K61" s="21"/>
      <c r="L61" s="21"/>
      <c r="M61" s="21"/>
      <c r="N61" s="21"/>
      <c r="O61" s="21"/>
      <c r="P61" s="22" t="str">
        <f aca="false">IF(OR(A61="",B61="",C61=""),"",IF(COUNT(J61:N61)=0,"",SUM(J61:N61)))</f>
        <v/>
      </c>
      <c r="Q61" s="22" t="str">
        <f aca="false">IF(OR(A61="",B61="",C61=""),"",SUMIFS('Who Engaged'!$H$5:$H$1004,'Who Engaged'!$C$5:$C$1004,C61,'Who Engaged'!$N$5:$N$1004,"Yes")+SUMIFS('Who Engaged'!$I$5:$I$1004,'Who Engaged'!$C$5:$C$1004,C61,'Who Engaged'!$N$5:$N$1004,"Yes")+SUMIFS('Who Engaged'!$J$5:$J$1004,'Who Engaged'!$C$5:$C$1004,C61,'Who Engaged'!$N$5:$N$1004,"Yes")+SUMIFS('Who Engaged'!$K$5:$K$1004,'Who Engaged'!$C$5:$C$1004,C61,'Who Engaged'!$N$5:$N$1004,"Yes"))</f>
        <v/>
      </c>
      <c r="R61" s="22" t="str">
        <f aca="false">IF(OR(OR(A61="",B61="",C61=""),P61=""),"",MAX(0,P61-N(Q61)))</f>
        <v/>
      </c>
      <c r="S61" s="23" t="str">
        <f aca="false">IF(OR(OR(A61="",B61="",C61=""),R61=""),"",IFERROR(R61/(IF(N(H61)&gt;0,H61,IF(N(I61)&gt;0,I61,IF(COUNTIFS($B$16:$B$215,B61,$H$16:$H$215,"&gt;0")+COUNTIFS($B$16:$B$215,B61,$I$16:$I$215,"&gt;0")&gt;0,"",INDEX($B$5:$B$7,MATCH(B61,$A$5:$A$7,0)))))),""))</f>
        <v/>
      </c>
      <c r="T61" s="24" t="str">
        <f aca="false">IF(OR(A61="",B61="",C61=""),"",IF(OR(S61="",COUNTIFS($B$16:$B$215,B61,$S$16:$S$215,"&gt;=0")&lt;2),"No Data Yet",IFERROR(IF(S61/AVERAGEIFS($S$16:$S$215,$B$16:$B$215,B61)&gt;=1.2,"Good",IF(S61/AVERAGEIFS($S$16:$S$215,$B$16:$B$215,B61)&gt;=0.8,"Average","Below Standard")),"Average")))</f>
        <v/>
      </c>
      <c r="U61" s="22" t="str">
        <f aca="false">IF(OR(A61="",B61="",C61=""),"",COUNTIFS('Who Engaged'!$C$5:$C$1004,C61,'Who Engaged'!$O$5:$O$1004,"Yes",'Who Engaged'!$M$5:$M$1004,1))</f>
        <v/>
      </c>
      <c r="V61" s="22" t="str">
        <f aca="false">IF(OR(A61="",B61="",C61=""),"",COUNTIFS('Who Engaged'!$C$5:$C$1004,C61,'Who Engaged'!$O$5:$O$1004,"Yes",'Who Engaged'!$L$5:$L$1004,1))</f>
        <v/>
      </c>
      <c r="W61" s="25" t="str">
        <f aca="false" t="array" ref="W61:W61">IF(OR(A61="",B61="",C61=""),"",_xlfn.TEXTJOIN("; ",TRUE(),IF(('Who Engaged'!$C$5:$C$1004=C61)*('Who Engaged'!$O$5:$O$1004="Yes"),'Who Engaged'!$D$5:$D$1004&amp;" – "&amp;'Who Engaged'!$F$5:$F$1004&amp;IF('Who Engaged'!$L$5:$L$1004=1," (followed)",""),"")))</f>
        <v/>
      </c>
      <c r="X61" s="26"/>
      <c r="Y61" s="26"/>
      <c r="Z61" s="27"/>
      <c r="AA61" s="24" t="str">
        <f aca="false">IF(OR(A61="",B61="",C61=""),"","https://www.alphanodus.com/contact?utm_source="&amp;IF(B61="X","twitter",LOWER(B61))&amp;"&amp;utm_medium=social&amp;utm_campaign="&amp;IF(E61="","general",LOWER(SUBSTITUTE(SUBSTITUTE(E61," / ","-")," ","-")))&amp;"&amp;utm_content="&amp;LOWER(C61))</f>
        <v/>
      </c>
    </row>
    <row r="62" customFormat="false" ht="15" hidden="false" customHeight="false" outlineLevel="0" collapsed="false">
      <c r="A62" s="28"/>
      <c r="B62" s="27"/>
      <c r="C62" s="27"/>
      <c r="D62" s="26"/>
      <c r="E62" s="27"/>
      <c r="F62" s="27"/>
      <c r="G62" s="27"/>
      <c r="H62" s="21"/>
      <c r="I62" s="21"/>
      <c r="J62" s="21"/>
      <c r="K62" s="21"/>
      <c r="L62" s="21"/>
      <c r="M62" s="21"/>
      <c r="N62" s="21"/>
      <c r="O62" s="21"/>
      <c r="P62" s="22" t="str">
        <f aca="false">IF(OR(A62="",B62="",C62=""),"",IF(COUNT(J62:N62)=0,"",SUM(J62:N62)))</f>
        <v/>
      </c>
      <c r="Q62" s="22" t="str">
        <f aca="false">IF(OR(A62="",B62="",C62=""),"",SUMIFS('Who Engaged'!$H$5:$H$1004,'Who Engaged'!$C$5:$C$1004,C62,'Who Engaged'!$N$5:$N$1004,"Yes")+SUMIFS('Who Engaged'!$I$5:$I$1004,'Who Engaged'!$C$5:$C$1004,C62,'Who Engaged'!$N$5:$N$1004,"Yes")+SUMIFS('Who Engaged'!$J$5:$J$1004,'Who Engaged'!$C$5:$C$1004,C62,'Who Engaged'!$N$5:$N$1004,"Yes")+SUMIFS('Who Engaged'!$K$5:$K$1004,'Who Engaged'!$C$5:$C$1004,C62,'Who Engaged'!$N$5:$N$1004,"Yes"))</f>
        <v/>
      </c>
      <c r="R62" s="22" t="str">
        <f aca="false">IF(OR(OR(A62="",B62="",C62=""),P62=""),"",MAX(0,P62-N(Q62)))</f>
        <v/>
      </c>
      <c r="S62" s="23" t="str">
        <f aca="false">IF(OR(OR(A62="",B62="",C62=""),R62=""),"",IFERROR(R62/(IF(N(H62)&gt;0,H62,IF(N(I62)&gt;0,I62,IF(COUNTIFS($B$16:$B$215,B62,$H$16:$H$215,"&gt;0")+COUNTIFS($B$16:$B$215,B62,$I$16:$I$215,"&gt;0")&gt;0,"",INDEX($B$5:$B$7,MATCH(B62,$A$5:$A$7,0)))))),""))</f>
        <v/>
      </c>
      <c r="T62" s="24" t="str">
        <f aca="false">IF(OR(A62="",B62="",C62=""),"",IF(OR(S62="",COUNTIFS($B$16:$B$215,B62,$S$16:$S$215,"&gt;=0")&lt;2),"No Data Yet",IFERROR(IF(S62/AVERAGEIFS($S$16:$S$215,$B$16:$B$215,B62)&gt;=1.2,"Good",IF(S62/AVERAGEIFS($S$16:$S$215,$B$16:$B$215,B62)&gt;=0.8,"Average","Below Standard")),"Average")))</f>
        <v/>
      </c>
      <c r="U62" s="22" t="str">
        <f aca="false">IF(OR(A62="",B62="",C62=""),"",COUNTIFS('Who Engaged'!$C$5:$C$1004,C62,'Who Engaged'!$O$5:$O$1004,"Yes",'Who Engaged'!$M$5:$M$1004,1))</f>
        <v/>
      </c>
      <c r="V62" s="22" t="str">
        <f aca="false">IF(OR(A62="",B62="",C62=""),"",COUNTIFS('Who Engaged'!$C$5:$C$1004,C62,'Who Engaged'!$O$5:$O$1004,"Yes",'Who Engaged'!$L$5:$L$1004,1))</f>
        <v/>
      </c>
      <c r="W62" s="25" t="str">
        <f aca="false" t="array" ref="W62:W62">IF(OR(A62="",B62="",C62=""),"",_xlfn.TEXTJOIN("; ",TRUE(),IF(('Who Engaged'!$C$5:$C$1004=C62)*('Who Engaged'!$O$5:$O$1004="Yes"),'Who Engaged'!$D$5:$D$1004&amp;" – "&amp;'Who Engaged'!$F$5:$F$1004&amp;IF('Who Engaged'!$L$5:$L$1004=1," (followed)",""),"")))</f>
        <v/>
      </c>
      <c r="X62" s="26"/>
      <c r="Y62" s="26"/>
      <c r="Z62" s="27"/>
      <c r="AA62" s="24" t="str">
        <f aca="false">IF(OR(A62="",B62="",C62=""),"","https://www.alphanodus.com/contact?utm_source="&amp;IF(B62="X","twitter",LOWER(B62))&amp;"&amp;utm_medium=social&amp;utm_campaign="&amp;IF(E62="","general",LOWER(SUBSTITUTE(SUBSTITUTE(E62," / ","-")," ","-")))&amp;"&amp;utm_content="&amp;LOWER(C62))</f>
        <v/>
      </c>
    </row>
    <row r="63" customFormat="false" ht="15" hidden="false" customHeight="false" outlineLevel="0" collapsed="false">
      <c r="A63" s="28"/>
      <c r="B63" s="27"/>
      <c r="C63" s="27"/>
      <c r="D63" s="26"/>
      <c r="E63" s="27"/>
      <c r="F63" s="27"/>
      <c r="G63" s="27"/>
      <c r="H63" s="21"/>
      <c r="I63" s="21"/>
      <c r="J63" s="21"/>
      <c r="K63" s="21"/>
      <c r="L63" s="21"/>
      <c r="M63" s="21"/>
      <c r="N63" s="21"/>
      <c r="O63" s="21"/>
      <c r="P63" s="22" t="str">
        <f aca="false">IF(OR(A63="",B63="",C63=""),"",IF(COUNT(J63:N63)=0,"",SUM(J63:N63)))</f>
        <v/>
      </c>
      <c r="Q63" s="22" t="str">
        <f aca="false">IF(OR(A63="",B63="",C63=""),"",SUMIFS('Who Engaged'!$H$5:$H$1004,'Who Engaged'!$C$5:$C$1004,C63,'Who Engaged'!$N$5:$N$1004,"Yes")+SUMIFS('Who Engaged'!$I$5:$I$1004,'Who Engaged'!$C$5:$C$1004,C63,'Who Engaged'!$N$5:$N$1004,"Yes")+SUMIFS('Who Engaged'!$J$5:$J$1004,'Who Engaged'!$C$5:$C$1004,C63,'Who Engaged'!$N$5:$N$1004,"Yes")+SUMIFS('Who Engaged'!$K$5:$K$1004,'Who Engaged'!$C$5:$C$1004,C63,'Who Engaged'!$N$5:$N$1004,"Yes"))</f>
        <v/>
      </c>
      <c r="R63" s="22" t="str">
        <f aca="false">IF(OR(OR(A63="",B63="",C63=""),P63=""),"",MAX(0,P63-N(Q63)))</f>
        <v/>
      </c>
      <c r="S63" s="23" t="str">
        <f aca="false">IF(OR(OR(A63="",B63="",C63=""),R63=""),"",IFERROR(R63/(IF(N(H63)&gt;0,H63,IF(N(I63)&gt;0,I63,IF(COUNTIFS($B$16:$B$215,B63,$H$16:$H$215,"&gt;0")+COUNTIFS($B$16:$B$215,B63,$I$16:$I$215,"&gt;0")&gt;0,"",INDEX($B$5:$B$7,MATCH(B63,$A$5:$A$7,0)))))),""))</f>
        <v/>
      </c>
      <c r="T63" s="24" t="str">
        <f aca="false">IF(OR(A63="",B63="",C63=""),"",IF(OR(S63="",COUNTIFS($B$16:$B$215,B63,$S$16:$S$215,"&gt;=0")&lt;2),"No Data Yet",IFERROR(IF(S63/AVERAGEIFS($S$16:$S$215,$B$16:$B$215,B63)&gt;=1.2,"Good",IF(S63/AVERAGEIFS($S$16:$S$215,$B$16:$B$215,B63)&gt;=0.8,"Average","Below Standard")),"Average")))</f>
        <v/>
      </c>
      <c r="U63" s="22" t="str">
        <f aca="false">IF(OR(A63="",B63="",C63=""),"",COUNTIFS('Who Engaged'!$C$5:$C$1004,C63,'Who Engaged'!$O$5:$O$1004,"Yes",'Who Engaged'!$M$5:$M$1004,1))</f>
        <v/>
      </c>
      <c r="V63" s="22" t="str">
        <f aca="false">IF(OR(A63="",B63="",C63=""),"",COUNTIFS('Who Engaged'!$C$5:$C$1004,C63,'Who Engaged'!$O$5:$O$1004,"Yes",'Who Engaged'!$L$5:$L$1004,1))</f>
        <v/>
      </c>
      <c r="W63" s="25" t="str">
        <f aca="false" t="array" ref="W63:W63">IF(OR(A63="",B63="",C63=""),"",_xlfn.TEXTJOIN("; ",TRUE(),IF(('Who Engaged'!$C$5:$C$1004=C63)*('Who Engaged'!$O$5:$O$1004="Yes"),'Who Engaged'!$D$5:$D$1004&amp;" – "&amp;'Who Engaged'!$F$5:$F$1004&amp;IF('Who Engaged'!$L$5:$L$1004=1," (followed)",""),"")))</f>
        <v/>
      </c>
      <c r="X63" s="26"/>
      <c r="Y63" s="26"/>
      <c r="Z63" s="27"/>
      <c r="AA63" s="24" t="str">
        <f aca="false">IF(OR(A63="",B63="",C63=""),"","https://www.alphanodus.com/contact?utm_source="&amp;IF(B63="X","twitter",LOWER(B63))&amp;"&amp;utm_medium=social&amp;utm_campaign="&amp;IF(E63="","general",LOWER(SUBSTITUTE(SUBSTITUTE(E63," / ","-")," ","-")))&amp;"&amp;utm_content="&amp;LOWER(C63))</f>
        <v/>
      </c>
    </row>
    <row r="64" customFormat="false" ht="15" hidden="false" customHeight="false" outlineLevel="0" collapsed="false">
      <c r="A64" s="28"/>
      <c r="B64" s="27"/>
      <c r="C64" s="27"/>
      <c r="D64" s="26"/>
      <c r="E64" s="27"/>
      <c r="F64" s="27"/>
      <c r="G64" s="27"/>
      <c r="H64" s="21"/>
      <c r="I64" s="21"/>
      <c r="J64" s="21"/>
      <c r="K64" s="21"/>
      <c r="L64" s="21"/>
      <c r="M64" s="21"/>
      <c r="N64" s="21"/>
      <c r="O64" s="21"/>
      <c r="P64" s="22" t="str">
        <f aca="false">IF(OR(A64="",B64="",C64=""),"",IF(COUNT(J64:N64)=0,"",SUM(J64:N64)))</f>
        <v/>
      </c>
      <c r="Q64" s="22" t="str">
        <f aca="false">IF(OR(A64="",B64="",C64=""),"",SUMIFS('Who Engaged'!$H$5:$H$1004,'Who Engaged'!$C$5:$C$1004,C64,'Who Engaged'!$N$5:$N$1004,"Yes")+SUMIFS('Who Engaged'!$I$5:$I$1004,'Who Engaged'!$C$5:$C$1004,C64,'Who Engaged'!$N$5:$N$1004,"Yes")+SUMIFS('Who Engaged'!$J$5:$J$1004,'Who Engaged'!$C$5:$C$1004,C64,'Who Engaged'!$N$5:$N$1004,"Yes")+SUMIFS('Who Engaged'!$K$5:$K$1004,'Who Engaged'!$C$5:$C$1004,C64,'Who Engaged'!$N$5:$N$1004,"Yes"))</f>
        <v/>
      </c>
      <c r="R64" s="22" t="str">
        <f aca="false">IF(OR(OR(A64="",B64="",C64=""),P64=""),"",MAX(0,P64-N(Q64)))</f>
        <v/>
      </c>
      <c r="S64" s="23" t="str">
        <f aca="false">IF(OR(OR(A64="",B64="",C64=""),R64=""),"",IFERROR(R64/(IF(N(H64)&gt;0,H64,IF(N(I64)&gt;0,I64,IF(COUNTIFS($B$16:$B$215,B64,$H$16:$H$215,"&gt;0")+COUNTIFS($B$16:$B$215,B64,$I$16:$I$215,"&gt;0")&gt;0,"",INDEX($B$5:$B$7,MATCH(B64,$A$5:$A$7,0)))))),""))</f>
        <v/>
      </c>
      <c r="T64" s="24" t="str">
        <f aca="false">IF(OR(A64="",B64="",C64=""),"",IF(OR(S64="",COUNTIFS($B$16:$B$215,B64,$S$16:$S$215,"&gt;=0")&lt;2),"No Data Yet",IFERROR(IF(S64/AVERAGEIFS($S$16:$S$215,$B$16:$B$215,B64)&gt;=1.2,"Good",IF(S64/AVERAGEIFS($S$16:$S$215,$B$16:$B$215,B64)&gt;=0.8,"Average","Below Standard")),"Average")))</f>
        <v/>
      </c>
      <c r="U64" s="22" t="str">
        <f aca="false">IF(OR(A64="",B64="",C64=""),"",COUNTIFS('Who Engaged'!$C$5:$C$1004,C64,'Who Engaged'!$O$5:$O$1004,"Yes",'Who Engaged'!$M$5:$M$1004,1))</f>
        <v/>
      </c>
      <c r="V64" s="22" t="str">
        <f aca="false">IF(OR(A64="",B64="",C64=""),"",COUNTIFS('Who Engaged'!$C$5:$C$1004,C64,'Who Engaged'!$O$5:$O$1004,"Yes",'Who Engaged'!$L$5:$L$1004,1))</f>
        <v/>
      </c>
      <c r="W64" s="25" t="str">
        <f aca="false" t="array" ref="W64:W64">IF(OR(A64="",B64="",C64=""),"",_xlfn.TEXTJOIN("; ",TRUE(),IF(('Who Engaged'!$C$5:$C$1004=C64)*('Who Engaged'!$O$5:$O$1004="Yes"),'Who Engaged'!$D$5:$D$1004&amp;" – "&amp;'Who Engaged'!$F$5:$F$1004&amp;IF('Who Engaged'!$L$5:$L$1004=1," (followed)",""),"")))</f>
        <v/>
      </c>
      <c r="X64" s="26"/>
      <c r="Y64" s="26"/>
      <c r="Z64" s="27"/>
      <c r="AA64" s="24" t="str">
        <f aca="false">IF(OR(A64="",B64="",C64=""),"","https://www.alphanodus.com/contact?utm_source="&amp;IF(B64="X","twitter",LOWER(B64))&amp;"&amp;utm_medium=social&amp;utm_campaign="&amp;IF(E64="","general",LOWER(SUBSTITUTE(SUBSTITUTE(E64," / ","-")," ","-")))&amp;"&amp;utm_content="&amp;LOWER(C64))</f>
        <v/>
      </c>
    </row>
    <row r="65" customFormat="false" ht="15" hidden="false" customHeight="false" outlineLevel="0" collapsed="false">
      <c r="A65" s="28"/>
      <c r="B65" s="27"/>
      <c r="C65" s="27"/>
      <c r="D65" s="26"/>
      <c r="E65" s="27"/>
      <c r="F65" s="27"/>
      <c r="G65" s="27"/>
      <c r="H65" s="21"/>
      <c r="I65" s="21"/>
      <c r="J65" s="21"/>
      <c r="K65" s="21"/>
      <c r="L65" s="21"/>
      <c r="M65" s="21"/>
      <c r="N65" s="21"/>
      <c r="O65" s="21"/>
      <c r="P65" s="22" t="str">
        <f aca="false">IF(OR(A65="",B65="",C65=""),"",IF(COUNT(J65:N65)=0,"",SUM(J65:N65)))</f>
        <v/>
      </c>
      <c r="Q65" s="22" t="str">
        <f aca="false">IF(OR(A65="",B65="",C65=""),"",SUMIFS('Who Engaged'!$H$5:$H$1004,'Who Engaged'!$C$5:$C$1004,C65,'Who Engaged'!$N$5:$N$1004,"Yes")+SUMIFS('Who Engaged'!$I$5:$I$1004,'Who Engaged'!$C$5:$C$1004,C65,'Who Engaged'!$N$5:$N$1004,"Yes")+SUMIFS('Who Engaged'!$J$5:$J$1004,'Who Engaged'!$C$5:$C$1004,C65,'Who Engaged'!$N$5:$N$1004,"Yes")+SUMIFS('Who Engaged'!$K$5:$K$1004,'Who Engaged'!$C$5:$C$1004,C65,'Who Engaged'!$N$5:$N$1004,"Yes"))</f>
        <v/>
      </c>
      <c r="R65" s="22" t="str">
        <f aca="false">IF(OR(OR(A65="",B65="",C65=""),P65=""),"",MAX(0,P65-N(Q65)))</f>
        <v/>
      </c>
      <c r="S65" s="23" t="str">
        <f aca="false">IF(OR(OR(A65="",B65="",C65=""),R65=""),"",IFERROR(R65/(IF(N(H65)&gt;0,H65,IF(N(I65)&gt;0,I65,IF(COUNTIFS($B$16:$B$215,B65,$H$16:$H$215,"&gt;0")+COUNTIFS($B$16:$B$215,B65,$I$16:$I$215,"&gt;0")&gt;0,"",INDEX($B$5:$B$7,MATCH(B65,$A$5:$A$7,0)))))),""))</f>
        <v/>
      </c>
      <c r="T65" s="24" t="str">
        <f aca="false">IF(OR(A65="",B65="",C65=""),"",IF(OR(S65="",COUNTIFS($B$16:$B$215,B65,$S$16:$S$215,"&gt;=0")&lt;2),"No Data Yet",IFERROR(IF(S65/AVERAGEIFS($S$16:$S$215,$B$16:$B$215,B65)&gt;=1.2,"Good",IF(S65/AVERAGEIFS($S$16:$S$215,$B$16:$B$215,B65)&gt;=0.8,"Average","Below Standard")),"Average")))</f>
        <v/>
      </c>
      <c r="U65" s="22" t="str">
        <f aca="false">IF(OR(A65="",B65="",C65=""),"",COUNTIFS('Who Engaged'!$C$5:$C$1004,C65,'Who Engaged'!$O$5:$O$1004,"Yes",'Who Engaged'!$M$5:$M$1004,1))</f>
        <v/>
      </c>
      <c r="V65" s="22" t="str">
        <f aca="false">IF(OR(A65="",B65="",C65=""),"",COUNTIFS('Who Engaged'!$C$5:$C$1004,C65,'Who Engaged'!$O$5:$O$1004,"Yes",'Who Engaged'!$L$5:$L$1004,1))</f>
        <v/>
      </c>
      <c r="W65" s="25" t="str">
        <f aca="false" t="array" ref="W65:W65">IF(OR(A65="",B65="",C65=""),"",_xlfn.TEXTJOIN("; ",TRUE(),IF(('Who Engaged'!$C$5:$C$1004=C65)*('Who Engaged'!$O$5:$O$1004="Yes"),'Who Engaged'!$D$5:$D$1004&amp;" – "&amp;'Who Engaged'!$F$5:$F$1004&amp;IF('Who Engaged'!$L$5:$L$1004=1," (followed)",""),"")))</f>
        <v/>
      </c>
      <c r="X65" s="26"/>
      <c r="Y65" s="26"/>
      <c r="Z65" s="27"/>
      <c r="AA65" s="24" t="str">
        <f aca="false">IF(OR(A65="",B65="",C65=""),"","https://www.alphanodus.com/contact?utm_source="&amp;IF(B65="X","twitter",LOWER(B65))&amp;"&amp;utm_medium=social&amp;utm_campaign="&amp;IF(E65="","general",LOWER(SUBSTITUTE(SUBSTITUTE(E65," / ","-")," ","-")))&amp;"&amp;utm_content="&amp;LOWER(C65))</f>
        <v/>
      </c>
    </row>
    <row r="66" customFormat="false" ht="15" hidden="false" customHeight="false" outlineLevel="0" collapsed="false">
      <c r="A66" s="28"/>
      <c r="B66" s="27"/>
      <c r="C66" s="27"/>
      <c r="D66" s="26"/>
      <c r="E66" s="27"/>
      <c r="F66" s="27"/>
      <c r="G66" s="27"/>
      <c r="H66" s="21"/>
      <c r="I66" s="21"/>
      <c r="J66" s="21"/>
      <c r="K66" s="21"/>
      <c r="L66" s="21"/>
      <c r="M66" s="21"/>
      <c r="N66" s="21"/>
      <c r="O66" s="21"/>
      <c r="P66" s="22" t="str">
        <f aca="false">IF(OR(A66="",B66="",C66=""),"",IF(COUNT(J66:N66)=0,"",SUM(J66:N66)))</f>
        <v/>
      </c>
      <c r="Q66" s="22" t="str">
        <f aca="false">IF(OR(A66="",B66="",C66=""),"",SUMIFS('Who Engaged'!$H$5:$H$1004,'Who Engaged'!$C$5:$C$1004,C66,'Who Engaged'!$N$5:$N$1004,"Yes")+SUMIFS('Who Engaged'!$I$5:$I$1004,'Who Engaged'!$C$5:$C$1004,C66,'Who Engaged'!$N$5:$N$1004,"Yes")+SUMIFS('Who Engaged'!$J$5:$J$1004,'Who Engaged'!$C$5:$C$1004,C66,'Who Engaged'!$N$5:$N$1004,"Yes")+SUMIFS('Who Engaged'!$K$5:$K$1004,'Who Engaged'!$C$5:$C$1004,C66,'Who Engaged'!$N$5:$N$1004,"Yes"))</f>
        <v/>
      </c>
      <c r="R66" s="22" t="str">
        <f aca="false">IF(OR(OR(A66="",B66="",C66=""),P66=""),"",MAX(0,P66-N(Q66)))</f>
        <v/>
      </c>
      <c r="S66" s="23" t="str">
        <f aca="false">IF(OR(OR(A66="",B66="",C66=""),R66=""),"",IFERROR(R66/(IF(N(H66)&gt;0,H66,IF(N(I66)&gt;0,I66,IF(COUNTIFS($B$16:$B$215,B66,$H$16:$H$215,"&gt;0")+COUNTIFS($B$16:$B$215,B66,$I$16:$I$215,"&gt;0")&gt;0,"",INDEX($B$5:$B$7,MATCH(B66,$A$5:$A$7,0)))))),""))</f>
        <v/>
      </c>
      <c r="T66" s="24" t="str">
        <f aca="false">IF(OR(A66="",B66="",C66=""),"",IF(OR(S66="",COUNTIFS($B$16:$B$215,B66,$S$16:$S$215,"&gt;=0")&lt;2),"No Data Yet",IFERROR(IF(S66/AVERAGEIFS($S$16:$S$215,$B$16:$B$215,B66)&gt;=1.2,"Good",IF(S66/AVERAGEIFS($S$16:$S$215,$B$16:$B$215,B66)&gt;=0.8,"Average","Below Standard")),"Average")))</f>
        <v/>
      </c>
      <c r="U66" s="22" t="str">
        <f aca="false">IF(OR(A66="",B66="",C66=""),"",COUNTIFS('Who Engaged'!$C$5:$C$1004,C66,'Who Engaged'!$O$5:$O$1004,"Yes",'Who Engaged'!$M$5:$M$1004,1))</f>
        <v/>
      </c>
      <c r="V66" s="22" t="str">
        <f aca="false">IF(OR(A66="",B66="",C66=""),"",COUNTIFS('Who Engaged'!$C$5:$C$1004,C66,'Who Engaged'!$O$5:$O$1004,"Yes",'Who Engaged'!$L$5:$L$1004,1))</f>
        <v/>
      </c>
      <c r="W66" s="25" t="str">
        <f aca="false" t="array" ref="W66:W66">IF(OR(A66="",B66="",C66=""),"",_xlfn.TEXTJOIN("; ",TRUE(),IF(('Who Engaged'!$C$5:$C$1004=C66)*('Who Engaged'!$O$5:$O$1004="Yes"),'Who Engaged'!$D$5:$D$1004&amp;" – "&amp;'Who Engaged'!$F$5:$F$1004&amp;IF('Who Engaged'!$L$5:$L$1004=1," (followed)",""),"")))</f>
        <v/>
      </c>
      <c r="X66" s="26"/>
      <c r="Y66" s="26"/>
      <c r="Z66" s="27"/>
      <c r="AA66" s="24" t="str">
        <f aca="false">IF(OR(A66="",B66="",C66=""),"","https://www.alphanodus.com/contact?utm_source="&amp;IF(B66="X","twitter",LOWER(B66))&amp;"&amp;utm_medium=social&amp;utm_campaign="&amp;IF(E66="","general",LOWER(SUBSTITUTE(SUBSTITUTE(E66," / ","-")," ","-")))&amp;"&amp;utm_content="&amp;LOWER(C66))</f>
        <v/>
      </c>
    </row>
    <row r="67" customFormat="false" ht="15" hidden="false" customHeight="false" outlineLevel="0" collapsed="false">
      <c r="A67" s="28"/>
      <c r="B67" s="27"/>
      <c r="C67" s="27"/>
      <c r="D67" s="26"/>
      <c r="E67" s="27"/>
      <c r="F67" s="27"/>
      <c r="G67" s="27"/>
      <c r="H67" s="21"/>
      <c r="I67" s="21"/>
      <c r="J67" s="21"/>
      <c r="K67" s="21"/>
      <c r="L67" s="21"/>
      <c r="M67" s="21"/>
      <c r="N67" s="21"/>
      <c r="O67" s="21"/>
      <c r="P67" s="22" t="str">
        <f aca="false">IF(OR(A67="",B67="",C67=""),"",IF(COUNT(J67:N67)=0,"",SUM(J67:N67)))</f>
        <v/>
      </c>
      <c r="Q67" s="22" t="str">
        <f aca="false">IF(OR(A67="",B67="",C67=""),"",SUMIFS('Who Engaged'!$H$5:$H$1004,'Who Engaged'!$C$5:$C$1004,C67,'Who Engaged'!$N$5:$N$1004,"Yes")+SUMIFS('Who Engaged'!$I$5:$I$1004,'Who Engaged'!$C$5:$C$1004,C67,'Who Engaged'!$N$5:$N$1004,"Yes")+SUMIFS('Who Engaged'!$J$5:$J$1004,'Who Engaged'!$C$5:$C$1004,C67,'Who Engaged'!$N$5:$N$1004,"Yes")+SUMIFS('Who Engaged'!$K$5:$K$1004,'Who Engaged'!$C$5:$C$1004,C67,'Who Engaged'!$N$5:$N$1004,"Yes"))</f>
        <v/>
      </c>
      <c r="R67" s="22" t="str">
        <f aca="false">IF(OR(OR(A67="",B67="",C67=""),P67=""),"",MAX(0,P67-N(Q67)))</f>
        <v/>
      </c>
      <c r="S67" s="23" t="str">
        <f aca="false">IF(OR(OR(A67="",B67="",C67=""),R67=""),"",IFERROR(R67/(IF(N(H67)&gt;0,H67,IF(N(I67)&gt;0,I67,IF(COUNTIFS($B$16:$B$215,B67,$H$16:$H$215,"&gt;0")+COUNTIFS($B$16:$B$215,B67,$I$16:$I$215,"&gt;0")&gt;0,"",INDEX($B$5:$B$7,MATCH(B67,$A$5:$A$7,0)))))),""))</f>
        <v/>
      </c>
      <c r="T67" s="24" t="str">
        <f aca="false">IF(OR(A67="",B67="",C67=""),"",IF(OR(S67="",COUNTIFS($B$16:$B$215,B67,$S$16:$S$215,"&gt;=0")&lt;2),"No Data Yet",IFERROR(IF(S67/AVERAGEIFS($S$16:$S$215,$B$16:$B$215,B67)&gt;=1.2,"Good",IF(S67/AVERAGEIFS($S$16:$S$215,$B$16:$B$215,B67)&gt;=0.8,"Average","Below Standard")),"Average")))</f>
        <v/>
      </c>
      <c r="U67" s="22" t="str">
        <f aca="false">IF(OR(A67="",B67="",C67=""),"",COUNTIFS('Who Engaged'!$C$5:$C$1004,C67,'Who Engaged'!$O$5:$O$1004,"Yes",'Who Engaged'!$M$5:$M$1004,1))</f>
        <v/>
      </c>
      <c r="V67" s="22" t="str">
        <f aca="false">IF(OR(A67="",B67="",C67=""),"",COUNTIFS('Who Engaged'!$C$5:$C$1004,C67,'Who Engaged'!$O$5:$O$1004,"Yes",'Who Engaged'!$L$5:$L$1004,1))</f>
        <v/>
      </c>
      <c r="W67" s="25" t="str">
        <f aca="false" t="array" ref="W67:W67">IF(OR(A67="",B67="",C67=""),"",_xlfn.TEXTJOIN("; ",TRUE(),IF(('Who Engaged'!$C$5:$C$1004=C67)*('Who Engaged'!$O$5:$O$1004="Yes"),'Who Engaged'!$D$5:$D$1004&amp;" – "&amp;'Who Engaged'!$F$5:$F$1004&amp;IF('Who Engaged'!$L$5:$L$1004=1," (followed)",""),"")))</f>
        <v/>
      </c>
      <c r="X67" s="26"/>
      <c r="Y67" s="26"/>
      <c r="Z67" s="27"/>
      <c r="AA67" s="24" t="str">
        <f aca="false">IF(OR(A67="",B67="",C67=""),"","https://www.alphanodus.com/contact?utm_source="&amp;IF(B67="X","twitter",LOWER(B67))&amp;"&amp;utm_medium=social&amp;utm_campaign="&amp;IF(E67="","general",LOWER(SUBSTITUTE(SUBSTITUTE(E67," / ","-")," ","-")))&amp;"&amp;utm_content="&amp;LOWER(C67))</f>
        <v/>
      </c>
    </row>
    <row r="68" customFormat="false" ht="15" hidden="false" customHeight="false" outlineLevel="0" collapsed="false">
      <c r="A68" s="28"/>
      <c r="B68" s="27"/>
      <c r="C68" s="27"/>
      <c r="D68" s="26"/>
      <c r="E68" s="27"/>
      <c r="F68" s="27"/>
      <c r="G68" s="27"/>
      <c r="H68" s="21"/>
      <c r="I68" s="21"/>
      <c r="J68" s="21"/>
      <c r="K68" s="21"/>
      <c r="L68" s="21"/>
      <c r="M68" s="21"/>
      <c r="N68" s="21"/>
      <c r="O68" s="21"/>
      <c r="P68" s="22" t="str">
        <f aca="false">IF(OR(A68="",B68="",C68=""),"",IF(COUNT(J68:N68)=0,"",SUM(J68:N68)))</f>
        <v/>
      </c>
      <c r="Q68" s="22" t="str">
        <f aca="false">IF(OR(A68="",B68="",C68=""),"",SUMIFS('Who Engaged'!$H$5:$H$1004,'Who Engaged'!$C$5:$C$1004,C68,'Who Engaged'!$N$5:$N$1004,"Yes")+SUMIFS('Who Engaged'!$I$5:$I$1004,'Who Engaged'!$C$5:$C$1004,C68,'Who Engaged'!$N$5:$N$1004,"Yes")+SUMIFS('Who Engaged'!$J$5:$J$1004,'Who Engaged'!$C$5:$C$1004,C68,'Who Engaged'!$N$5:$N$1004,"Yes")+SUMIFS('Who Engaged'!$K$5:$K$1004,'Who Engaged'!$C$5:$C$1004,C68,'Who Engaged'!$N$5:$N$1004,"Yes"))</f>
        <v/>
      </c>
      <c r="R68" s="22" t="str">
        <f aca="false">IF(OR(OR(A68="",B68="",C68=""),P68=""),"",MAX(0,P68-N(Q68)))</f>
        <v/>
      </c>
      <c r="S68" s="23" t="str">
        <f aca="false">IF(OR(OR(A68="",B68="",C68=""),R68=""),"",IFERROR(R68/(IF(N(H68)&gt;0,H68,IF(N(I68)&gt;0,I68,IF(COUNTIFS($B$16:$B$215,B68,$H$16:$H$215,"&gt;0")+COUNTIFS($B$16:$B$215,B68,$I$16:$I$215,"&gt;0")&gt;0,"",INDEX($B$5:$B$7,MATCH(B68,$A$5:$A$7,0)))))),""))</f>
        <v/>
      </c>
      <c r="T68" s="24" t="str">
        <f aca="false">IF(OR(A68="",B68="",C68=""),"",IF(OR(S68="",COUNTIFS($B$16:$B$215,B68,$S$16:$S$215,"&gt;=0")&lt;2),"No Data Yet",IFERROR(IF(S68/AVERAGEIFS($S$16:$S$215,$B$16:$B$215,B68)&gt;=1.2,"Good",IF(S68/AVERAGEIFS($S$16:$S$215,$B$16:$B$215,B68)&gt;=0.8,"Average","Below Standard")),"Average")))</f>
        <v/>
      </c>
      <c r="U68" s="22" t="str">
        <f aca="false">IF(OR(A68="",B68="",C68=""),"",COUNTIFS('Who Engaged'!$C$5:$C$1004,C68,'Who Engaged'!$O$5:$O$1004,"Yes",'Who Engaged'!$M$5:$M$1004,1))</f>
        <v/>
      </c>
      <c r="V68" s="22" t="str">
        <f aca="false">IF(OR(A68="",B68="",C68=""),"",COUNTIFS('Who Engaged'!$C$5:$C$1004,C68,'Who Engaged'!$O$5:$O$1004,"Yes",'Who Engaged'!$L$5:$L$1004,1))</f>
        <v/>
      </c>
      <c r="W68" s="25" t="str">
        <f aca="false" t="array" ref="W68:W68">IF(OR(A68="",B68="",C68=""),"",_xlfn.TEXTJOIN("; ",TRUE(),IF(('Who Engaged'!$C$5:$C$1004=C68)*('Who Engaged'!$O$5:$O$1004="Yes"),'Who Engaged'!$D$5:$D$1004&amp;" – "&amp;'Who Engaged'!$F$5:$F$1004&amp;IF('Who Engaged'!$L$5:$L$1004=1," (followed)",""),"")))</f>
        <v/>
      </c>
      <c r="X68" s="26"/>
      <c r="Y68" s="26"/>
      <c r="Z68" s="27"/>
      <c r="AA68" s="24" t="str">
        <f aca="false">IF(OR(A68="",B68="",C68=""),"","https://www.alphanodus.com/contact?utm_source="&amp;IF(B68="X","twitter",LOWER(B68))&amp;"&amp;utm_medium=social&amp;utm_campaign="&amp;IF(E68="","general",LOWER(SUBSTITUTE(SUBSTITUTE(E68," / ","-")," ","-")))&amp;"&amp;utm_content="&amp;LOWER(C68))</f>
        <v/>
      </c>
    </row>
    <row r="69" customFormat="false" ht="15" hidden="false" customHeight="false" outlineLevel="0" collapsed="false">
      <c r="A69" s="28"/>
      <c r="B69" s="27"/>
      <c r="C69" s="27"/>
      <c r="D69" s="26"/>
      <c r="E69" s="27"/>
      <c r="F69" s="27"/>
      <c r="G69" s="27"/>
      <c r="H69" s="21"/>
      <c r="I69" s="21"/>
      <c r="J69" s="21"/>
      <c r="K69" s="21"/>
      <c r="L69" s="21"/>
      <c r="M69" s="21"/>
      <c r="N69" s="21"/>
      <c r="O69" s="21"/>
      <c r="P69" s="22" t="str">
        <f aca="false">IF(OR(A69="",B69="",C69=""),"",IF(COUNT(J69:N69)=0,"",SUM(J69:N69)))</f>
        <v/>
      </c>
      <c r="Q69" s="22" t="str">
        <f aca="false">IF(OR(A69="",B69="",C69=""),"",SUMIFS('Who Engaged'!$H$5:$H$1004,'Who Engaged'!$C$5:$C$1004,C69,'Who Engaged'!$N$5:$N$1004,"Yes")+SUMIFS('Who Engaged'!$I$5:$I$1004,'Who Engaged'!$C$5:$C$1004,C69,'Who Engaged'!$N$5:$N$1004,"Yes")+SUMIFS('Who Engaged'!$J$5:$J$1004,'Who Engaged'!$C$5:$C$1004,C69,'Who Engaged'!$N$5:$N$1004,"Yes")+SUMIFS('Who Engaged'!$K$5:$K$1004,'Who Engaged'!$C$5:$C$1004,C69,'Who Engaged'!$N$5:$N$1004,"Yes"))</f>
        <v/>
      </c>
      <c r="R69" s="22" t="str">
        <f aca="false">IF(OR(OR(A69="",B69="",C69=""),P69=""),"",MAX(0,P69-N(Q69)))</f>
        <v/>
      </c>
      <c r="S69" s="23" t="str">
        <f aca="false">IF(OR(OR(A69="",B69="",C69=""),R69=""),"",IFERROR(R69/(IF(N(H69)&gt;0,H69,IF(N(I69)&gt;0,I69,IF(COUNTIFS($B$16:$B$215,B69,$H$16:$H$215,"&gt;0")+COUNTIFS($B$16:$B$215,B69,$I$16:$I$215,"&gt;0")&gt;0,"",INDEX($B$5:$B$7,MATCH(B69,$A$5:$A$7,0)))))),""))</f>
        <v/>
      </c>
      <c r="T69" s="24" t="str">
        <f aca="false">IF(OR(A69="",B69="",C69=""),"",IF(OR(S69="",COUNTIFS($B$16:$B$215,B69,$S$16:$S$215,"&gt;=0")&lt;2),"No Data Yet",IFERROR(IF(S69/AVERAGEIFS($S$16:$S$215,$B$16:$B$215,B69)&gt;=1.2,"Good",IF(S69/AVERAGEIFS($S$16:$S$215,$B$16:$B$215,B69)&gt;=0.8,"Average","Below Standard")),"Average")))</f>
        <v/>
      </c>
      <c r="U69" s="22" t="str">
        <f aca="false">IF(OR(A69="",B69="",C69=""),"",COUNTIFS('Who Engaged'!$C$5:$C$1004,C69,'Who Engaged'!$O$5:$O$1004,"Yes",'Who Engaged'!$M$5:$M$1004,1))</f>
        <v/>
      </c>
      <c r="V69" s="22" t="str">
        <f aca="false">IF(OR(A69="",B69="",C69=""),"",COUNTIFS('Who Engaged'!$C$5:$C$1004,C69,'Who Engaged'!$O$5:$O$1004,"Yes",'Who Engaged'!$L$5:$L$1004,1))</f>
        <v/>
      </c>
      <c r="W69" s="25" t="str">
        <f aca="false" t="array" ref="W69:W69">IF(OR(A69="",B69="",C69=""),"",_xlfn.TEXTJOIN("; ",TRUE(),IF(('Who Engaged'!$C$5:$C$1004=C69)*('Who Engaged'!$O$5:$O$1004="Yes"),'Who Engaged'!$D$5:$D$1004&amp;" – "&amp;'Who Engaged'!$F$5:$F$1004&amp;IF('Who Engaged'!$L$5:$L$1004=1," (followed)",""),"")))</f>
        <v/>
      </c>
      <c r="X69" s="26"/>
      <c r="Y69" s="26"/>
      <c r="Z69" s="27"/>
      <c r="AA69" s="24" t="str">
        <f aca="false">IF(OR(A69="",B69="",C69=""),"","https://www.alphanodus.com/contact?utm_source="&amp;IF(B69="X","twitter",LOWER(B69))&amp;"&amp;utm_medium=social&amp;utm_campaign="&amp;IF(E69="","general",LOWER(SUBSTITUTE(SUBSTITUTE(E69," / ","-")," ","-")))&amp;"&amp;utm_content="&amp;LOWER(C69))</f>
        <v/>
      </c>
    </row>
    <row r="70" customFormat="false" ht="15" hidden="false" customHeight="false" outlineLevel="0" collapsed="false">
      <c r="A70" s="28"/>
      <c r="B70" s="27"/>
      <c r="C70" s="27"/>
      <c r="D70" s="26"/>
      <c r="E70" s="27"/>
      <c r="F70" s="27"/>
      <c r="G70" s="27"/>
      <c r="H70" s="21"/>
      <c r="I70" s="21"/>
      <c r="J70" s="21"/>
      <c r="K70" s="21"/>
      <c r="L70" s="21"/>
      <c r="M70" s="21"/>
      <c r="N70" s="21"/>
      <c r="O70" s="21"/>
      <c r="P70" s="22" t="str">
        <f aca="false">IF(OR(A70="",B70="",C70=""),"",IF(COUNT(J70:N70)=0,"",SUM(J70:N70)))</f>
        <v/>
      </c>
      <c r="Q70" s="22" t="str">
        <f aca="false">IF(OR(A70="",B70="",C70=""),"",SUMIFS('Who Engaged'!$H$5:$H$1004,'Who Engaged'!$C$5:$C$1004,C70,'Who Engaged'!$N$5:$N$1004,"Yes")+SUMIFS('Who Engaged'!$I$5:$I$1004,'Who Engaged'!$C$5:$C$1004,C70,'Who Engaged'!$N$5:$N$1004,"Yes")+SUMIFS('Who Engaged'!$J$5:$J$1004,'Who Engaged'!$C$5:$C$1004,C70,'Who Engaged'!$N$5:$N$1004,"Yes")+SUMIFS('Who Engaged'!$K$5:$K$1004,'Who Engaged'!$C$5:$C$1004,C70,'Who Engaged'!$N$5:$N$1004,"Yes"))</f>
        <v/>
      </c>
      <c r="R70" s="22" t="str">
        <f aca="false">IF(OR(OR(A70="",B70="",C70=""),P70=""),"",MAX(0,P70-N(Q70)))</f>
        <v/>
      </c>
      <c r="S70" s="23" t="str">
        <f aca="false">IF(OR(OR(A70="",B70="",C70=""),R70=""),"",IFERROR(R70/(IF(N(H70)&gt;0,H70,IF(N(I70)&gt;0,I70,IF(COUNTIFS($B$16:$B$215,B70,$H$16:$H$215,"&gt;0")+COUNTIFS($B$16:$B$215,B70,$I$16:$I$215,"&gt;0")&gt;0,"",INDEX($B$5:$B$7,MATCH(B70,$A$5:$A$7,0)))))),""))</f>
        <v/>
      </c>
      <c r="T70" s="24" t="str">
        <f aca="false">IF(OR(A70="",B70="",C70=""),"",IF(OR(S70="",COUNTIFS($B$16:$B$215,B70,$S$16:$S$215,"&gt;=0")&lt;2),"No Data Yet",IFERROR(IF(S70/AVERAGEIFS($S$16:$S$215,$B$16:$B$215,B70)&gt;=1.2,"Good",IF(S70/AVERAGEIFS($S$16:$S$215,$B$16:$B$215,B70)&gt;=0.8,"Average","Below Standard")),"Average")))</f>
        <v/>
      </c>
      <c r="U70" s="22" t="str">
        <f aca="false">IF(OR(A70="",B70="",C70=""),"",COUNTIFS('Who Engaged'!$C$5:$C$1004,C70,'Who Engaged'!$O$5:$O$1004,"Yes",'Who Engaged'!$M$5:$M$1004,1))</f>
        <v/>
      </c>
      <c r="V70" s="22" t="str">
        <f aca="false">IF(OR(A70="",B70="",C70=""),"",COUNTIFS('Who Engaged'!$C$5:$C$1004,C70,'Who Engaged'!$O$5:$O$1004,"Yes",'Who Engaged'!$L$5:$L$1004,1))</f>
        <v/>
      </c>
      <c r="W70" s="25" t="str">
        <f aca="false" t="array" ref="W70:W70">IF(OR(A70="",B70="",C70=""),"",_xlfn.TEXTJOIN("; ",TRUE(),IF(('Who Engaged'!$C$5:$C$1004=C70)*('Who Engaged'!$O$5:$O$1004="Yes"),'Who Engaged'!$D$5:$D$1004&amp;" – "&amp;'Who Engaged'!$F$5:$F$1004&amp;IF('Who Engaged'!$L$5:$L$1004=1," (followed)",""),"")))</f>
        <v/>
      </c>
      <c r="X70" s="26"/>
      <c r="Y70" s="26"/>
      <c r="Z70" s="27"/>
      <c r="AA70" s="24" t="str">
        <f aca="false">IF(OR(A70="",B70="",C70=""),"","https://www.alphanodus.com/contact?utm_source="&amp;IF(B70="X","twitter",LOWER(B70))&amp;"&amp;utm_medium=social&amp;utm_campaign="&amp;IF(E70="","general",LOWER(SUBSTITUTE(SUBSTITUTE(E70," / ","-")," ","-")))&amp;"&amp;utm_content="&amp;LOWER(C70))</f>
        <v/>
      </c>
    </row>
    <row r="71" customFormat="false" ht="15" hidden="false" customHeight="false" outlineLevel="0" collapsed="false">
      <c r="A71" s="28"/>
      <c r="B71" s="27"/>
      <c r="C71" s="27"/>
      <c r="D71" s="26"/>
      <c r="E71" s="27"/>
      <c r="F71" s="27"/>
      <c r="G71" s="27"/>
      <c r="H71" s="21"/>
      <c r="I71" s="21"/>
      <c r="J71" s="21"/>
      <c r="K71" s="21"/>
      <c r="L71" s="21"/>
      <c r="M71" s="21"/>
      <c r="N71" s="21"/>
      <c r="O71" s="21"/>
      <c r="P71" s="22" t="str">
        <f aca="false">IF(OR(A71="",B71="",C71=""),"",IF(COUNT(J71:N71)=0,"",SUM(J71:N71)))</f>
        <v/>
      </c>
      <c r="Q71" s="22" t="str">
        <f aca="false">IF(OR(A71="",B71="",C71=""),"",SUMIFS('Who Engaged'!$H$5:$H$1004,'Who Engaged'!$C$5:$C$1004,C71,'Who Engaged'!$N$5:$N$1004,"Yes")+SUMIFS('Who Engaged'!$I$5:$I$1004,'Who Engaged'!$C$5:$C$1004,C71,'Who Engaged'!$N$5:$N$1004,"Yes")+SUMIFS('Who Engaged'!$J$5:$J$1004,'Who Engaged'!$C$5:$C$1004,C71,'Who Engaged'!$N$5:$N$1004,"Yes")+SUMIFS('Who Engaged'!$K$5:$K$1004,'Who Engaged'!$C$5:$C$1004,C71,'Who Engaged'!$N$5:$N$1004,"Yes"))</f>
        <v/>
      </c>
      <c r="R71" s="22" t="str">
        <f aca="false">IF(OR(OR(A71="",B71="",C71=""),P71=""),"",MAX(0,P71-N(Q71)))</f>
        <v/>
      </c>
      <c r="S71" s="23" t="str">
        <f aca="false">IF(OR(OR(A71="",B71="",C71=""),R71=""),"",IFERROR(R71/(IF(N(H71)&gt;0,H71,IF(N(I71)&gt;0,I71,IF(COUNTIFS($B$16:$B$215,B71,$H$16:$H$215,"&gt;0")+COUNTIFS($B$16:$B$215,B71,$I$16:$I$215,"&gt;0")&gt;0,"",INDEX($B$5:$B$7,MATCH(B71,$A$5:$A$7,0)))))),""))</f>
        <v/>
      </c>
      <c r="T71" s="24" t="str">
        <f aca="false">IF(OR(A71="",B71="",C71=""),"",IF(OR(S71="",COUNTIFS($B$16:$B$215,B71,$S$16:$S$215,"&gt;=0")&lt;2),"No Data Yet",IFERROR(IF(S71/AVERAGEIFS($S$16:$S$215,$B$16:$B$215,B71)&gt;=1.2,"Good",IF(S71/AVERAGEIFS($S$16:$S$215,$B$16:$B$215,B71)&gt;=0.8,"Average","Below Standard")),"Average")))</f>
        <v/>
      </c>
      <c r="U71" s="22" t="str">
        <f aca="false">IF(OR(A71="",B71="",C71=""),"",COUNTIFS('Who Engaged'!$C$5:$C$1004,C71,'Who Engaged'!$O$5:$O$1004,"Yes",'Who Engaged'!$M$5:$M$1004,1))</f>
        <v/>
      </c>
      <c r="V71" s="22" t="str">
        <f aca="false">IF(OR(A71="",B71="",C71=""),"",COUNTIFS('Who Engaged'!$C$5:$C$1004,C71,'Who Engaged'!$O$5:$O$1004,"Yes",'Who Engaged'!$L$5:$L$1004,1))</f>
        <v/>
      </c>
      <c r="W71" s="25" t="str">
        <f aca="false" t="array" ref="W71:W71">IF(OR(A71="",B71="",C71=""),"",_xlfn.TEXTJOIN("; ",TRUE(),IF(('Who Engaged'!$C$5:$C$1004=C71)*('Who Engaged'!$O$5:$O$1004="Yes"),'Who Engaged'!$D$5:$D$1004&amp;" – "&amp;'Who Engaged'!$F$5:$F$1004&amp;IF('Who Engaged'!$L$5:$L$1004=1," (followed)",""),"")))</f>
        <v/>
      </c>
      <c r="X71" s="26"/>
      <c r="Y71" s="26"/>
      <c r="Z71" s="27"/>
      <c r="AA71" s="24" t="str">
        <f aca="false">IF(OR(A71="",B71="",C71=""),"","https://www.alphanodus.com/contact?utm_source="&amp;IF(B71="X","twitter",LOWER(B71))&amp;"&amp;utm_medium=social&amp;utm_campaign="&amp;IF(E71="","general",LOWER(SUBSTITUTE(SUBSTITUTE(E71," / ","-")," ","-")))&amp;"&amp;utm_content="&amp;LOWER(C71))</f>
        <v/>
      </c>
    </row>
    <row r="72" customFormat="false" ht="15" hidden="false" customHeight="false" outlineLevel="0" collapsed="false">
      <c r="A72" s="28"/>
      <c r="B72" s="27"/>
      <c r="C72" s="27"/>
      <c r="D72" s="26"/>
      <c r="E72" s="27"/>
      <c r="F72" s="27"/>
      <c r="G72" s="27"/>
      <c r="H72" s="21"/>
      <c r="I72" s="21"/>
      <c r="J72" s="21"/>
      <c r="K72" s="21"/>
      <c r="L72" s="21"/>
      <c r="M72" s="21"/>
      <c r="N72" s="21"/>
      <c r="O72" s="21"/>
      <c r="P72" s="22" t="str">
        <f aca="false">IF(OR(A72="",B72="",C72=""),"",IF(COUNT(J72:N72)=0,"",SUM(J72:N72)))</f>
        <v/>
      </c>
      <c r="Q72" s="22" t="str">
        <f aca="false">IF(OR(A72="",B72="",C72=""),"",SUMIFS('Who Engaged'!$H$5:$H$1004,'Who Engaged'!$C$5:$C$1004,C72,'Who Engaged'!$N$5:$N$1004,"Yes")+SUMIFS('Who Engaged'!$I$5:$I$1004,'Who Engaged'!$C$5:$C$1004,C72,'Who Engaged'!$N$5:$N$1004,"Yes")+SUMIFS('Who Engaged'!$J$5:$J$1004,'Who Engaged'!$C$5:$C$1004,C72,'Who Engaged'!$N$5:$N$1004,"Yes")+SUMIFS('Who Engaged'!$K$5:$K$1004,'Who Engaged'!$C$5:$C$1004,C72,'Who Engaged'!$N$5:$N$1004,"Yes"))</f>
        <v/>
      </c>
      <c r="R72" s="22" t="str">
        <f aca="false">IF(OR(OR(A72="",B72="",C72=""),P72=""),"",MAX(0,P72-N(Q72)))</f>
        <v/>
      </c>
      <c r="S72" s="23" t="str">
        <f aca="false">IF(OR(OR(A72="",B72="",C72=""),R72=""),"",IFERROR(R72/(IF(N(H72)&gt;0,H72,IF(N(I72)&gt;0,I72,IF(COUNTIFS($B$16:$B$215,B72,$H$16:$H$215,"&gt;0")+COUNTIFS($B$16:$B$215,B72,$I$16:$I$215,"&gt;0")&gt;0,"",INDEX($B$5:$B$7,MATCH(B72,$A$5:$A$7,0)))))),""))</f>
        <v/>
      </c>
      <c r="T72" s="24" t="str">
        <f aca="false">IF(OR(A72="",B72="",C72=""),"",IF(OR(S72="",COUNTIFS($B$16:$B$215,B72,$S$16:$S$215,"&gt;=0")&lt;2),"No Data Yet",IFERROR(IF(S72/AVERAGEIFS($S$16:$S$215,$B$16:$B$215,B72)&gt;=1.2,"Good",IF(S72/AVERAGEIFS($S$16:$S$215,$B$16:$B$215,B72)&gt;=0.8,"Average","Below Standard")),"Average")))</f>
        <v/>
      </c>
      <c r="U72" s="22" t="str">
        <f aca="false">IF(OR(A72="",B72="",C72=""),"",COUNTIFS('Who Engaged'!$C$5:$C$1004,C72,'Who Engaged'!$O$5:$O$1004,"Yes",'Who Engaged'!$M$5:$M$1004,1))</f>
        <v/>
      </c>
      <c r="V72" s="22" t="str">
        <f aca="false">IF(OR(A72="",B72="",C72=""),"",COUNTIFS('Who Engaged'!$C$5:$C$1004,C72,'Who Engaged'!$O$5:$O$1004,"Yes",'Who Engaged'!$L$5:$L$1004,1))</f>
        <v/>
      </c>
      <c r="W72" s="25" t="str">
        <f aca="false" t="array" ref="W72:W72">IF(OR(A72="",B72="",C72=""),"",_xlfn.TEXTJOIN("; ",TRUE(),IF(('Who Engaged'!$C$5:$C$1004=C72)*('Who Engaged'!$O$5:$O$1004="Yes"),'Who Engaged'!$D$5:$D$1004&amp;" – "&amp;'Who Engaged'!$F$5:$F$1004&amp;IF('Who Engaged'!$L$5:$L$1004=1," (followed)",""),"")))</f>
        <v/>
      </c>
      <c r="X72" s="26"/>
      <c r="Y72" s="26"/>
      <c r="Z72" s="27"/>
      <c r="AA72" s="24" t="str">
        <f aca="false">IF(OR(A72="",B72="",C72=""),"","https://www.alphanodus.com/contact?utm_source="&amp;IF(B72="X","twitter",LOWER(B72))&amp;"&amp;utm_medium=social&amp;utm_campaign="&amp;IF(E72="","general",LOWER(SUBSTITUTE(SUBSTITUTE(E72," / ","-")," ","-")))&amp;"&amp;utm_content="&amp;LOWER(C72))</f>
        <v/>
      </c>
    </row>
    <row r="73" customFormat="false" ht="15" hidden="false" customHeight="false" outlineLevel="0" collapsed="false">
      <c r="A73" s="28"/>
      <c r="B73" s="27"/>
      <c r="C73" s="27"/>
      <c r="D73" s="26"/>
      <c r="E73" s="27"/>
      <c r="F73" s="27"/>
      <c r="G73" s="27"/>
      <c r="H73" s="21"/>
      <c r="I73" s="21"/>
      <c r="J73" s="21"/>
      <c r="K73" s="21"/>
      <c r="L73" s="21"/>
      <c r="M73" s="21"/>
      <c r="N73" s="21"/>
      <c r="O73" s="21"/>
      <c r="P73" s="22" t="str">
        <f aca="false">IF(OR(A73="",B73="",C73=""),"",IF(COUNT(J73:N73)=0,"",SUM(J73:N73)))</f>
        <v/>
      </c>
      <c r="Q73" s="22" t="str">
        <f aca="false">IF(OR(A73="",B73="",C73=""),"",SUMIFS('Who Engaged'!$H$5:$H$1004,'Who Engaged'!$C$5:$C$1004,C73,'Who Engaged'!$N$5:$N$1004,"Yes")+SUMIFS('Who Engaged'!$I$5:$I$1004,'Who Engaged'!$C$5:$C$1004,C73,'Who Engaged'!$N$5:$N$1004,"Yes")+SUMIFS('Who Engaged'!$J$5:$J$1004,'Who Engaged'!$C$5:$C$1004,C73,'Who Engaged'!$N$5:$N$1004,"Yes")+SUMIFS('Who Engaged'!$K$5:$K$1004,'Who Engaged'!$C$5:$C$1004,C73,'Who Engaged'!$N$5:$N$1004,"Yes"))</f>
        <v/>
      </c>
      <c r="R73" s="22" t="str">
        <f aca="false">IF(OR(OR(A73="",B73="",C73=""),P73=""),"",MAX(0,P73-N(Q73)))</f>
        <v/>
      </c>
      <c r="S73" s="23" t="str">
        <f aca="false">IF(OR(OR(A73="",B73="",C73=""),R73=""),"",IFERROR(R73/(IF(N(H73)&gt;0,H73,IF(N(I73)&gt;0,I73,IF(COUNTIFS($B$16:$B$215,B73,$H$16:$H$215,"&gt;0")+COUNTIFS($B$16:$B$215,B73,$I$16:$I$215,"&gt;0")&gt;0,"",INDEX($B$5:$B$7,MATCH(B73,$A$5:$A$7,0)))))),""))</f>
        <v/>
      </c>
      <c r="T73" s="24" t="str">
        <f aca="false">IF(OR(A73="",B73="",C73=""),"",IF(OR(S73="",COUNTIFS($B$16:$B$215,B73,$S$16:$S$215,"&gt;=0")&lt;2),"No Data Yet",IFERROR(IF(S73/AVERAGEIFS($S$16:$S$215,$B$16:$B$215,B73)&gt;=1.2,"Good",IF(S73/AVERAGEIFS($S$16:$S$215,$B$16:$B$215,B73)&gt;=0.8,"Average","Below Standard")),"Average")))</f>
        <v/>
      </c>
      <c r="U73" s="22" t="str">
        <f aca="false">IF(OR(A73="",B73="",C73=""),"",COUNTIFS('Who Engaged'!$C$5:$C$1004,C73,'Who Engaged'!$O$5:$O$1004,"Yes",'Who Engaged'!$M$5:$M$1004,1))</f>
        <v/>
      </c>
      <c r="V73" s="22" t="str">
        <f aca="false">IF(OR(A73="",B73="",C73=""),"",COUNTIFS('Who Engaged'!$C$5:$C$1004,C73,'Who Engaged'!$O$5:$O$1004,"Yes",'Who Engaged'!$L$5:$L$1004,1))</f>
        <v/>
      </c>
      <c r="W73" s="25" t="str">
        <f aca="false" t="array" ref="W73:W73">IF(OR(A73="",B73="",C73=""),"",_xlfn.TEXTJOIN("; ",TRUE(),IF(('Who Engaged'!$C$5:$C$1004=C73)*('Who Engaged'!$O$5:$O$1004="Yes"),'Who Engaged'!$D$5:$D$1004&amp;" – "&amp;'Who Engaged'!$F$5:$F$1004&amp;IF('Who Engaged'!$L$5:$L$1004=1," (followed)",""),"")))</f>
        <v/>
      </c>
      <c r="X73" s="26"/>
      <c r="Y73" s="26"/>
      <c r="Z73" s="27"/>
      <c r="AA73" s="24" t="str">
        <f aca="false">IF(OR(A73="",B73="",C73=""),"","https://www.alphanodus.com/contact?utm_source="&amp;IF(B73="X","twitter",LOWER(B73))&amp;"&amp;utm_medium=social&amp;utm_campaign="&amp;IF(E73="","general",LOWER(SUBSTITUTE(SUBSTITUTE(E73," / ","-")," ","-")))&amp;"&amp;utm_content="&amp;LOWER(C73))</f>
        <v/>
      </c>
    </row>
    <row r="74" customFormat="false" ht="15" hidden="false" customHeight="false" outlineLevel="0" collapsed="false">
      <c r="A74" s="28"/>
      <c r="B74" s="27"/>
      <c r="C74" s="27"/>
      <c r="D74" s="26"/>
      <c r="E74" s="27"/>
      <c r="F74" s="27"/>
      <c r="G74" s="27"/>
      <c r="H74" s="21"/>
      <c r="I74" s="21"/>
      <c r="J74" s="21"/>
      <c r="K74" s="21"/>
      <c r="L74" s="21"/>
      <c r="M74" s="21"/>
      <c r="N74" s="21"/>
      <c r="O74" s="21"/>
      <c r="P74" s="22" t="str">
        <f aca="false">IF(OR(A74="",B74="",C74=""),"",IF(COUNT(J74:N74)=0,"",SUM(J74:N74)))</f>
        <v/>
      </c>
      <c r="Q74" s="22" t="str">
        <f aca="false">IF(OR(A74="",B74="",C74=""),"",SUMIFS('Who Engaged'!$H$5:$H$1004,'Who Engaged'!$C$5:$C$1004,C74,'Who Engaged'!$N$5:$N$1004,"Yes")+SUMIFS('Who Engaged'!$I$5:$I$1004,'Who Engaged'!$C$5:$C$1004,C74,'Who Engaged'!$N$5:$N$1004,"Yes")+SUMIFS('Who Engaged'!$J$5:$J$1004,'Who Engaged'!$C$5:$C$1004,C74,'Who Engaged'!$N$5:$N$1004,"Yes")+SUMIFS('Who Engaged'!$K$5:$K$1004,'Who Engaged'!$C$5:$C$1004,C74,'Who Engaged'!$N$5:$N$1004,"Yes"))</f>
        <v/>
      </c>
      <c r="R74" s="22" t="str">
        <f aca="false">IF(OR(OR(A74="",B74="",C74=""),P74=""),"",MAX(0,P74-N(Q74)))</f>
        <v/>
      </c>
      <c r="S74" s="23" t="str">
        <f aca="false">IF(OR(OR(A74="",B74="",C74=""),R74=""),"",IFERROR(R74/(IF(N(H74)&gt;0,H74,IF(N(I74)&gt;0,I74,IF(COUNTIFS($B$16:$B$215,B74,$H$16:$H$215,"&gt;0")+COUNTIFS($B$16:$B$215,B74,$I$16:$I$215,"&gt;0")&gt;0,"",INDEX($B$5:$B$7,MATCH(B74,$A$5:$A$7,0)))))),""))</f>
        <v/>
      </c>
      <c r="T74" s="24" t="str">
        <f aca="false">IF(OR(A74="",B74="",C74=""),"",IF(OR(S74="",COUNTIFS($B$16:$B$215,B74,$S$16:$S$215,"&gt;=0")&lt;2),"No Data Yet",IFERROR(IF(S74/AVERAGEIFS($S$16:$S$215,$B$16:$B$215,B74)&gt;=1.2,"Good",IF(S74/AVERAGEIFS($S$16:$S$215,$B$16:$B$215,B74)&gt;=0.8,"Average","Below Standard")),"Average")))</f>
        <v/>
      </c>
      <c r="U74" s="22" t="str">
        <f aca="false">IF(OR(A74="",B74="",C74=""),"",COUNTIFS('Who Engaged'!$C$5:$C$1004,C74,'Who Engaged'!$O$5:$O$1004,"Yes",'Who Engaged'!$M$5:$M$1004,1))</f>
        <v/>
      </c>
      <c r="V74" s="22" t="str">
        <f aca="false">IF(OR(A74="",B74="",C74=""),"",COUNTIFS('Who Engaged'!$C$5:$C$1004,C74,'Who Engaged'!$O$5:$O$1004,"Yes",'Who Engaged'!$L$5:$L$1004,1))</f>
        <v/>
      </c>
      <c r="W74" s="25" t="str">
        <f aca="false" t="array" ref="W74:W74">IF(OR(A74="",B74="",C74=""),"",_xlfn.TEXTJOIN("; ",TRUE(),IF(('Who Engaged'!$C$5:$C$1004=C74)*('Who Engaged'!$O$5:$O$1004="Yes"),'Who Engaged'!$D$5:$D$1004&amp;" – "&amp;'Who Engaged'!$F$5:$F$1004&amp;IF('Who Engaged'!$L$5:$L$1004=1," (followed)",""),"")))</f>
        <v/>
      </c>
      <c r="X74" s="26"/>
      <c r="Y74" s="26"/>
      <c r="Z74" s="27"/>
      <c r="AA74" s="24" t="str">
        <f aca="false">IF(OR(A74="",B74="",C74=""),"","https://www.alphanodus.com/contact?utm_source="&amp;IF(B74="X","twitter",LOWER(B74))&amp;"&amp;utm_medium=social&amp;utm_campaign="&amp;IF(E74="","general",LOWER(SUBSTITUTE(SUBSTITUTE(E74," / ","-")," ","-")))&amp;"&amp;utm_content="&amp;LOWER(C74))</f>
        <v/>
      </c>
    </row>
    <row r="75" customFormat="false" ht="15" hidden="false" customHeight="false" outlineLevel="0" collapsed="false">
      <c r="A75" s="28"/>
      <c r="B75" s="27"/>
      <c r="C75" s="27"/>
      <c r="D75" s="26"/>
      <c r="E75" s="27"/>
      <c r="F75" s="27"/>
      <c r="G75" s="27"/>
      <c r="H75" s="21"/>
      <c r="I75" s="21"/>
      <c r="J75" s="21"/>
      <c r="K75" s="21"/>
      <c r="L75" s="21"/>
      <c r="M75" s="21"/>
      <c r="N75" s="21"/>
      <c r="O75" s="21"/>
      <c r="P75" s="22" t="str">
        <f aca="false">IF(OR(A75="",B75="",C75=""),"",IF(COUNT(J75:N75)=0,"",SUM(J75:N75)))</f>
        <v/>
      </c>
      <c r="Q75" s="22" t="str">
        <f aca="false">IF(OR(A75="",B75="",C75=""),"",SUMIFS('Who Engaged'!$H$5:$H$1004,'Who Engaged'!$C$5:$C$1004,C75,'Who Engaged'!$N$5:$N$1004,"Yes")+SUMIFS('Who Engaged'!$I$5:$I$1004,'Who Engaged'!$C$5:$C$1004,C75,'Who Engaged'!$N$5:$N$1004,"Yes")+SUMIFS('Who Engaged'!$J$5:$J$1004,'Who Engaged'!$C$5:$C$1004,C75,'Who Engaged'!$N$5:$N$1004,"Yes")+SUMIFS('Who Engaged'!$K$5:$K$1004,'Who Engaged'!$C$5:$C$1004,C75,'Who Engaged'!$N$5:$N$1004,"Yes"))</f>
        <v/>
      </c>
      <c r="R75" s="22" t="str">
        <f aca="false">IF(OR(OR(A75="",B75="",C75=""),P75=""),"",MAX(0,P75-N(Q75)))</f>
        <v/>
      </c>
      <c r="S75" s="23" t="str">
        <f aca="false">IF(OR(OR(A75="",B75="",C75=""),R75=""),"",IFERROR(R75/(IF(N(H75)&gt;0,H75,IF(N(I75)&gt;0,I75,IF(COUNTIFS($B$16:$B$215,B75,$H$16:$H$215,"&gt;0")+COUNTIFS($B$16:$B$215,B75,$I$16:$I$215,"&gt;0")&gt;0,"",INDEX($B$5:$B$7,MATCH(B75,$A$5:$A$7,0)))))),""))</f>
        <v/>
      </c>
      <c r="T75" s="24" t="str">
        <f aca="false">IF(OR(A75="",B75="",C75=""),"",IF(OR(S75="",COUNTIFS($B$16:$B$215,B75,$S$16:$S$215,"&gt;=0")&lt;2),"No Data Yet",IFERROR(IF(S75/AVERAGEIFS($S$16:$S$215,$B$16:$B$215,B75)&gt;=1.2,"Good",IF(S75/AVERAGEIFS($S$16:$S$215,$B$16:$B$215,B75)&gt;=0.8,"Average","Below Standard")),"Average")))</f>
        <v/>
      </c>
      <c r="U75" s="22" t="str">
        <f aca="false">IF(OR(A75="",B75="",C75=""),"",COUNTIFS('Who Engaged'!$C$5:$C$1004,C75,'Who Engaged'!$O$5:$O$1004,"Yes",'Who Engaged'!$M$5:$M$1004,1))</f>
        <v/>
      </c>
      <c r="V75" s="22" t="str">
        <f aca="false">IF(OR(A75="",B75="",C75=""),"",COUNTIFS('Who Engaged'!$C$5:$C$1004,C75,'Who Engaged'!$O$5:$O$1004,"Yes",'Who Engaged'!$L$5:$L$1004,1))</f>
        <v/>
      </c>
      <c r="W75" s="25" t="str">
        <f aca="false" t="array" ref="W75:W75">IF(OR(A75="",B75="",C75=""),"",_xlfn.TEXTJOIN("; ",TRUE(),IF(('Who Engaged'!$C$5:$C$1004=C75)*('Who Engaged'!$O$5:$O$1004="Yes"),'Who Engaged'!$D$5:$D$1004&amp;" – "&amp;'Who Engaged'!$F$5:$F$1004&amp;IF('Who Engaged'!$L$5:$L$1004=1," (followed)",""),"")))</f>
        <v/>
      </c>
      <c r="X75" s="26"/>
      <c r="Y75" s="26"/>
      <c r="Z75" s="27"/>
      <c r="AA75" s="24" t="str">
        <f aca="false">IF(OR(A75="",B75="",C75=""),"","https://www.alphanodus.com/contact?utm_source="&amp;IF(B75="X","twitter",LOWER(B75))&amp;"&amp;utm_medium=social&amp;utm_campaign="&amp;IF(E75="","general",LOWER(SUBSTITUTE(SUBSTITUTE(E75," / ","-")," ","-")))&amp;"&amp;utm_content="&amp;LOWER(C75))</f>
        <v/>
      </c>
    </row>
    <row r="76" customFormat="false" ht="15" hidden="false" customHeight="false" outlineLevel="0" collapsed="false">
      <c r="A76" s="28"/>
      <c r="B76" s="27"/>
      <c r="C76" s="27"/>
      <c r="D76" s="26"/>
      <c r="E76" s="27"/>
      <c r="F76" s="27"/>
      <c r="G76" s="27"/>
      <c r="H76" s="21"/>
      <c r="I76" s="21"/>
      <c r="J76" s="21"/>
      <c r="K76" s="21"/>
      <c r="L76" s="21"/>
      <c r="M76" s="21"/>
      <c r="N76" s="21"/>
      <c r="O76" s="21"/>
      <c r="P76" s="22" t="str">
        <f aca="false">IF(OR(A76="",B76="",C76=""),"",IF(COUNT(J76:N76)=0,"",SUM(J76:N76)))</f>
        <v/>
      </c>
      <c r="Q76" s="22" t="str">
        <f aca="false">IF(OR(A76="",B76="",C76=""),"",SUMIFS('Who Engaged'!$H$5:$H$1004,'Who Engaged'!$C$5:$C$1004,C76,'Who Engaged'!$N$5:$N$1004,"Yes")+SUMIFS('Who Engaged'!$I$5:$I$1004,'Who Engaged'!$C$5:$C$1004,C76,'Who Engaged'!$N$5:$N$1004,"Yes")+SUMIFS('Who Engaged'!$J$5:$J$1004,'Who Engaged'!$C$5:$C$1004,C76,'Who Engaged'!$N$5:$N$1004,"Yes")+SUMIFS('Who Engaged'!$K$5:$K$1004,'Who Engaged'!$C$5:$C$1004,C76,'Who Engaged'!$N$5:$N$1004,"Yes"))</f>
        <v/>
      </c>
      <c r="R76" s="22" t="str">
        <f aca="false">IF(OR(OR(A76="",B76="",C76=""),P76=""),"",MAX(0,P76-N(Q76)))</f>
        <v/>
      </c>
      <c r="S76" s="23" t="str">
        <f aca="false">IF(OR(OR(A76="",B76="",C76=""),R76=""),"",IFERROR(R76/(IF(N(H76)&gt;0,H76,IF(N(I76)&gt;0,I76,IF(COUNTIFS($B$16:$B$215,B76,$H$16:$H$215,"&gt;0")+COUNTIFS($B$16:$B$215,B76,$I$16:$I$215,"&gt;0")&gt;0,"",INDEX($B$5:$B$7,MATCH(B76,$A$5:$A$7,0)))))),""))</f>
        <v/>
      </c>
      <c r="T76" s="24" t="str">
        <f aca="false">IF(OR(A76="",B76="",C76=""),"",IF(OR(S76="",COUNTIFS($B$16:$B$215,B76,$S$16:$S$215,"&gt;=0")&lt;2),"No Data Yet",IFERROR(IF(S76/AVERAGEIFS($S$16:$S$215,$B$16:$B$215,B76)&gt;=1.2,"Good",IF(S76/AVERAGEIFS($S$16:$S$215,$B$16:$B$215,B76)&gt;=0.8,"Average","Below Standard")),"Average")))</f>
        <v/>
      </c>
      <c r="U76" s="22" t="str">
        <f aca="false">IF(OR(A76="",B76="",C76=""),"",COUNTIFS('Who Engaged'!$C$5:$C$1004,C76,'Who Engaged'!$O$5:$O$1004,"Yes",'Who Engaged'!$M$5:$M$1004,1))</f>
        <v/>
      </c>
      <c r="V76" s="22" t="str">
        <f aca="false">IF(OR(A76="",B76="",C76=""),"",COUNTIFS('Who Engaged'!$C$5:$C$1004,C76,'Who Engaged'!$O$5:$O$1004,"Yes",'Who Engaged'!$L$5:$L$1004,1))</f>
        <v/>
      </c>
      <c r="W76" s="25" t="str">
        <f aca="false" t="array" ref="W76:W76">IF(OR(A76="",B76="",C76=""),"",_xlfn.TEXTJOIN("; ",TRUE(),IF(('Who Engaged'!$C$5:$C$1004=C76)*('Who Engaged'!$O$5:$O$1004="Yes"),'Who Engaged'!$D$5:$D$1004&amp;" – "&amp;'Who Engaged'!$F$5:$F$1004&amp;IF('Who Engaged'!$L$5:$L$1004=1," (followed)",""),"")))</f>
        <v/>
      </c>
      <c r="X76" s="26"/>
      <c r="Y76" s="26"/>
      <c r="Z76" s="27"/>
      <c r="AA76" s="24" t="str">
        <f aca="false">IF(OR(A76="",B76="",C76=""),"","https://www.alphanodus.com/contact?utm_source="&amp;IF(B76="X","twitter",LOWER(B76))&amp;"&amp;utm_medium=social&amp;utm_campaign="&amp;IF(E76="","general",LOWER(SUBSTITUTE(SUBSTITUTE(E76," / ","-")," ","-")))&amp;"&amp;utm_content="&amp;LOWER(C76))</f>
        <v/>
      </c>
    </row>
    <row r="77" customFormat="false" ht="15" hidden="false" customHeight="false" outlineLevel="0" collapsed="false">
      <c r="A77" s="28"/>
      <c r="B77" s="27"/>
      <c r="C77" s="27"/>
      <c r="D77" s="26"/>
      <c r="E77" s="27"/>
      <c r="F77" s="27"/>
      <c r="G77" s="27"/>
      <c r="H77" s="21"/>
      <c r="I77" s="21"/>
      <c r="J77" s="21"/>
      <c r="K77" s="21"/>
      <c r="L77" s="21"/>
      <c r="M77" s="21"/>
      <c r="N77" s="21"/>
      <c r="O77" s="21"/>
      <c r="P77" s="22" t="str">
        <f aca="false">IF(OR(A77="",B77="",C77=""),"",IF(COUNT(J77:N77)=0,"",SUM(J77:N77)))</f>
        <v/>
      </c>
      <c r="Q77" s="22" t="str">
        <f aca="false">IF(OR(A77="",B77="",C77=""),"",SUMIFS('Who Engaged'!$H$5:$H$1004,'Who Engaged'!$C$5:$C$1004,C77,'Who Engaged'!$N$5:$N$1004,"Yes")+SUMIFS('Who Engaged'!$I$5:$I$1004,'Who Engaged'!$C$5:$C$1004,C77,'Who Engaged'!$N$5:$N$1004,"Yes")+SUMIFS('Who Engaged'!$J$5:$J$1004,'Who Engaged'!$C$5:$C$1004,C77,'Who Engaged'!$N$5:$N$1004,"Yes")+SUMIFS('Who Engaged'!$K$5:$K$1004,'Who Engaged'!$C$5:$C$1004,C77,'Who Engaged'!$N$5:$N$1004,"Yes"))</f>
        <v/>
      </c>
      <c r="R77" s="22" t="str">
        <f aca="false">IF(OR(OR(A77="",B77="",C77=""),P77=""),"",MAX(0,P77-N(Q77)))</f>
        <v/>
      </c>
      <c r="S77" s="23" t="str">
        <f aca="false">IF(OR(OR(A77="",B77="",C77=""),R77=""),"",IFERROR(R77/(IF(N(H77)&gt;0,H77,IF(N(I77)&gt;0,I77,IF(COUNTIFS($B$16:$B$215,B77,$H$16:$H$215,"&gt;0")+COUNTIFS($B$16:$B$215,B77,$I$16:$I$215,"&gt;0")&gt;0,"",INDEX($B$5:$B$7,MATCH(B77,$A$5:$A$7,0)))))),""))</f>
        <v/>
      </c>
      <c r="T77" s="24" t="str">
        <f aca="false">IF(OR(A77="",B77="",C77=""),"",IF(OR(S77="",COUNTIFS($B$16:$B$215,B77,$S$16:$S$215,"&gt;=0")&lt;2),"No Data Yet",IFERROR(IF(S77/AVERAGEIFS($S$16:$S$215,$B$16:$B$215,B77)&gt;=1.2,"Good",IF(S77/AVERAGEIFS($S$16:$S$215,$B$16:$B$215,B77)&gt;=0.8,"Average","Below Standard")),"Average")))</f>
        <v/>
      </c>
      <c r="U77" s="22" t="str">
        <f aca="false">IF(OR(A77="",B77="",C77=""),"",COUNTIFS('Who Engaged'!$C$5:$C$1004,C77,'Who Engaged'!$O$5:$O$1004,"Yes",'Who Engaged'!$M$5:$M$1004,1))</f>
        <v/>
      </c>
      <c r="V77" s="22" t="str">
        <f aca="false">IF(OR(A77="",B77="",C77=""),"",COUNTIFS('Who Engaged'!$C$5:$C$1004,C77,'Who Engaged'!$O$5:$O$1004,"Yes",'Who Engaged'!$L$5:$L$1004,1))</f>
        <v/>
      </c>
      <c r="W77" s="25" t="str">
        <f aca="false" t="array" ref="W77:W77">IF(OR(A77="",B77="",C77=""),"",_xlfn.TEXTJOIN("; ",TRUE(),IF(('Who Engaged'!$C$5:$C$1004=C77)*('Who Engaged'!$O$5:$O$1004="Yes"),'Who Engaged'!$D$5:$D$1004&amp;" – "&amp;'Who Engaged'!$F$5:$F$1004&amp;IF('Who Engaged'!$L$5:$L$1004=1," (followed)",""),"")))</f>
        <v/>
      </c>
      <c r="X77" s="26"/>
      <c r="Y77" s="26"/>
      <c r="Z77" s="27"/>
      <c r="AA77" s="24" t="str">
        <f aca="false">IF(OR(A77="",B77="",C77=""),"","https://www.alphanodus.com/contact?utm_source="&amp;IF(B77="X","twitter",LOWER(B77))&amp;"&amp;utm_medium=social&amp;utm_campaign="&amp;IF(E77="","general",LOWER(SUBSTITUTE(SUBSTITUTE(E77," / ","-")," ","-")))&amp;"&amp;utm_content="&amp;LOWER(C77))</f>
        <v/>
      </c>
    </row>
    <row r="78" customFormat="false" ht="15" hidden="false" customHeight="false" outlineLevel="0" collapsed="false">
      <c r="A78" s="28"/>
      <c r="B78" s="27"/>
      <c r="C78" s="27"/>
      <c r="D78" s="26"/>
      <c r="E78" s="27"/>
      <c r="F78" s="27"/>
      <c r="G78" s="27"/>
      <c r="H78" s="21"/>
      <c r="I78" s="21"/>
      <c r="J78" s="21"/>
      <c r="K78" s="21"/>
      <c r="L78" s="21"/>
      <c r="M78" s="21"/>
      <c r="N78" s="21"/>
      <c r="O78" s="21"/>
      <c r="P78" s="22" t="str">
        <f aca="false">IF(OR(A78="",B78="",C78=""),"",IF(COUNT(J78:N78)=0,"",SUM(J78:N78)))</f>
        <v/>
      </c>
      <c r="Q78" s="22" t="str">
        <f aca="false">IF(OR(A78="",B78="",C78=""),"",SUMIFS('Who Engaged'!$H$5:$H$1004,'Who Engaged'!$C$5:$C$1004,C78,'Who Engaged'!$N$5:$N$1004,"Yes")+SUMIFS('Who Engaged'!$I$5:$I$1004,'Who Engaged'!$C$5:$C$1004,C78,'Who Engaged'!$N$5:$N$1004,"Yes")+SUMIFS('Who Engaged'!$J$5:$J$1004,'Who Engaged'!$C$5:$C$1004,C78,'Who Engaged'!$N$5:$N$1004,"Yes")+SUMIFS('Who Engaged'!$K$5:$K$1004,'Who Engaged'!$C$5:$C$1004,C78,'Who Engaged'!$N$5:$N$1004,"Yes"))</f>
        <v/>
      </c>
      <c r="R78" s="22" t="str">
        <f aca="false">IF(OR(OR(A78="",B78="",C78=""),P78=""),"",MAX(0,P78-N(Q78)))</f>
        <v/>
      </c>
      <c r="S78" s="23" t="str">
        <f aca="false">IF(OR(OR(A78="",B78="",C78=""),R78=""),"",IFERROR(R78/(IF(N(H78)&gt;0,H78,IF(N(I78)&gt;0,I78,IF(COUNTIFS($B$16:$B$215,B78,$H$16:$H$215,"&gt;0")+COUNTIFS($B$16:$B$215,B78,$I$16:$I$215,"&gt;0")&gt;0,"",INDEX($B$5:$B$7,MATCH(B78,$A$5:$A$7,0)))))),""))</f>
        <v/>
      </c>
      <c r="T78" s="24" t="str">
        <f aca="false">IF(OR(A78="",B78="",C78=""),"",IF(OR(S78="",COUNTIFS($B$16:$B$215,B78,$S$16:$S$215,"&gt;=0")&lt;2),"No Data Yet",IFERROR(IF(S78/AVERAGEIFS($S$16:$S$215,$B$16:$B$215,B78)&gt;=1.2,"Good",IF(S78/AVERAGEIFS($S$16:$S$215,$B$16:$B$215,B78)&gt;=0.8,"Average","Below Standard")),"Average")))</f>
        <v/>
      </c>
      <c r="U78" s="22" t="str">
        <f aca="false">IF(OR(A78="",B78="",C78=""),"",COUNTIFS('Who Engaged'!$C$5:$C$1004,C78,'Who Engaged'!$O$5:$O$1004,"Yes",'Who Engaged'!$M$5:$M$1004,1))</f>
        <v/>
      </c>
      <c r="V78" s="22" t="str">
        <f aca="false">IF(OR(A78="",B78="",C78=""),"",COUNTIFS('Who Engaged'!$C$5:$C$1004,C78,'Who Engaged'!$O$5:$O$1004,"Yes",'Who Engaged'!$L$5:$L$1004,1))</f>
        <v/>
      </c>
      <c r="W78" s="25" t="str">
        <f aca="false" t="array" ref="W78:W78">IF(OR(A78="",B78="",C78=""),"",_xlfn.TEXTJOIN("; ",TRUE(),IF(('Who Engaged'!$C$5:$C$1004=C78)*('Who Engaged'!$O$5:$O$1004="Yes"),'Who Engaged'!$D$5:$D$1004&amp;" – "&amp;'Who Engaged'!$F$5:$F$1004&amp;IF('Who Engaged'!$L$5:$L$1004=1," (followed)",""),"")))</f>
        <v/>
      </c>
      <c r="X78" s="26"/>
      <c r="Y78" s="26"/>
      <c r="Z78" s="27"/>
      <c r="AA78" s="24" t="str">
        <f aca="false">IF(OR(A78="",B78="",C78=""),"","https://www.alphanodus.com/contact?utm_source="&amp;IF(B78="X","twitter",LOWER(B78))&amp;"&amp;utm_medium=social&amp;utm_campaign="&amp;IF(E78="","general",LOWER(SUBSTITUTE(SUBSTITUTE(E78," / ","-")," ","-")))&amp;"&amp;utm_content="&amp;LOWER(C78))</f>
        <v/>
      </c>
    </row>
    <row r="79" customFormat="false" ht="15" hidden="false" customHeight="false" outlineLevel="0" collapsed="false">
      <c r="A79" s="28"/>
      <c r="B79" s="27"/>
      <c r="C79" s="27"/>
      <c r="D79" s="26"/>
      <c r="E79" s="27"/>
      <c r="F79" s="27"/>
      <c r="G79" s="27"/>
      <c r="H79" s="21"/>
      <c r="I79" s="21"/>
      <c r="J79" s="21"/>
      <c r="K79" s="21"/>
      <c r="L79" s="21"/>
      <c r="M79" s="21"/>
      <c r="N79" s="21"/>
      <c r="O79" s="21"/>
      <c r="P79" s="22" t="str">
        <f aca="false">IF(OR(A79="",B79="",C79=""),"",IF(COUNT(J79:N79)=0,"",SUM(J79:N79)))</f>
        <v/>
      </c>
      <c r="Q79" s="22" t="str">
        <f aca="false">IF(OR(A79="",B79="",C79=""),"",SUMIFS('Who Engaged'!$H$5:$H$1004,'Who Engaged'!$C$5:$C$1004,C79,'Who Engaged'!$N$5:$N$1004,"Yes")+SUMIFS('Who Engaged'!$I$5:$I$1004,'Who Engaged'!$C$5:$C$1004,C79,'Who Engaged'!$N$5:$N$1004,"Yes")+SUMIFS('Who Engaged'!$J$5:$J$1004,'Who Engaged'!$C$5:$C$1004,C79,'Who Engaged'!$N$5:$N$1004,"Yes")+SUMIFS('Who Engaged'!$K$5:$K$1004,'Who Engaged'!$C$5:$C$1004,C79,'Who Engaged'!$N$5:$N$1004,"Yes"))</f>
        <v/>
      </c>
      <c r="R79" s="22" t="str">
        <f aca="false">IF(OR(OR(A79="",B79="",C79=""),P79=""),"",MAX(0,P79-N(Q79)))</f>
        <v/>
      </c>
      <c r="S79" s="23" t="str">
        <f aca="false">IF(OR(OR(A79="",B79="",C79=""),R79=""),"",IFERROR(R79/(IF(N(H79)&gt;0,H79,IF(N(I79)&gt;0,I79,IF(COUNTIFS($B$16:$B$215,B79,$H$16:$H$215,"&gt;0")+COUNTIFS($B$16:$B$215,B79,$I$16:$I$215,"&gt;0")&gt;0,"",INDEX($B$5:$B$7,MATCH(B79,$A$5:$A$7,0)))))),""))</f>
        <v/>
      </c>
      <c r="T79" s="24" t="str">
        <f aca="false">IF(OR(A79="",B79="",C79=""),"",IF(OR(S79="",COUNTIFS($B$16:$B$215,B79,$S$16:$S$215,"&gt;=0")&lt;2),"No Data Yet",IFERROR(IF(S79/AVERAGEIFS($S$16:$S$215,$B$16:$B$215,B79)&gt;=1.2,"Good",IF(S79/AVERAGEIFS($S$16:$S$215,$B$16:$B$215,B79)&gt;=0.8,"Average","Below Standard")),"Average")))</f>
        <v/>
      </c>
      <c r="U79" s="22" t="str">
        <f aca="false">IF(OR(A79="",B79="",C79=""),"",COUNTIFS('Who Engaged'!$C$5:$C$1004,C79,'Who Engaged'!$O$5:$O$1004,"Yes",'Who Engaged'!$M$5:$M$1004,1))</f>
        <v/>
      </c>
      <c r="V79" s="22" t="str">
        <f aca="false">IF(OR(A79="",B79="",C79=""),"",COUNTIFS('Who Engaged'!$C$5:$C$1004,C79,'Who Engaged'!$O$5:$O$1004,"Yes",'Who Engaged'!$L$5:$L$1004,1))</f>
        <v/>
      </c>
      <c r="W79" s="25" t="str">
        <f aca="false" t="array" ref="W79:W79">IF(OR(A79="",B79="",C79=""),"",_xlfn.TEXTJOIN("; ",TRUE(),IF(('Who Engaged'!$C$5:$C$1004=C79)*('Who Engaged'!$O$5:$O$1004="Yes"),'Who Engaged'!$D$5:$D$1004&amp;" – "&amp;'Who Engaged'!$F$5:$F$1004&amp;IF('Who Engaged'!$L$5:$L$1004=1," (followed)",""),"")))</f>
        <v/>
      </c>
      <c r="X79" s="26"/>
      <c r="Y79" s="26"/>
      <c r="Z79" s="27"/>
      <c r="AA79" s="24" t="str">
        <f aca="false">IF(OR(A79="",B79="",C79=""),"","https://www.alphanodus.com/contact?utm_source="&amp;IF(B79="X","twitter",LOWER(B79))&amp;"&amp;utm_medium=social&amp;utm_campaign="&amp;IF(E79="","general",LOWER(SUBSTITUTE(SUBSTITUTE(E79," / ","-")," ","-")))&amp;"&amp;utm_content="&amp;LOWER(C79))</f>
        <v/>
      </c>
    </row>
    <row r="80" customFormat="false" ht="15" hidden="false" customHeight="false" outlineLevel="0" collapsed="false">
      <c r="A80" s="28"/>
      <c r="B80" s="27"/>
      <c r="C80" s="27"/>
      <c r="D80" s="26"/>
      <c r="E80" s="27"/>
      <c r="F80" s="27"/>
      <c r="G80" s="27"/>
      <c r="H80" s="21"/>
      <c r="I80" s="21"/>
      <c r="J80" s="21"/>
      <c r="K80" s="21"/>
      <c r="L80" s="21"/>
      <c r="M80" s="21"/>
      <c r="N80" s="21"/>
      <c r="O80" s="21"/>
      <c r="P80" s="22" t="str">
        <f aca="false">IF(OR(A80="",B80="",C80=""),"",IF(COUNT(J80:N80)=0,"",SUM(J80:N80)))</f>
        <v/>
      </c>
      <c r="Q80" s="22" t="str">
        <f aca="false">IF(OR(A80="",B80="",C80=""),"",SUMIFS('Who Engaged'!$H$5:$H$1004,'Who Engaged'!$C$5:$C$1004,C80,'Who Engaged'!$N$5:$N$1004,"Yes")+SUMIFS('Who Engaged'!$I$5:$I$1004,'Who Engaged'!$C$5:$C$1004,C80,'Who Engaged'!$N$5:$N$1004,"Yes")+SUMIFS('Who Engaged'!$J$5:$J$1004,'Who Engaged'!$C$5:$C$1004,C80,'Who Engaged'!$N$5:$N$1004,"Yes")+SUMIFS('Who Engaged'!$K$5:$K$1004,'Who Engaged'!$C$5:$C$1004,C80,'Who Engaged'!$N$5:$N$1004,"Yes"))</f>
        <v/>
      </c>
      <c r="R80" s="22" t="str">
        <f aca="false">IF(OR(OR(A80="",B80="",C80=""),P80=""),"",MAX(0,P80-N(Q80)))</f>
        <v/>
      </c>
      <c r="S80" s="23" t="str">
        <f aca="false">IF(OR(OR(A80="",B80="",C80=""),R80=""),"",IFERROR(R80/(IF(N(H80)&gt;0,H80,IF(N(I80)&gt;0,I80,IF(COUNTIFS($B$16:$B$215,B80,$H$16:$H$215,"&gt;0")+COUNTIFS($B$16:$B$215,B80,$I$16:$I$215,"&gt;0")&gt;0,"",INDEX($B$5:$B$7,MATCH(B80,$A$5:$A$7,0)))))),""))</f>
        <v/>
      </c>
      <c r="T80" s="24" t="str">
        <f aca="false">IF(OR(A80="",B80="",C80=""),"",IF(OR(S80="",COUNTIFS($B$16:$B$215,B80,$S$16:$S$215,"&gt;=0")&lt;2),"No Data Yet",IFERROR(IF(S80/AVERAGEIFS($S$16:$S$215,$B$16:$B$215,B80)&gt;=1.2,"Good",IF(S80/AVERAGEIFS($S$16:$S$215,$B$16:$B$215,B80)&gt;=0.8,"Average","Below Standard")),"Average")))</f>
        <v/>
      </c>
      <c r="U80" s="22" t="str">
        <f aca="false">IF(OR(A80="",B80="",C80=""),"",COUNTIFS('Who Engaged'!$C$5:$C$1004,C80,'Who Engaged'!$O$5:$O$1004,"Yes",'Who Engaged'!$M$5:$M$1004,1))</f>
        <v/>
      </c>
      <c r="V80" s="22" t="str">
        <f aca="false">IF(OR(A80="",B80="",C80=""),"",COUNTIFS('Who Engaged'!$C$5:$C$1004,C80,'Who Engaged'!$O$5:$O$1004,"Yes",'Who Engaged'!$L$5:$L$1004,1))</f>
        <v/>
      </c>
      <c r="W80" s="25" t="str">
        <f aca="false" t="array" ref="W80:W80">IF(OR(A80="",B80="",C80=""),"",_xlfn.TEXTJOIN("; ",TRUE(),IF(('Who Engaged'!$C$5:$C$1004=C80)*('Who Engaged'!$O$5:$O$1004="Yes"),'Who Engaged'!$D$5:$D$1004&amp;" – "&amp;'Who Engaged'!$F$5:$F$1004&amp;IF('Who Engaged'!$L$5:$L$1004=1," (followed)",""),"")))</f>
        <v/>
      </c>
      <c r="X80" s="26"/>
      <c r="Y80" s="26"/>
      <c r="Z80" s="27"/>
      <c r="AA80" s="24" t="str">
        <f aca="false">IF(OR(A80="",B80="",C80=""),"","https://www.alphanodus.com/contact?utm_source="&amp;IF(B80="X","twitter",LOWER(B80))&amp;"&amp;utm_medium=social&amp;utm_campaign="&amp;IF(E80="","general",LOWER(SUBSTITUTE(SUBSTITUTE(E80," / ","-")," ","-")))&amp;"&amp;utm_content="&amp;LOWER(C80))</f>
        <v/>
      </c>
    </row>
    <row r="81" customFormat="false" ht="15" hidden="false" customHeight="false" outlineLevel="0" collapsed="false">
      <c r="A81" s="28"/>
      <c r="B81" s="27"/>
      <c r="C81" s="27"/>
      <c r="D81" s="26"/>
      <c r="E81" s="27"/>
      <c r="F81" s="27"/>
      <c r="G81" s="27"/>
      <c r="H81" s="21"/>
      <c r="I81" s="21"/>
      <c r="J81" s="21"/>
      <c r="K81" s="21"/>
      <c r="L81" s="21"/>
      <c r="M81" s="21"/>
      <c r="N81" s="21"/>
      <c r="O81" s="21"/>
      <c r="P81" s="22" t="str">
        <f aca="false">IF(OR(A81="",B81="",C81=""),"",IF(COUNT(J81:N81)=0,"",SUM(J81:N81)))</f>
        <v/>
      </c>
      <c r="Q81" s="22" t="str">
        <f aca="false">IF(OR(A81="",B81="",C81=""),"",SUMIFS('Who Engaged'!$H$5:$H$1004,'Who Engaged'!$C$5:$C$1004,C81,'Who Engaged'!$N$5:$N$1004,"Yes")+SUMIFS('Who Engaged'!$I$5:$I$1004,'Who Engaged'!$C$5:$C$1004,C81,'Who Engaged'!$N$5:$N$1004,"Yes")+SUMIFS('Who Engaged'!$J$5:$J$1004,'Who Engaged'!$C$5:$C$1004,C81,'Who Engaged'!$N$5:$N$1004,"Yes")+SUMIFS('Who Engaged'!$K$5:$K$1004,'Who Engaged'!$C$5:$C$1004,C81,'Who Engaged'!$N$5:$N$1004,"Yes"))</f>
        <v/>
      </c>
      <c r="R81" s="22" t="str">
        <f aca="false">IF(OR(OR(A81="",B81="",C81=""),P81=""),"",MAX(0,P81-N(Q81)))</f>
        <v/>
      </c>
      <c r="S81" s="23" t="str">
        <f aca="false">IF(OR(OR(A81="",B81="",C81=""),R81=""),"",IFERROR(R81/(IF(N(H81)&gt;0,H81,IF(N(I81)&gt;0,I81,IF(COUNTIFS($B$16:$B$215,B81,$H$16:$H$215,"&gt;0")+COUNTIFS($B$16:$B$215,B81,$I$16:$I$215,"&gt;0")&gt;0,"",INDEX($B$5:$B$7,MATCH(B81,$A$5:$A$7,0)))))),""))</f>
        <v/>
      </c>
      <c r="T81" s="24" t="str">
        <f aca="false">IF(OR(A81="",B81="",C81=""),"",IF(OR(S81="",COUNTIFS($B$16:$B$215,B81,$S$16:$S$215,"&gt;=0")&lt;2),"No Data Yet",IFERROR(IF(S81/AVERAGEIFS($S$16:$S$215,$B$16:$B$215,B81)&gt;=1.2,"Good",IF(S81/AVERAGEIFS($S$16:$S$215,$B$16:$B$215,B81)&gt;=0.8,"Average","Below Standard")),"Average")))</f>
        <v/>
      </c>
      <c r="U81" s="22" t="str">
        <f aca="false">IF(OR(A81="",B81="",C81=""),"",COUNTIFS('Who Engaged'!$C$5:$C$1004,C81,'Who Engaged'!$O$5:$O$1004,"Yes",'Who Engaged'!$M$5:$M$1004,1))</f>
        <v/>
      </c>
      <c r="V81" s="22" t="str">
        <f aca="false">IF(OR(A81="",B81="",C81=""),"",COUNTIFS('Who Engaged'!$C$5:$C$1004,C81,'Who Engaged'!$O$5:$O$1004,"Yes",'Who Engaged'!$L$5:$L$1004,1))</f>
        <v/>
      </c>
      <c r="W81" s="25" t="str">
        <f aca="false" t="array" ref="W81:W81">IF(OR(A81="",B81="",C81=""),"",_xlfn.TEXTJOIN("; ",TRUE(),IF(('Who Engaged'!$C$5:$C$1004=C81)*('Who Engaged'!$O$5:$O$1004="Yes"),'Who Engaged'!$D$5:$D$1004&amp;" – "&amp;'Who Engaged'!$F$5:$F$1004&amp;IF('Who Engaged'!$L$5:$L$1004=1," (followed)",""),"")))</f>
        <v/>
      </c>
      <c r="X81" s="26"/>
      <c r="Y81" s="26"/>
      <c r="Z81" s="27"/>
      <c r="AA81" s="24" t="str">
        <f aca="false">IF(OR(A81="",B81="",C81=""),"","https://www.alphanodus.com/contact?utm_source="&amp;IF(B81="X","twitter",LOWER(B81))&amp;"&amp;utm_medium=social&amp;utm_campaign="&amp;IF(E81="","general",LOWER(SUBSTITUTE(SUBSTITUTE(E81," / ","-")," ","-")))&amp;"&amp;utm_content="&amp;LOWER(C81))</f>
        <v/>
      </c>
    </row>
    <row r="82" customFormat="false" ht="15" hidden="false" customHeight="false" outlineLevel="0" collapsed="false">
      <c r="A82" s="28"/>
      <c r="B82" s="27"/>
      <c r="C82" s="27"/>
      <c r="D82" s="26"/>
      <c r="E82" s="27"/>
      <c r="F82" s="27"/>
      <c r="G82" s="27"/>
      <c r="H82" s="21"/>
      <c r="I82" s="21"/>
      <c r="J82" s="21"/>
      <c r="K82" s="21"/>
      <c r="L82" s="21"/>
      <c r="M82" s="21"/>
      <c r="N82" s="21"/>
      <c r="O82" s="21"/>
      <c r="P82" s="22" t="str">
        <f aca="false">IF(OR(A82="",B82="",C82=""),"",IF(COUNT(J82:N82)=0,"",SUM(J82:N82)))</f>
        <v/>
      </c>
      <c r="Q82" s="22" t="str">
        <f aca="false">IF(OR(A82="",B82="",C82=""),"",SUMIFS('Who Engaged'!$H$5:$H$1004,'Who Engaged'!$C$5:$C$1004,C82,'Who Engaged'!$N$5:$N$1004,"Yes")+SUMIFS('Who Engaged'!$I$5:$I$1004,'Who Engaged'!$C$5:$C$1004,C82,'Who Engaged'!$N$5:$N$1004,"Yes")+SUMIFS('Who Engaged'!$J$5:$J$1004,'Who Engaged'!$C$5:$C$1004,C82,'Who Engaged'!$N$5:$N$1004,"Yes")+SUMIFS('Who Engaged'!$K$5:$K$1004,'Who Engaged'!$C$5:$C$1004,C82,'Who Engaged'!$N$5:$N$1004,"Yes"))</f>
        <v/>
      </c>
      <c r="R82" s="22" t="str">
        <f aca="false">IF(OR(OR(A82="",B82="",C82=""),P82=""),"",MAX(0,P82-N(Q82)))</f>
        <v/>
      </c>
      <c r="S82" s="23" t="str">
        <f aca="false">IF(OR(OR(A82="",B82="",C82=""),R82=""),"",IFERROR(R82/(IF(N(H82)&gt;0,H82,IF(N(I82)&gt;0,I82,IF(COUNTIFS($B$16:$B$215,B82,$H$16:$H$215,"&gt;0")+COUNTIFS($B$16:$B$215,B82,$I$16:$I$215,"&gt;0")&gt;0,"",INDEX($B$5:$B$7,MATCH(B82,$A$5:$A$7,0)))))),""))</f>
        <v/>
      </c>
      <c r="T82" s="24" t="str">
        <f aca="false">IF(OR(A82="",B82="",C82=""),"",IF(OR(S82="",COUNTIFS($B$16:$B$215,B82,$S$16:$S$215,"&gt;=0")&lt;2),"No Data Yet",IFERROR(IF(S82/AVERAGEIFS($S$16:$S$215,$B$16:$B$215,B82)&gt;=1.2,"Good",IF(S82/AVERAGEIFS($S$16:$S$215,$B$16:$B$215,B82)&gt;=0.8,"Average","Below Standard")),"Average")))</f>
        <v/>
      </c>
      <c r="U82" s="22" t="str">
        <f aca="false">IF(OR(A82="",B82="",C82=""),"",COUNTIFS('Who Engaged'!$C$5:$C$1004,C82,'Who Engaged'!$O$5:$O$1004,"Yes",'Who Engaged'!$M$5:$M$1004,1))</f>
        <v/>
      </c>
      <c r="V82" s="22" t="str">
        <f aca="false">IF(OR(A82="",B82="",C82=""),"",COUNTIFS('Who Engaged'!$C$5:$C$1004,C82,'Who Engaged'!$O$5:$O$1004,"Yes",'Who Engaged'!$L$5:$L$1004,1))</f>
        <v/>
      </c>
      <c r="W82" s="25" t="str">
        <f aca="false" t="array" ref="W82:W82">IF(OR(A82="",B82="",C82=""),"",_xlfn.TEXTJOIN("; ",TRUE(),IF(('Who Engaged'!$C$5:$C$1004=C82)*('Who Engaged'!$O$5:$O$1004="Yes"),'Who Engaged'!$D$5:$D$1004&amp;" – "&amp;'Who Engaged'!$F$5:$F$1004&amp;IF('Who Engaged'!$L$5:$L$1004=1," (followed)",""),"")))</f>
        <v/>
      </c>
      <c r="X82" s="26"/>
      <c r="Y82" s="26"/>
      <c r="Z82" s="27"/>
      <c r="AA82" s="24" t="str">
        <f aca="false">IF(OR(A82="",B82="",C82=""),"","https://www.alphanodus.com/contact?utm_source="&amp;IF(B82="X","twitter",LOWER(B82))&amp;"&amp;utm_medium=social&amp;utm_campaign="&amp;IF(E82="","general",LOWER(SUBSTITUTE(SUBSTITUTE(E82," / ","-")," ","-")))&amp;"&amp;utm_content="&amp;LOWER(C82))</f>
        <v/>
      </c>
    </row>
    <row r="83" customFormat="false" ht="15" hidden="false" customHeight="false" outlineLevel="0" collapsed="false">
      <c r="A83" s="28"/>
      <c r="B83" s="27"/>
      <c r="C83" s="27"/>
      <c r="D83" s="26"/>
      <c r="E83" s="27"/>
      <c r="F83" s="27"/>
      <c r="G83" s="27"/>
      <c r="H83" s="21"/>
      <c r="I83" s="21"/>
      <c r="J83" s="21"/>
      <c r="K83" s="21"/>
      <c r="L83" s="21"/>
      <c r="M83" s="21"/>
      <c r="N83" s="21"/>
      <c r="O83" s="21"/>
      <c r="P83" s="22" t="str">
        <f aca="false">IF(OR(A83="",B83="",C83=""),"",IF(COUNT(J83:N83)=0,"",SUM(J83:N83)))</f>
        <v/>
      </c>
      <c r="Q83" s="22" t="str">
        <f aca="false">IF(OR(A83="",B83="",C83=""),"",SUMIFS('Who Engaged'!$H$5:$H$1004,'Who Engaged'!$C$5:$C$1004,C83,'Who Engaged'!$N$5:$N$1004,"Yes")+SUMIFS('Who Engaged'!$I$5:$I$1004,'Who Engaged'!$C$5:$C$1004,C83,'Who Engaged'!$N$5:$N$1004,"Yes")+SUMIFS('Who Engaged'!$J$5:$J$1004,'Who Engaged'!$C$5:$C$1004,C83,'Who Engaged'!$N$5:$N$1004,"Yes")+SUMIFS('Who Engaged'!$K$5:$K$1004,'Who Engaged'!$C$5:$C$1004,C83,'Who Engaged'!$N$5:$N$1004,"Yes"))</f>
        <v/>
      </c>
      <c r="R83" s="22" t="str">
        <f aca="false">IF(OR(OR(A83="",B83="",C83=""),P83=""),"",MAX(0,P83-N(Q83)))</f>
        <v/>
      </c>
      <c r="S83" s="23" t="str">
        <f aca="false">IF(OR(OR(A83="",B83="",C83=""),R83=""),"",IFERROR(R83/(IF(N(H83)&gt;0,H83,IF(N(I83)&gt;0,I83,IF(COUNTIFS($B$16:$B$215,B83,$H$16:$H$215,"&gt;0")+COUNTIFS($B$16:$B$215,B83,$I$16:$I$215,"&gt;0")&gt;0,"",INDEX($B$5:$B$7,MATCH(B83,$A$5:$A$7,0)))))),""))</f>
        <v/>
      </c>
      <c r="T83" s="24" t="str">
        <f aca="false">IF(OR(A83="",B83="",C83=""),"",IF(OR(S83="",COUNTIFS($B$16:$B$215,B83,$S$16:$S$215,"&gt;=0")&lt;2),"No Data Yet",IFERROR(IF(S83/AVERAGEIFS($S$16:$S$215,$B$16:$B$215,B83)&gt;=1.2,"Good",IF(S83/AVERAGEIFS($S$16:$S$215,$B$16:$B$215,B83)&gt;=0.8,"Average","Below Standard")),"Average")))</f>
        <v/>
      </c>
      <c r="U83" s="22" t="str">
        <f aca="false">IF(OR(A83="",B83="",C83=""),"",COUNTIFS('Who Engaged'!$C$5:$C$1004,C83,'Who Engaged'!$O$5:$O$1004,"Yes",'Who Engaged'!$M$5:$M$1004,1))</f>
        <v/>
      </c>
      <c r="V83" s="22" t="str">
        <f aca="false">IF(OR(A83="",B83="",C83=""),"",COUNTIFS('Who Engaged'!$C$5:$C$1004,C83,'Who Engaged'!$O$5:$O$1004,"Yes",'Who Engaged'!$L$5:$L$1004,1))</f>
        <v/>
      </c>
      <c r="W83" s="25" t="str">
        <f aca="false" t="array" ref="W83:W83">IF(OR(A83="",B83="",C83=""),"",_xlfn.TEXTJOIN("; ",TRUE(),IF(('Who Engaged'!$C$5:$C$1004=C83)*('Who Engaged'!$O$5:$O$1004="Yes"),'Who Engaged'!$D$5:$D$1004&amp;" – "&amp;'Who Engaged'!$F$5:$F$1004&amp;IF('Who Engaged'!$L$5:$L$1004=1," (followed)",""),"")))</f>
        <v/>
      </c>
      <c r="X83" s="26"/>
      <c r="Y83" s="26"/>
      <c r="Z83" s="27"/>
      <c r="AA83" s="24" t="str">
        <f aca="false">IF(OR(A83="",B83="",C83=""),"","https://www.alphanodus.com/contact?utm_source="&amp;IF(B83="X","twitter",LOWER(B83))&amp;"&amp;utm_medium=social&amp;utm_campaign="&amp;IF(E83="","general",LOWER(SUBSTITUTE(SUBSTITUTE(E83," / ","-")," ","-")))&amp;"&amp;utm_content="&amp;LOWER(C83))</f>
        <v/>
      </c>
    </row>
    <row r="84" customFormat="false" ht="15" hidden="false" customHeight="false" outlineLevel="0" collapsed="false">
      <c r="A84" s="28"/>
      <c r="B84" s="27"/>
      <c r="C84" s="27"/>
      <c r="D84" s="26"/>
      <c r="E84" s="27"/>
      <c r="F84" s="27"/>
      <c r="G84" s="27"/>
      <c r="H84" s="21"/>
      <c r="I84" s="21"/>
      <c r="J84" s="21"/>
      <c r="K84" s="21"/>
      <c r="L84" s="21"/>
      <c r="M84" s="21"/>
      <c r="N84" s="21"/>
      <c r="O84" s="21"/>
      <c r="P84" s="22" t="str">
        <f aca="false">IF(OR(A84="",B84="",C84=""),"",IF(COUNT(J84:N84)=0,"",SUM(J84:N84)))</f>
        <v/>
      </c>
      <c r="Q84" s="22" t="str">
        <f aca="false">IF(OR(A84="",B84="",C84=""),"",SUMIFS('Who Engaged'!$H$5:$H$1004,'Who Engaged'!$C$5:$C$1004,C84,'Who Engaged'!$N$5:$N$1004,"Yes")+SUMIFS('Who Engaged'!$I$5:$I$1004,'Who Engaged'!$C$5:$C$1004,C84,'Who Engaged'!$N$5:$N$1004,"Yes")+SUMIFS('Who Engaged'!$J$5:$J$1004,'Who Engaged'!$C$5:$C$1004,C84,'Who Engaged'!$N$5:$N$1004,"Yes")+SUMIFS('Who Engaged'!$K$5:$K$1004,'Who Engaged'!$C$5:$C$1004,C84,'Who Engaged'!$N$5:$N$1004,"Yes"))</f>
        <v/>
      </c>
      <c r="R84" s="22" t="str">
        <f aca="false">IF(OR(OR(A84="",B84="",C84=""),P84=""),"",MAX(0,P84-N(Q84)))</f>
        <v/>
      </c>
      <c r="S84" s="23" t="str">
        <f aca="false">IF(OR(OR(A84="",B84="",C84=""),R84=""),"",IFERROR(R84/(IF(N(H84)&gt;0,H84,IF(N(I84)&gt;0,I84,IF(COUNTIFS($B$16:$B$215,B84,$H$16:$H$215,"&gt;0")+COUNTIFS($B$16:$B$215,B84,$I$16:$I$215,"&gt;0")&gt;0,"",INDEX($B$5:$B$7,MATCH(B84,$A$5:$A$7,0)))))),""))</f>
        <v/>
      </c>
      <c r="T84" s="24" t="str">
        <f aca="false">IF(OR(A84="",B84="",C84=""),"",IF(OR(S84="",COUNTIFS($B$16:$B$215,B84,$S$16:$S$215,"&gt;=0")&lt;2),"No Data Yet",IFERROR(IF(S84/AVERAGEIFS($S$16:$S$215,$B$16:$B$215,B84)&gt;=1.2,"Good",IF(S84/AVERAGEIFS($S$16:$S$215,$B$16:$B$215,B84)&gt;=0.8,"Average","Below Standard")),"Average")))</f>
        <v/>
      </c>
      <c r="U84" s="22" t="str">
        <f aca="false">IF(OR(A84="",B84="",C84=""),"",COUNTIFS('Who Engaged'!$C$5:$C$1004,C84,'Who Engaged'!$O$5:$O$1004,"Yes",'Who Engaged'!$M$5:$M$1004,1))</f>
        <v/>
      </c>
      <c r="V84" s="22" t="str">
        <f aca="false">IF(OR(A84="",B84="",C84=""),"",COUNTIFS('Who Engaged'!$C$5:$C$1004,C84,'Who Engaged'!$O$5:$O$1004,"Yes",'Who Engaged'!$L$5:$L$1004,1))</f>
        <v/>
      </c>
      <c r="W84" s="25" t="str">
        <f aca="false" t="array" ref="W84:W84">IF(OR(A84="",B84="",C84=""),"",_xlfn.TEXTJOIN("; ",TRUE(),IF(('Who Engaged'!$C$5:$C$1004=C84)*('Who Engaged'!$O$5:$O$1004="Yes"),'Who Engaged'!$D$5:$D$1004&amp;" – "&amp;'Who Engaged'!$F$5:$F$1004&amp;IF('Who Engaged'!$L$5:$L$1004=1," (followed)",""),"")))</f>
        <v/>
      </c>
      <c r="X84" s="26"/>
      <c r="Y84" s="26"/>
      <c r="Z84" s="27"/>
      <c r="AA84" s="24" t="str">
        <f aca="false">IF(OR(A84="",B84="",C84=""),"","https://www.alphanodus.com/contact?utm_source="&amp;IF(B84="X","twitter",LOWER(B84))&amp;"&amp;utm_medium=social&amp;utm_campaign="&amp;IF(E84="","general",LOWER(SUBSTITUTE(SUBSTITUTE(E84," / ","-")," ","-")))&amp;"&amp;utm_content="&amp;LOWER(C84))</f>
        <v/>
      </c>
    </row>
    <row r="85" customFormat="false" ht="15" hidden="false" customHeight="false" outlineLevel="0" collapsed="false">
      <c r="A85" s="28"/>
      <c r="B85" s="27"/>
      <c r="C85" s="27"/>
      <c r="D85" s="26"/>
      <c r="E85" s="27"/>
      <c r="F85" s="27"/>
      <c r="G85" s="27"/>
      <c r="H85" s="21"/>
      <c r="I85" s="21"/>
      <c r="J85" s="21"/>
      <c r="K85" s="21"/>
      <c r="L85" s="21"/>
      <c r="M85" s="21"/>
      <c r="N85" s="21"/>
      <c r="O85" s="21"/>
      <c r="P85" s="22" t="str">
        <f aca="false">IF(OR(A85="",B85="",C85=""),"",IF(COUNT(J85:N85)=0,"",SUM(J85:N85)))</f>
        <v/>
      </c>
      <c r="Q85" s="22" t="str">
        <f aca="false">IF(OR(A85="",B85="",C85=""),"",SUMIFS('Who Engaged'!$H$5:$H$1004,'Who Engaged'!$C$5:$C$1004,C85,'Who Engaged'!$N$5:$N$1004,"Yes")+SUMIFS('Who Engaged'!$I$5:$I$1004,'Who Engaged'!$C$5:$C$1004,C85,'Who Engaged'!$N$5:$N$1004,"Yes")+SUMIFS('Who Engaged'!$J$5:$J$1004,'Who Engaged'!$C$5:$C$1004,C85,'Who Engaged'!$N$5:$N$1004,"Yes")+SUMIFS('Who Engaged'!$K$5:$K$1004,'Who Engaged'!$C$5:$C$1004,C85,'Who Engaged'!$N$5:$N$1004,"Yes"))</f>
        <v/>
      </c>
      <c r="R85" s="22" t="str">
        <f aca="false">IF(OR(OR(A85="",B85="",C85=""),P85=""),"",MAX(0,P85-N(Q85)))</f>
        <v/>
      </c>
      <c r="S85" s="23" t="str">
        <f aca="false">IF(OR(OR(A85="",B85="",C85=""),R85=""),"",IFERROR(R85/(IF(N(H85)&gt;0,H85,IF(N(I85)&gt;0,I85,IF(COUNTIFS($B$16:$B$215,B85,$H$16:$H$215,"&gt;0")+COUNTIFS($B$16:$B$215,B85,$I$16:$I$215,"&gt;0")&gt;0,"",INDEX($B$5:$B$7,MATCH(B85,$A$5:$A$7,0)))))),""))</f>
        <v/>
      </c>
      <c r="T85" s="24" t="str">
        <f aca="false">IF(OR(A85="",B85="",C85=""),"",IF(OR(S85="",COUNTIFS($B$16:$B$215,B85,$S$16:$S$215,"&gt;=0")&lt;2),"No Data Yet",IFERROR(IF(S85/AVERAGEIFS($S$16:$S$215,$B$16:$B$215,B85)&gt;=1.2,"Good",IF(S85/AVERAGEIFS($S$16:$S$215,$B$16:$B$215,B85)&gt;=0.8,"Average","Below Standard")),"Average")))</f>
        <v/>
      </c>
      <c r="U85" s="22" t="str">
        <f aca="false">IF(OR(A85="",B85="",C85=""),"",COUNTIFS('Who Engaged'!$C$5:$C$1004,C85,'Who Engaged'!$O$5:$O$1004,"Yes",'Who Engaged'!$M$5:$M$1004,1))</f>
        <v/>
      </c>
      <c r="V85" s="22" t="str">
        <f aca="false">IF(OR(A85="",B85="",C85=""),"",COUNTIFS('Who Engaged'!$C$5:$C$1004,C85,'Who Engaged'!$O$5:$O$1004,"Yes",'Who Engaged'!$L$5:$L$1004,1))</f>
        <v/>
      </c>
      <c r="W85" s="25" t="str">
        <f aca="false" t="array" ref="W85:W85">IF(OR(A85="",B85="",C85=""),"",_xlfn.TEXTJOIN("; ",TRUE(),IF(('Who Engaged'!$C$5:$C$1004=C85)*('Who Engaged'!$O$5:$O$1004="Yes"),'Who Engaged'!$D$5:$D$1004&amp;" – "&amp;'Who Engaged'!$F$5:$F$1004&amp;IF('Who Engaged'!$L$5:$L$1004=1," (followed)",""),"")))</f>
        <v/>
      </c>
      <c r="X85" s="26"/>
      <c r="Y85" s="26"/>
      <c r="Z85" s="27"/>
      <c r="AA85" s="24" t="str">
        <f aca="false">IF(OR(A85="",B85="",C85=""),"","https://www.alphanodus.com/contact?utm_source="&amp;IF(B85="X","twitter",LOWER(B85))&amp;"&amp;utm_medium=social&amp;utm_campaign="&amp;IF(E85="","general",LOWER(SUBSTITUTE(SUBSTITUTE(E85," / ","-")," ","-")))&amp;"&amp;utm_content="&amp;LOWER(C85))</f>
        <v/>
      </c>
    </row>
    <row r="86" customFormat="false" ht="15" hidden="false" customHeight="false" outlineLevel="0" collapsed="false">
      <c r="A86" s="28"/>
      <c r="B86" s="27"/>
      <c r="C86" s="27"/>
      <c r="D86" s="26"/>
      <c r="E86" s="27"/>
      <c r="F86" s="27"/>
      <c r="G86" s="27"/>
      <c r="H86" s="21"/>
      <c r="I86" s="21"/>
      <c r="J86" s="21"/>
      <c r="K86" s="21"/>
      <c r="L86" s="21"/>
      <c r="M86" s="21"/>
      <c r="N86" s="21"/>
      <c r="O86" s="21"/>
      <c r="P86" s="22" t="str">
        <f aca="false">IF(OR(A86="",B86="",C86=""),"",IF(COUNT(J86:N86)=0,"",SUM(J86:N86)))</f>
        <v/>
      </c>
      <c r="Q86" s="22" t="str">
        <f aca="false">IF(OR(A86="",B86="",C86=""),"",SUMIFS('Who Engaged'!$H$5:$H$1004,'Who Engaged'!$C$5:$C$1004,C86,'Who Engaged'!$N$5:$N$1004,"Yes")+SUMIFS('Who Engaged'!$I$5:$I$1004,'Who Engaged'!$C$5:$C$1004,C86,'Who Engaged'!$N$5:$N$1004,"Yes")+SUMIFS('Who Engaged'!$J$5:$J$1004,'Who Engaged'!$C$5:$C$1004,C86,'Who Engaged'!$N$5:$N$1004,"Yes")+SUMIFS('Who Engaged'!$K$5:$K$1004,'Who Engaged'!$C$5:$C$1004,C86,'Who Engaged'!$N$5:$N$1004,"Yes"))</f>
        <v/>
      </c>
      <c r="R86" s="22" t="str">
        <f aca="false">IF(OR(OR(A86="",B86="",C86=""),P86=""),"",MAX(0,P86-N(Q86)))</f>
        <v/>
      </c>
      <c r="S86" s="23" t="str">
        <f aca="false">IF(OR(OR(A86="",B86="",C86=""),R86=""),"",IFERROR(R86/(IF(N(H86)&gt;0,H86,IF(N(I86)&gt;0,I86,IF(COUNTIFS($B$16:$B$215,B86,$H$16:$H$215,"&gt;0")+COUNTIFS($B$16:$B$215,B86,$I$16:$I$215,"&gt;0")&gt;0,"",INDEX($B$5:$B$7,MATCH(B86,$A$5:$A$7,0)))))),""))</f>
        <v/>
      </c>
      <c r="T86" s="24" t="str">
        <f aca="false">IF(OR(A86="",B86="",C86=""),"",IF(OR(S86="",COUNTIFS($B$16:$B$215,B86,$S$16:$S$215,"&gt;=0")&lt;2),"No Data Yet",IFERROR(IF(S86/AVERAGEIFS($S$16:$S$215,$B$16:$B$215,B86)&gt;=1.2,"Good",IF(S86/AVERAGEIFS($S$16:$S$215,$B$16:$B$215,B86)&gt;=0.8,"Average","Below Standard")),"Average")))</f>
        <v/>
      </c>
      <c r="U86" s="22" t="str">
        <f aca="false">IF(OR(A86="",B86="",C86=""),"",COUNTIFS('Who Engaged'!$C$5:$C$1004,C86,'Who Engaged'!$O$5:$O$1004,"Yes",'Who Engaged'!$M$5:$M$1004,1))</f>
        <v/>
      </c>
      <c r="V86" s="22" t="str">
        <f aca="false">IF(OR(A86="",B86="",C86=""),"",COUNTIFS('Who Engaged'!$C$5:$C$1004,C86,'Who Engaged'!$O$5:$O$1004,"Yes",'Who Engaged'!$L$5:$L$1004,1))</f>
        <v/>
      </c>
      <c r="W86" s="25" t="str">
        <f aca="false" t="array" ref="W86:W86">IF(OR(A86="",B86="",C86=""),"",_xlfn.TEXTJOIN("; ",TRUE(),IF(('Who Engaged'!$C$5:$C$1004=C86)*('Who Engaged'!$O$5:$O$1004="Yes"),'Who Engaged'!$D$5:$D$1004&amp;" – "&amp;'Who Engaged'!$F$5:$F$1004&amp;IF('Who Engaged'!$L$5:$L$1004=1," (followed)",""),"")))</f>
        <v/>
      </c>
      <c r="X86" s="26"/>
      <c r="Y86" s="26"/>
      <c r="Z86" s="27"/>
      <c r="AA86" s="24" t="str">
        <f aca="false">IF(OR(A86="",B86="",C86=""),"","https://www.alphanodus.com/contact?utm_source="&amp;IF(B86="X","twitter",LOWER(B86))&amp;"&amp;utm_medium=social&amp;utm_campaign="&amp;IF(E86="","general",LOWER(SUBSTITUTE(SUBSTITUTE(E86," / ","-")," ","-")))&amp;"&amp;utm_content="&amp;LOWER(C86))</f>
        <v/>
      </c>
    </row>
    <row r="87" customFormat="false" ht="15" hidden="false" customHeight="false" outlineLevel="0" collapsed="false">
      <c r="A87" s="28"/>
      <c r="B87" s="27"/>
      <c r="C87" s="27"/>
      <c r="D87" s="26"/>
      <c r="E87" s="27"/>
      <c r="F87" s="27"/>
      <c r="G87" s="27"/>
      <c r="H87" s="21"/>
      <c r="I87" s="21"/>
      <c r="J87" s="21"/>
      <c r="K87" s="21"/>
      <c r="L87" s="21"/>
      <c r="M87" s="21"/>
      <c r="N87" s="21"/>
      <c r="O87" s="21"/>
      <c r="P87" s="22" t="str">
        <f aca="false">IF(OR(A87="",B87="",C87=""),"",IF(COUNT(J87:N87)=0,"",SUM(J87:N87)))</f>
        <v/>
      </c>
      <c r="Q87" s="22" t="str">
        <f aca="false">IF(OR(A87="",B87="",C87=""),"",SUMIFS('Who Engaged'!$H$5:$H$1004,'Who Engaged'!$C$5:$C$1004,C87,'Who Engaged'!$N$5:$N$1004,"Yes")+SUMIFS('Who Engaged'!$I$5:$I$1004,'Who Engaged'!$C$5:$C$1004,C87,'Who Engaged'!$N$5:$N$1004,"Yes")+SUMIFS('Who Engaged'!$J$5:$J$1004,'Who Engaged'!$C$5:$C$1004,C87,'Who Engaged'!$N$5:$N$1004,"Yes")+SUMIFS('Who Engaged'!$K$5:$K$1004,'Who Engaged'!$C$5:$C$1004,C87,'Who Engaged'!$N$5:$N$1004,"Yes"))</f>
        <v/>
      </c>
      <c r="R87" s="22" t="str">
        <f aca="false">IF(OR(OR(A87="",B87="",C87=""),P87=""),"",MAX(0,P87-N(Q87)))</f>
        <v/>
      </c>
      <c r="S87" s="23" t="str">
        <f aca="false">IF(OR(OR(A87="",B87="",C87=""),R87=""),"",IFERROR(R87/(IF(N(H87)&gt;0,H87,IF(N(I87)&gt;0,I87,IF(COUNTIFS($B$16:$B$215,B87,$H$16:$H$215,"&gt;0")+COUNTIFS($B$16:$B$215,B87,$I$16:$I$215,"&gt;0")&gt;0,"",INDEX($B$5:$B$7,MATCH(B87,$A$5:$A$7,0)))))),""))</f>
        <v/>
      </c>
      <c r="T87" s="24" t="str">
        <f aca="false">IF(OR(A87="",B87="",C87=""),"",IF(OR(S87="",COUNTIFS($B$16:$B$215,B87,$S$16:$S$215,"&gt;=0")&lt;2),"No Data Yet",IFERROR(IF(S87/AVERAGEIFS($S$16:$S$215,$B$16:$B$215,B87)&gt;=1.2,"Good",IF(S87/AVERAGEIFS($S$16:$S$215,$B$16:$B$215,B87)&gt;=0.8,"Average","Below Standard")),"Average")))</f>
        <v/>
      </c>
      <c r="U87" s="22" t="str">
        <f aca="false">IF(OR(A87="",B87="",C87=""),"",COUNTIFS('Who Engaged'!$C$5:$C$1004,C87,'Who Engaged'!$O$5:$O$1004,"Yes",'Who Engaged'!$M$5:$M$1004,1))</f>
        <v/>
      </c>
      <c r="V87" s="22" t="str">
        <f aca="false">IF(OR(A87="",B87="",C87=""),"",COUNTIFS('Who Engaged'!$C$5:$C$1004,C87,'Who Engaged'!$O$5:$O$1004,"Yes",'Who Engaged'!$L$5:$L$1004,1))</f>
        <v/>
      </c>
      <c r="W87" s="25" t="str">
        <f aca="false" t="array" ref="W87:W87">IF(OR(A87="",B87="",C87=""),"",_xlfn.TEXTJOIN("; ",TRUE(),IF(('Who Engaged'!$C$5:$C$1004=C87)*('Who Engaged'!$O$5:$O$1004="Yes"),'Who Engaged'!$D$5:$D$1004&amp;" – "&amp;'Who Engaged'!$F$5:$F$1004&amp;IF('Who Engaged'!$L$5:$L$1004=1," (followed)",""),"")))</f>
        <v/>
      </c>
      <c r="X87" s="26"/>
      <c r="Y87" s="26"/>
      <c r="Z87" s="27"/>
      <c r="AA87" s="24" t="str">
        <f aca="false">IF(OR(A87="",B87="",C87=""),"","https://www.alphanodus.com/contact?utm_source="&amp;IF(B87="X","twitter",LOWER(B87))&amp;"&amp;utm_medium=social&amp;utm_campaign="&amp;IF(E87="","general",LOWER(SUBSTITUTE(SUBSTITUTE(E87," / ","-")," ","-")))&amp;"&amp;utm_content="&amp;LOWER(C87))</f>
        <v/>
      </c>
    </row>
    <row r="88" customFormat="false" ht="15" hidden="false" customHeight="false" outlineLevel="0" collapsed="false">
      <c r="A88" s="28"/>
      <c r="B88" s="27"/>
      <c r="C88" s="27"/>
      <c r="D88" s="26"/>
      <c r="E88" s="27"/>
      <c r="F88" s="27"/>
      <c r="G88" s="27"/>
      <c r="H88" s="21"/>
      <c r="I88" s="21"/>
      <c r="J88" s="21"/>
      <c r="K88" s="21"/>
      <c r="L88" s="21"/>
      <c r="M88" s="21"/>
      <c r="N88" s="21"/>
      <c r="O88" s="21"/>
      <c r="P88" s="22" t="str">
        <f aca="false">IF(OR(A88="",B88="",C88=""),"",IF(COUNT(J88:N88)=0,"",SUM(J88:N88)))</f>
        <v/>
      </c>
      <c r="Q88" s="22" t="str">
        <f aca="false">IF(OR(A88="",B88="",C88=""),"",SUMIFS('Who Engaged'!$H$5:$H$1004,'Who Engaged'!$C$5:$C$1004,C88,'Who Engaged'!$N$5:$N$1004,"Yes")+SUMIFS('Who Engaged'!$I$5:$I$1004,'Who Engaged'!$C$5:$C$1004,C88,'Who Engaged'!$N$5:$N$1004,"Yes")+SUMIFS('Who Engaged'!$J$5:$J$1004,'Who Engaged'!$C$5:$C$1004,C88,'Who Engaged'!$N$5:$N$1004,"Yes")+SUMIFS('Who Engaged'!$K$5:$K$1004,'Who Engaged'!$C$5:$C$1004,C88,'Who Engaged'!$N$5:$N$1004,"Yes"))</f>
        <v/>
      </c>
      <c r="R88" s="22" t="str">
        <f aca="false">IF(OR(OR(A88="",B88="",C88=""),P88=""),"",MAX(0,P88-N(Q88)))</f>
        <v/>
      </c>
      <c r="S88" s="23" t="str">
        <f aca="false">IF(OR(OR(A88="",B88="",C88=""),R88=""),"",IFERROR(R88/(IF(N(H88)&gt;0,H88,IF(N(I88)&gt;0,I88,IF(COUNTIFS($B$16:$B$215,B88,$H$16:$H$215,"&gt;0")+COUNTIFS($B$16:$B$215,B88,$I$16:$I$215,"&gt;0")&gt;0,"",INDEX($B$5:$B$7,MATCH(B88,$A$5:$A$7,0)))))),""))</f>
        <v/>
      </c>
      <c r="T88" s="24" t="str">
        <f aca="false">IF(OR(A88="",B88="",C88=""),"",IF(OR(S88="",COUNTIFS($B$16:$B$215,B88,$S$16:$S$215,"&gt;=0")&lt;2),"No Data Yet",IFERROR(IF(S88/AVERAGEIFS($S$16:$S$215,$B$16:$B$215,B88)&gt;=1.2,"Good",IF(S88/AVERAGEIFS($S$16:$S$215,$B$16:$B$215,B88)&gt;=0.8,"Average","Below Standard")),"Average")))</f>
        <v/>
      </c>
      <c r="U88" s="22" t="str">
        <f aca="false">IF(OR(A88="",B88="",C88=""),"",COUNTIFS('Who Engaged'!$C$5:$C$1004,C88,'Who Engaged'!$O$5:$O$1004,"Yes",'Who Engaged'!$M$5:$M$1004,1))</f>
        <v/>
      </c>
      <c r="V88" s="22" t="str">
        <f aca="false">IF(OR(A88="",B88="",C88=""),"",COUNTIFS('Who Engaged'!$C$5:$C$1004,C88,'Who Engaged'!$O$5:$O$1004,"Yes",'Who Engaged'!$L$5:$L$1004,1))</f>
        <v/>
      </c>
      <c r="W88" s="25" t="str">
        <f aca="false" t="array" ref="W88:W88">IF(OR(A88="",B88="",C88=""),"",_xlfn.TEXTJOIN("; ",TRUE(),IF(('Who Engaged'!$C$5:$C$1004=C88)*('Who Engaged'!$O$5:$O$1004="Yes"),'Who Engaged'!$D$5:$D$1004&amp;" – "&amp;'Who Engaged'!$F$5:$F$1004&amp;IF('Who Engaged'!$L$5:$L$1004=1," (followed)",""),"")))</f>
        <v/>
      </c>
      <c r="X88" s="26"/>
      <c r="Y88" s="26"/>
      <c r="Z88" s="27"/>
      <c r="AA88" s="24" t="str">
        <f aca="false">IF(OR(A88="",B88="",C88=""),"","https://www.alphanodus.com/contact?utm_source="&amp;IF(B88="X","twitter",LOWER(B88))&amp;"&amp;utm_medium=social&amp;utm_campaign="&amp;IF(E88="","general",LOWER(SUBSTITUTE(SUBSTITUTE(E88," / ","-")," ","-")))&amp;"&amp;utm_content="&amp;LOWER(C88))</f>
        <v/>
      </c>
    </row>
    <row r="89" customFormat="false" ht="15" hidden="false" customHeight="false" outlineLevel="0" collapsed="false">
      <c r="A89" s="28"/>
      <c r="B89" s="27"/>
      <c r="C89" s="27"/>
      <c r="D89" s="26"/>
      <c r="E89" s="27"/>
      <c r="F89" s="27"/>
      <c r="G89" s="27"/>
      <c r="H89" s="21"/>
      <c r="I89" s="21"/>
      <c r="J89" s="21"/>
      <c r="K89" s="21"/>
      <c r="L89" s="21"/>
      <c r="M89" s="21"/>
      <c r="N89" s="21"/>
      <c r="O89" s="21"/>
      <c r="P89" s="22" t="str">
        <f aca="false">IF(OR(A89="",B89="",C89=""),"",IF(COUNT(J89:N89)=0,"",SUM(J89:N89)))</f>
        <v/>
      </c>
      <c r="Q89" s="22" t="str">
        <f aca="false">IF(OR(A89="",B89="",C89=""),"",SUMIFS('Who Engaged'!$H$5:$H$1004,'Who Engaged'!$C$5:$C$1004,C89,'Who Engaged'!$N$5:$N$1004,"Yes")+SUMIFS('Who Engaged'!$I$5:$I$1004,'Who Engaged'!$C$5:$C$1004,C89,'Who Engaged'!$N$5:$N$1004,"Yes")+SUMIFS('Who Engaged'!$J$5:$J$1004,'Who Engaged'!$C$5:$C$1004,C89,'Who Engaged'!$N$5:$N$1004,"Yes")+SUMIFS('Who Engaged'!$K$5:$K$1004,'Who Engaged'!$C$5:$C$1004,C89,'Who Engaged'!$N$5:$N$1004,"Yes"))</f>
        <v/>
      </c>
      <c r="R89" s="22" t="str">
        <f aca="false">IF(OR(OR(A89="",B89="",C89=""),P89=""),"",MAX(0,P89-N(Q89)))</f>
        <v/>
      </c>
      <c r="S89" s="23" t="str">
        <f aca="false">IF(OR(OR(A89="",B89="",C89=""),R89=""),"",IFERROR(R89/(IF(N(H89)&gt;0,H89,IF(N(I89)&gt;0,I89,IF(COUNTIFS($B$16:$B$215,B89,$H$16:$H$215,"&gt;0")+COUNTIFS($B$16:$B$215,B89,$I$16:$I$215,"&gt;0")&gt;0,"",INDEX($B$5:$B$7,MATCH(B89,$A$5:$A$7,0)))))),""))</f>
        <v/>
      </c>
      <c r="T89" s="24" t="str">
        <f aca="false">IF(OR(A89="",B89="",C89=""),"",IF(OR(S89="",COUNTIFS($B$16:$B$215,B89,$S$16:$S$215,"&gt;=0")&lt;2),"No Data Yet",IFERROR(IF(S89/AVERAGEIFS($S$16:$S$215,$B$16:$B$215,B89)&gt;=1.2,"Good",IF(S89/AVERAGEIFS($S$16:$S$215,$B$16:$B$215,B89)&gt;=0.8,"Average","Below Standard")),"Average")))</f>
        <v/>
      </c>
      <c r="U89" s="22" t="str">
        <f aca="false">IF(OR(A89="",B89="",C89=""),"",COUNTIFS('Who Engaged'!$C$5:$C$1004,C89,'Who Engaged'!$O$5:$O$1004,"Yes",'Who Engaged'!$M$5:$M$1004,1))</f>
        <v/>
      </c>
      <c r="V89" s="22" t="str">
        <f aca="false">IF(OR(A89="",B89="",C89=""),"",COUNTIFS('Who Engaged'!$C$5:$C$1004,C89,'Who Engaged'!$O$5:$O$1004,"Yes",'Who Engaged'!$L$5:$L$1004,1))</f>
        <v/>
      </c>
      <c r="W89" s="25" t="str">
        <f aca="false" t="array" ref="W89:W89">IF(OR(A89="",B89="",C89=""),"",_xlfn.TEXTJOIN("; ",TRUE(),IF(('Who Engaged'!$C$5:$C$1004=C89)*('Who Engaged'!$O$5:$O$1004="Yes"),'Who Engaged'!$D$5:$D$1004&amp;" – "&amp;'Who Engaged'!$F$5:$F$1004&amp;IF('Who Engaged'!$L$5:$L$1004=1," (followed)",""),"")))</f>
        <v/>
      </c>
      <c r="X89" s="26"/>
      <c r="Y89" s="26"/>
      <c r="Z89" s="27"/>
      <c r="AA89" s="24" t="str">
        <f aca="false">IF(OR(A89="",B89="",C89=""),"","https://www.alphanodus.com/contact?utm_source="&amp;IF(B89="X","twitter",LOWER(B89))&amp;"&amp;utm_medium=social&amp;utm_campaign="&amp;IF(E89="","general",LOWER(SUBSTITUTE(SUBSTITUTE(E89," / ","-")," ","-")))&amp;"&amp;utm_content="&amp;LOWER(C89))</f>
        <v/>
      </c>
    </row>
    <row r="90" customFormat="false" ht="15" hidden="false" customHeight="false" outlineLevel="0" collapsed="false">
      <c r="A90" s="28"/>
      <c r="B90" s="27"/>
      <c r="C90" s="27"/>
      <c r="D90" s="26"/>
      <c r="E90" s="27"/>
      <c r="F90" s="27"/>
      <c r="G90" s="27"/>
      <c r="H90" s="21"/>
      <c r="I90" s="21"/>
      <c r="J90" s="21"/>
      <c r="K90" s="21"/>
      <c r="L90" s="21"/>
      <c r="M90" s="21"/>
      <c r="N90" s="21"/>
      <c r="O90" s="21"/>
      <c r="P90" s="22" t="str">
        <f aca="false">IF(OR(A90="",B90="",C90=""),"",IF(COUNT(J90:N90)=0,"",SUM(J90:N90)))</f>
        <v/>
      </c>
      <c r="Q90" s="22" t="str">
        <f aca="false">IF(OR(A90="",B90="",C90=""),"",SUMIFS('Who Engaged'!$H$5:$H$1004,'Who Engaged'!$C$5:$C$1004,C90,'Who Engaged'!$N$5:$N$1004,"Yes")+SUMIFS('Who Engaged'!$I$5:$I$1004,'Who Engaged'!$C$5:$C$1004,C90,'Who Engaged'!$N$5:$N$1004,"Yes")+SUMIFS('Who Engaged'!$J$5:$J$1004,'Who Engaged'!$C$5:$C$1004,C90,'Who Engaged'!$N$5:$N$1004,"Yes")+SUMIFS('Who Engaged'!$K$5:$K$1004,'Who Engaged'!$C$5:$C$1004,C90,'Who Engaged'!$N$5:$N$1004,"Yes"))</f>
        <v/>
      </c>
      <c r="R90" s="22" t="str">
        <f aca="false">IF(OR(OR(A90="",B90="",C90=""),P90=""),"",MAX(0,P90-N(Q90)))</f>
        <v/>
      </c>
      <c r="S90" s="23" t="str">
        <f aca="false">IF(OR(OR(A90="",B90="",C90=""),R90=""),"",IFERROR(R90/(IF(N(H90)&gt;0,H90,IF(N(I90)&gt;0,I90,IF(COUNTIFS($B$16:$B$215,B90,$H$16:$H$215,"&gt;0")+COUNTIFS($B$16:$B$215,B90,$I$16:$I$215,"&gt;0")&gt;0,"",INDEX($B$5:$B$7,MATCH(B90,$A$5:$A$7,0)))))),""))</f>
        <v/>
      </c>
      <c r="T90" s="24" t="str">
        <f aca="false">IF(OR(A90="",B90="",C90=""),"",IF(OR(S90="",COUNTIFS($B$16:$B$215,B90,$S$16:$S$215,"&gt;=0")&lt;2),"No Data Yet",IFERROR(IF(S90/AVERAGEIFS($S$16:$S$215,$B$16:$B$215,B90)&gt;=1.2,"Good",IF(S90/AVERAGEIFS($S$16:$S$215,$B$16:$B$215,B90)&gt;=0.8,"Average","Below Standard")),"Average")))</f>
        <v/>
      </c>
      <c r="U90" s="22" t="str">
        <f aca="false">IF(OR(A90="",B90="",C90=""),"",COUNTIFS('Who Engaged'!$C$5:$C$1004,C90,'Who Engaged'!$O$5:$O$1004,"Yes",'Who Engaged'!$M$5:$M$1004,1))</f>
        <v/>
      </c>
      <c r="V90" s="22" t="str">
        <f aca="false">IF(OR(A90="",B90="",C90=""),"",COUNTIFS('Who Engaged'!$C$5:$C$1004,C90,'Who Engaged'!$O$5:$O$1004,"Yes",'Who Engaged'!$L$5:$L$1004,1))</f>
        <v/>
      </c>
      <c r="W90" s="25" t="str">
        <f aca="false" t="array" ref="W90:W90">IF(OR(A90="",B90="",C90=""),"",_xlfn.TEXTJOIN("; ",TRUE(),IF(('Who Engaged'!$C$5:$C$1004=C90)*('Who Engaged'!$O$5:$O$1004="Yes"),'Who Engaged'!$D$5:$D$1004&amp;" – "&amp;'Who Engaged'!$F$5:$F$1004&amp;IF('Who Engaged'!$L$5:$L$1004=1," (followed)",""),"")))</f>
        <v/>
      </c>
      <c r="X90" s="26"/>
      <c r="Y90" s="26"/>
      <c r="Z90" s="27"/>
      <c r="AA90" s="24" t="str">
        <f aca="false">IF(OR(A90="",B90="",C90=""),"","https://www.alphanodus.com/contact?utm_source="&amp;IF(B90="X","twitter",LOWER(B90))&amp;"&amp;utm_medium=social&amp;utm_campaign="&amp;IF(E90="","general",LOWER(SUBSTITUTE(SUBSTITUTE(E90," / ","-")," ","-")))&amp;"&amp;utm_content="&amp;LOWER(C90))</f>
        <v/>
      </c>
    </row>
    <row r="91" customFormat="false" ht="15" hidden="false" customHeight="false" outlineLevel="0" collapsed="false">
      <c r="A91" s="28"/>
      <c r="B91" s="27"/>
      <c r="C91" s="27"/>
      <c r="D91" s="26"/>
      <c r="E91" s="27"/>
      <c r="F91" s="27"/>
      <c r="G91" s="27"/>
      <c r="H91" s="21"/>
      <c r="I91" s="21"/>
      <c r="J91" s="21"/>
      <c r="K91" s="21"/>
      <c r="L91" s="21"/>
      <c r="M91" s="21"/>
      <c r="N91" s="21"/>
      <c r="O91" s="21"/>
      <c r="P91" s="22" t="str">
        <f aca="false">IF(OR(A91="",B91="",C91=""),"",IF(COUNT(J91:N91)=0,"",SUM(J91:N91)))</f>
        <v/>
      </c>
      <c r="Q91" s="22" t="str">
        <f aca="false">IF(OR(A91="",B91="",C91=""),"",SUMIFS('Who Engaged'!$H$5:$H$1004,'Who Engaged'!$C$5:$C$1004,C91,'Who Engaged'!$N$5:$N$1004,"Yes")+SUMIFS('Who Engaged'!$I$5:$I$1004,'Who Engaged'!$C$5:$C$1004,C91,'Who Engaged'!$N$5:$N$1004,"Yes")+SUMIFS('Who Engaged'!$J$5:$J$1004,'Who Engaged'!$C$5:$C$1004,C91,'Who Engaged'!$N$5:$N$1004,"Yes")+SUMIFS('Who Engaged'!$K$5:$K$1004,'Who Engaged'!$C$5:$C$1004,C91,'Who Engaged'!$N$5:$N$1004,"Yes"))</f>
        <v/>
      </c>
      <c r="R91" s="22" t="str">
        <f aca="false">IF(OR(OR(A91="",B91="",C91=""),P91=""),"",MAX(0,P91-N(Q91)))</f>
        <v/>
      </c>
      <c r="S91" s="23" t="str">
        <f aca="false">IF(OR(OR(A91="",B91="",C91=""),R91=""),"",IFERROR(R91/(IF(N(H91)&gt;0,H91,IF(N(I91)&gt;0,I91,IF(COUNTIFS($B$16:$B$215,B91,$H$16:$H$215,"&gt;0")+COUNTIFS($B$16:$B$215,B91,$I$16:$I$215,"&gt;0")&gt;0,"",INDEX($B$5:$B$7,MATCH(B91,$A$5:$A$7,0)))))),""))</f>
        <v/>
      </c>
      <c r="T91" s="24" t="str">
        <f aca="false">IF(OR(A91="",B91="",C91=""),"",IF(OR(S91="",COUNTIFS($B$16:$B$215,B91,$S$16:$S$215,"&gt;=0")&lt;2),"No Data Yet",IFERROR(IF(S91/AVERAGEIFS($S$16:$S$215,$B$16:$B$215,B91)&gt;=1.2,"Good",IF(S91/AVERAGEIFS($S$16:$S$215,$B$16:$B$215,B91)&gt;=0.8,"Average","Below Standard")),"Average")))</f>
        <v/>
      </c>
      <c r="U91" s="22" t="str">
        <f aca="false">IF(OR(A91="",B91="",C91=""),"",COUNTIFS('Who Engaged'!$C$5:$C$1004,C91,'Who Engaged'!$O$5:$O$1004,"Yes",'Who Engaged'!$M$5:$M$1004,1))</f>
        <v/>
      </c>
      <c r="V91" s="22" t="str">
        <f aca="false">IF(OR(A91="",B91="",C91=""),"",COUNTIFS('Who Engaged'!$C$5:$C$1004,C91,'Who Engaged'!$O$5:$O$1004,"Yes",'Who Engaged'!$L$5:$L$1004,1))</f>
        <v/>
      </c>
      <c r="W91" s="25" t="str">
        <f aca="false" t="array" ref="W91:W91">IF(OR(A91="",B91="",C91=""),"",_xlfn.TEXTJOIN("; ",TRUE(),IF(('Who Engaged'!$C$5:$C$1004=C91)*('Who Engaged'!$O$5:$O$1004="Yes"),'Who Engaged'!$D$5:$D$1004&amp;" – "&amp;'Who Engaged'!$F$5:$F$1004&amp;IF('Who Engaged'!$L$5:$L$1004=1," (followed)",""),"")))</f>
        <v/>
      </c>
      <c r="X91" s="26"/>
      <c r="Y91" s="26"/>
      <c r="Z91" s="27"/>
      <c r="AA91" s="24" t="str">
        <f aca="false">IF(OR(A91="",B91="",C91=""),"","https://www.alphanodus.com/contact?utm_source="&amp;IF(B91="X","twitter",LOWER(B91))&amp;"&amp;utm_medium=social&amp;utm_campaign="&amp;IF(E91="","general",LOWER(SUBSTITUTE(SUBSTITUTE(E91," / ","-")," ","-")))&amp;"&amp;utm_content="&amp;LOWER(C91))</f>
        <v/>
      </c>
    </row>
    <row r="92" customFormat="false" ht="15" hidden="false" customHeight="false" outlineLevel="0" collapsed="false">
      <c r="A92" s="28"/>
      <c r="B92" s="27"/>
      <c r="C92" s="27"/>
      <c r="D92" s="26"/>
      <c r="E92" s="27"/>
      <c r="F92" s="27"/>
      <c r="G92" s="27"/>
      <c r="H92" s="21"/>
      <c r="I92" s="21"/>
      <c r="J92" s="21"/>
      <c r="K92" s="21"/>
      <c r="L92" s="21"/>
      <c r="M92" s="21"/>
      <c r="N92" s="21"/>
      <c r="O92" s="21"/>
      <c r="P92" s="22" t="str">
        <f aca="false">IF(OR(A92="",B92="",C92=""),"",IF(COUNT(J92:N92)=0,"",SUM(J92:N92)))</f>
        <v/>
      </c>
      <c r="Q92" s="22" t="str">
        <f aca="false">IF(OR(A92="",B92="",C92=""),"",SUMIFS('Who Engaged'!$H$5:$H$1004,'Who Engaged'!$C$5:$C$1004,C92,'Who Engaged'!$N$5:$N$1004,"Yes")+SUMIFS('Who Engaged'!$I$5:$I$1004,'Who Engaged'!$C$5:$C$1004,C92,'Who Engaged'!$N$5:$N$1004,"Yes")+SUMIFS('Who Engaged'!$J$5:$J$1004,'Who Engaged'!$C$5:$C$1004,C92,'Who Engaged'!$N$5:$N$1004,"Yes")+SUMIFS('Who Engaged'!$K$5:$K$1004,'Who Engaged'!$C$5:$C$1004,C92,'Who Engaged'!$N$5:$N$1004,"Yes"))</f>
        <v/>
      </c>
      <c r="R92" s="22" t="str">
        <f aca="false">IF(OR(OR(A92="",B92="",C92=""),P92=""),"",MAX(0,P92-N(Q92)))</f>
        <v/>
      </c>
      <c r="S92" s="23" t="str">
        <f aca="false">IF(OR(OR(A92="",B92="",C92=""),R92=""),"",IFERROR(R92/(IF(N(H92)&gt;0,H92,IF(N(I92)&gt;0,I92,IF(COUNTIFS($B$16:$B$215,B92,$H$16:$H$215,"&gt;0")+COUNTIFS($B$16:$B$215,B92,$I$16:$I$215,"&gt;0")&gt;0,"",INDEX($B$5:$B$7,MATCH(B92,$A$5:$A$7,0)))))),""))</f>
        <v/>
      </c>
      <c r="T92" s="24" t="str">
        <f aca="false">IF(OR(A92="",B92="",C92=""),"",IF(OR(S92="",COUNTIFS($B$16:$B$215,B92,$S$16:$S$215,"&gt;=0")&lt;2),"No Data Yet",IFERROR(IF(S92/AVERAGEIFS($S$16:$S$215,$B$16:$B$215,B92)&gt;=1.2,"Good",IF(S92/AVERAGEIFS($S$16:$S$215,$B$16:$B$215,B92)&gt;=0.8,"Average","Below Standard")),"Average")))</f>
        <v/>
      </c>
      <c r="U92" s="22" t="str">
        <f aca="false">IF(OR(A92="",B92="",C92=""),"",COUNTIFS('Who Engaged'!$C$5:$C$1004,C92,'Who Engaged'!$O$5:$O$1004,"Yes",'Who Engaged'!$M$5:$M$1004,1))</f>
        <v/>
      </c>
      <c r="V92" s="22" t="str">
        <f aca="false">IF(OR(A92="",B92="",C92=""),"",COUNTIFS('Who Engaged'!$C$5:$C$1004,C92,'Who Engaged'!$O$5:$O$1004,"Yes",'Who Engaged'!$L$5:$L$1004,1))</f>
        <v/>
      </c>
      <c r="W92" s="25" t="str">
        <f aca="false" t="array" ref="W92:W92">IF(OR(A92="",B92="",C92=""),"",_xlfn.TEXTJOIN("; ",TRUE(),IF(('Who Engaged'!$C$5:$C$1004=C92)*('Who Engaged'!$O$5:$O$1004="Yes"),'Who Engaged'!$D$5:$D$1004&amp;" – "&amp;'Who Engaged'!$F$5:$F$1004&amp;IF('Who Engaged'!$L$5:$L$1004=1," (followed)",""),"")))</f>
        <v/>
      </c>
      <c r="X92" s="26"/>
      <c r="Y92" s="26"/>
      <c r="Z92" s="27"/>
      <c r="AA92" s="24" t="str">
        <f aca="false">IF(OR(A92="",B92="",C92=""),"","https://www.alphanodus.com/contact?utm_source="&amp;IF(B92="X","twitter",LOWER(B92))&amp;"&amp;utm_medium=social&amp;utm_campaign="&amp;IF(E92="","general",LOWER(SUBSTITUTE(SUBSTITUTE(E92," / ","-")," ","-")))&amp;"&amp;utm_content="&amp;LOWER(C92))</f>
        <v/>
      </c>
    </row>
    <row r="93" customFormat="false" ht="15" hidden="false" customHeight="false" outlineLevel="0" collapsed="false">
      <c r="A93" s="28"/>
      <c r="B93" s="27"/>
      <c r="C93" s="27"/>
      <c r="D93" s="26"/>
      <c r="E93" s="27"/>
      <c r="F93" s="27"/>
      <c r="G93" s="27"/>
      <c r="H93" s="21"/>
      <c r="I93" s="21"/>
      <c r="J93" s="21"/>
      <c r="K93" s="21"/>
      <c r="L93" s="21"/>
      <c r="M93" s="21"/>
      <c r="N93" s="21"/>
      <c r="O93" s="21"/>
      <c r="P93" s="22" t="str">
        <f aca="false">IF(OR(A93="",B93="",C93=""),"",IF(COUNT(J93:N93)=0,"",SUM(J93:N93)))</f>
        <v/>
      </c>
      <c r="Q93" s="22" t="str">
        <f aca="false">IF(OR(A93="",B93="",C93=""),"",SUMIFS('Who Engaged'!$H$5:$H$1004,'Who Engaged'!$C$5:$C$1004,C93,'Who Engaged'!$N$5:$N$1004,"Yes")+SUMIFS('Who Engaged'!$I$5:$I$1004,'Who Engaged'!$C$5:$C$1004,C93,'Who Engaged'!$N$5:$N$1004,"Yes")+SUMIFS('Who Engaged'!$J$5:$J$1004,'Who Engaged'!$C$5:$C$1004,C93,'Who Engaged'!$N$5:$N$1004,"Yes")+SUMIFS('Who Engaged'!$K$5:$K$1004,'Who Engaged'!$C$5:$C$1004,C93,'Who Engaged'!$N$5:$N$1004,"Yes"))</f>
        <v/>
      </c>
      <c r="R93" s="22" t="str">
        <f aca="false">IF(OR(OR(A93="",B93="",C93=""),P93=""),"",MAX(0,P93-N(Q93)))</f>
        <v/>
      </c>
      <c r="S93" s="23" t="str">
        <f aca="false">IF(OR(OR(A93="",B93="",C93=""),R93=""),"",IFERROR(R93/(IF(N(H93)&gt;0,H93,IF(N(I93)&gt;0,I93,IF(COUNTIFS($B$16:$B$215,B93,$H$16:$H$215,"&gt;0")+COUNTIFS($B$16:$B$215,B93,$I$16:$I$215,"&gt;0")&gt;0,"",INDEX($B$5:$B$7,MATCH(B93,$A$5:$A$7,0)))))),""))</f>
        <v/>
      </c>
      <c r="T93" s="24" t="str">
        <f aca="false">IF(OR(A93="",B93="",C93=""),"",IF(OR(S93="",COUNTIFS($B$16:$B$215,B93,$S$16:$S$215,"&gt;=0")&lt;2),"No Data Yet",IFERROR(IF(S93/AVERAGEIFS($S$16:$S$215,$B$16:$B$215,B93)&gt;=1.2,"Good",IF(S93/AVERAGEIFS($S$16:$S$215,$B$16:$B$215,B93)&gt;=0.8,"Average","Below Standard")),"Average")))</f>
        <v/>
      </c>
      <c r="U93" s="22" t="str">
        <f aca="false">IF(OR(A93="",B93="",C93=""),"",COUNTIFS('Who Engaged'!$C$5:$C$1004,C93,'Who Engaged'!$O$5:$O$1004,"Yes",'Who Engaged'!$M$5:$M$1004,1))</f>
        <v/>
      </c>
      <c r="V93" s="22" t="str">
        <f aca="false">IF(OR(A93="",B93="",C93=""),"",COUNTIFS('Who Engaged'!$C$5:$C$1004,C93,'Who Engaged'!$O$5:$O$1004,"Yes",'Who Engaged'!$L$5:$L$1004,1))</f>
        <v/>
      </c>
      <c r="W93" s="25" t="str">
        <f aca="false" t="array" ref="W93:W93">IF(OR(A93="",B93="",C93=""),"",_xlfn.TEXTJOIN("; ",TRUE(),IF(('Who Engaged'!$C$5:$C$1004=C93)*('Who Engaged'!$O$5:$O$1004="Yes"),'Who Engaged'!$D$5:$D$1004&amp;" – "&amp;'Who Engaged'!$F$5:$F$1004&amp;IF('Who Engaged'!$L$5:$L$1004=1," (followed)",""),"")))</f>
        <v/>
      </c>
      <c r="X93" s="26"/>
      <c r="Y93" s="26"/>
      <c r="Z93" s="27"/>
      <c r="AA93" s="24" t="str">
        <f aca="false">IF(OR(A93="",B93="",C93=""),"","https://www.alphanodus.com/contact?utm_source="&amp;IF(B93="X","twitter",LOWER(B93))&amp;"&amp;utm_medium=social&amp;utm_campaign="&amp;IF(E93="","general",LOWER(SUBSTITUTE(SUBSTITUTE(E93," / ","-")," ","-")))&amp;"&amp;utm_content="&amp;LOWER(C93))</f>
        <v/>
      </c>
    </row>
    <row r="94" customFormat="false" ht="15" hidden="false" customHeight="false" outlineLevel="0" collapsed="false">
      <c r="A94" s="28"/>
      <c r="B94" s="27"/>
      <c r="C94" s="27"/>
      <c r="D94" s="26"/>
      <c r="E94" s="27"/>
      <c r="F94" s="27"/>
      <c r="G94" s="27"/>
      <c r="H94" s="21"/>
      <c r="I94" s="21"/>
      <c r="J94" s="21"/>
      <c r="K94" s="21"/>
      <c r="L94" s="21"/>
      <c r="M94" s="21"/>
      <c r="N94" s="21"/>
      <c r="O94" s="21"/>
      <c r="P94" s="22" t="str">
        <f aca="false">IF(OR(A94="",B94="",C94=""),"",IF(COUNT(J94:N94)=0,"",SUM(J94:N94)))</f>
        <v/>
      </c>
      <c r="Q94" s="22" t="str">
        <f aca="false">IF(OR(A94="",B94="",C94=""),"",SUMIFS('Who Engaged'!$H$5:$H$1004,'Who Engaged'!$C$5:$C$1004,C94,'Who Engaged'!$N$5:$N$1004,"Yes")+SUMIFS('Who Engaged'!$I$5:$I$1004,'Who Engaged'!$C$5:$C$1004,C94,'Who Engaged'!$N$5:$N$1004,"Yes")+SUMIFS('Who Engaged'!$J$5:$J$1004,'Who Engaged'!$C$5:$C$1004,C94,'Who Engaged'!$N$5:$N$1004,"Yes")+SUMIFS('Who Engaged'!$K$5:$K$1004,'Who Engaged'!$C$5:$C$1004,C94,'Who Engaged'!$N$5:$N$1004,"Yes"))</f>
        <v/>
      </c>
      <c r="R94" s="22" t="str">
        <f aca="false">IF(OR(OR(A94="",B94="",C94=""),P94=""),"",MAX(0,P94-N(Q94)))</f>
        <v/>
      </c>
      <c r="S94" s="23" t="str">
        <f aca="false">IF(OR(OR(A94="",B94="",C94=""),R94=""),"",IFERROR(R94/(IF(N(H94)&gt;0,H94,IF(N(I94)&gt;0,I94,IF(COUNTIFS($B$16:$B$215,B94,$H$16:$H$215,"&gt;0")+COUNTIFS($B$16:$B$215,B94,$I$16:$I$215,"&gt;0")&gt;0,"",INDEX($B$5:$B$7,MATCH(B94,$A$5:$A$7,0)))))),""))</f>
        <v/>
      </c>
      <c r="T94" s="24" t="str">
        <f aca="false">IF(OR(A94="",B94="",C94=""),"",IF(OR(S94="",COUNTIFS($B$16:$B$215,B94,$S$16:$S$215,"&gt;=0")&lt;2),"No Data Yet",IFERROR(IF(S94/AVERAGEIFS($S$16:$S$215,$B$16:$B$215,B94)&gt;=1.2,"Good",IF(S94/AVERAGEIFS($S$16:$S$215,$B$16:$B$215,B94)&gt;=0.8,"Average","Below Standard")),"Average")))</f>
        <v/>
      </c>
      <c r="U94" s="22" t="str">
        <f aca="false">IF(OR(A94="",B94="",C94=""),"",COUNTIFS('Who Engaged'!$C$5:$C$1004,C94,'Who Engaged'!$O$5:$O$1004,"Yes",'Who Engaged'!$M$5:$M$1004,1))</f>
        <v/>
      </c>
      <c r="V94" s="22" t="str">
        <f aca="false">IF(OR(A94="",B94="",C94=""),"",COUNTIFS('Who Engaged'!$C$5:$C$1004,C94,'Who Engaged'!$O$5:$O$1004,"Yes",'Who Engaged'!$L$5:$L$1004,1))</f>
        <v/>
      </c>
      <c r="W94" s="25" t="str">
        <f aca="false" t="array" ref="W94:W94">IF(OR(A94="",B94="",C94=""),"",_xlfn.TEXTJOIN("; ",TRUE(),IF(('Who Engaged'!$C$5:$C$1004=C94)*('Who Engaged'!$O$5:$O$1004="Yes"),'Who Engaged'!$D$5:$D$1004&amp;" – "&amp;'Who Engaged'!$F$5:$F$1004&amp;IF('Who Engaged'!$L$5:$L$1004=1," (followed)",""),"")))</f>
        <v/>
      </c>
      <c r="X94" s="26"/>
      <c r="Y94" s="26"/>
      <c r="Z94" s="27"/>
      <c r="AA94" s="24" t="str">
        <f aca="false">IF(OR(A94="",B94="",C94=""),"","https://www.alphanodus.com/contact?utm_source="&amp;IF(B94="X","twitter",LOWER(B94))&amp;"&amp;utm_medium=social&amp;utm_campaign="&amp;IF(E94="","general",LOWER(SUBSTITUTE(SUBSTITUTE(E94," / ","-")," ","-")))&amp;"&amp;utm_content="&amp;LOWER(C94))</f>
        <v/>
      </c>
    </row>
    <row r="95" customFormat="false" ht="15" hidden="false" customHeight="false" outlineLevel="0" collapsed="false">
      <c r="A95" s="28"/>
      <c r="B95" s="27"/>
      <c r="C95" s="27"/>
      <c r="D95" s="26"/>
      <c r="E95" s="27"/>
      <c r="F95" s="27"/>
      <c r="G95" s="27"/>
      <c r="H95" s="21"/>
      <c r="I95" s="21"/>
      <c r="J95" s="21"/>
      <c r="K95" s="21"/>
      <c r="L95" s="21"/>
      <c r="M95" s="21"/>
      <c r="N95" s="21"/>
      <c r="O95" s="21"/>
      <c r="P95" s="22" t="str">
        <f aca="false">IF(OR(A95="",B95="",C95=""),"",IF(COUNT(J95:N95)=0,"",SUM(J95:N95)))</f>
        <v/>
      </c>
      <c r="Q95" s="22" t="str">
        <f aca="false">IF(OR(A95="",B95="",C95=""),"",SUMIFS('Who Engaged'!$H$5:$H$1004,'Who Engaged'!$C$5:$C$1004,C95,'Who Engaged'!$N$5:$N$1004,"Yes")+SUMIFS('Who Engaged'!$I$5:$I$1004,'Who Engaged'!$C$5:$C$1004,C95,'Who Engaged'!$N$5:$N$1004,"Yes")+SUMIFS('Who Engaged'!$J$5:$J$1004,'Who Engaged'!$C$5:$C$1004,C95,'Who Engaged'!$N$5:$N$1004,"Yes")+SUMIFS('Who Engaged'!$K$5:$K$1004,'Who Engaged'!$C$5:$C$1004,C95,'Who Engaged'!$N$5:$N$1004,"Yes"))</f>
        <v/>
      </c>
      <c r="R95" s="22" t="str">
        <f aca="false">IF(OR(OR(A95="",B95="",C95=""),P95=""),"",MAX(0,P95-N(Q95)))</f>
        <v/>
      </c>
      <c r="S95" s="23" t="str">
        <f aca="false">IF(OR(OR(A95="",B95="",C95=""),R95=""),"",IFERROR(R95/(IF(N(H95)&gt;0,H95,IF(N(I95)&gt;0,I95,IF(COUNTIFS($B$16:$B$215,B95,$H$16:$H$215,"&gt;0")+COUNTIFS($B$16:$B$215,B95,$I$16:$I$215,"&gt;0")&gt;0,"",INDEX($B$5:$B$7,MATCH(B95,$A$5:$A$7,0)))))),""))</f>
        <v/>
      </c>
      <c r="T95" s="24" t="str">
        <f aca="false">IF(OR(A95="",B95="",C95=""),"",IF(OR(S95="",COUNTIFS($B$16:$B$215,B95,$S$16:$S$215,"&gt;=0")&lt;2),"No Data Yet",IFERROR(IF(S95/AVERAGEIFS($S$16:$S$215,$B$16:$B$215,B95)&gt;=1.2,"Good",IF(S95/AVERAGEIFS($S$16:$S$215,$B$16:$B$215,B95)&gt;=0.8,"Average","Below Standard")),"Average")))</f>
        <v/>
      </c>
      <c r="U95" s="22" t="str">
        <f aca="false">IF(OR(A95="",B95="",C95=""),"",COUNTIFS('Who Engaged'!$C$5:$C$1004,C95,'Who Engaged'!$O$5:$O$1004,"Yes",'Who Engaged'!$M$5:$M$1004,1))</f>
        <v/>
      </c>
      <c r="V95" s="22" t="str">
        <f aca="false">IF(OR(A95="",B95="",C95=""),"",COUNTIFS('Who Engaged'!$C$5:$C$1004,C95,'Who Engaged'!$O$5:$O$1004,"Yes",'Who Engaged'!$L$5:$L$1004,1))</f>
        <v/>
      </c>
      <c r="W95" s="25" t="str">
        <f aca="false" t="array" ref="W95:W95">IF(OR(A95="",B95="",C95=""),"",_xlfn.TEXTJOIN("; ",TRUE(),IF(('Who Engaged'!$C$5:$C$1004=C95)*('Who Engaged'!$O$5:$O$1004="Yes"),'Who Engaged'!$D$5:$D$1004&amp;" – "&amp;'Who Engaged'!$F$5:$F$1004&amp;IF('Who Engaged'!$L$5:$L$1004=1," (followed)",""),"")))</f>
        <v/>
      </c>
      <c r="X95" s="26"/>
      <c r="Y95" s="26"/>
      <c r="Z95" s="27"/>
      <c r="AA95" s="24" t="str">
        <f aca="false">IF(OR(A95="",B95="",C95=""),"","https://www.alphanodus.com/contact?utm_source="&amp;IF(B95="X","twitter",LOWER(B95))&amp;"&amp;utm_medium=social&amp;utm_campaign="&amp;IF(E95="","general",LOWER(SUBSTITUTE(SUBSTITUTE(E95," / ","-")," ","-")))&amp;"&amp;utm_content="&amp;LOWER(C95))</f>
        <v/>
      </c>
    </row>
    <row r="96" customFormat="false" ht="15" hidden="false" customHeight="false" outlineLevel="0" collapsed="false">
      <c r="A96" s="28"/>
      <c r="B96" s="27"/>
      <c r="C96" s="27"/>
      <c r="D96" s="26"/>
      <c r="E96" s="27"/>
      <c r="F96" s="27"/>
      <c r="G96" s="27"/>
      <c r="H96" s="21"/>
      <c r="I96" s="21"/>
      <c r="J96" s="21"/>
      <c r="K96" s="21"/>
      <c r="L96" s="21"/>
      <c r="M96" s="21"/>
      <c r="N96" s="21"/>
      <c r="O96" s="21"/>
      <c r="P96" s="22" t="str">
        <f aca="false">IF(OR(A96="",B96="",C96=""),"",IF(COUNT(J96:N96)=0,"",SUM(J96:N96)))</f>
        <v/>
      </c>
      <c r="Q96" s="22" t="str">
        <f aca="false">IF(OR(A96="",B96="",C96=""),"",SUMIFS('Who Engaged'!$H$5:$H$1004,'Who Engaged'!$C$5:$C$1004,C96,'Who Engaged'!$N$5:$N$1004,"Yes")+SUMIFS('Who Engaged'!$I$5:$I$1004,'Who Engaged'!$C$5:$C$1004,C96,'Who Engaged'!$N$5:$N$1004,"Yes")+SUMIFS('Who Engaged'!$J$5:$J$1004,'Who Engaged'!$C$5:$C$1004,C96,'Who Engaged'!$N$5:$N$1004,"Yes")+SUMIFS('Who Engaged'!$K$5:$K$1004,'Who Engaged'!$C$5:$C$1004,C96,'Who Engaged'!$N$5:$N$1004,"Yes"))</f>
        <v/>
      </c>
      <c r="R96" s="22" t="str">
        <f aca="false">IF(OR(OR(A96="",B96="",C96=""),P96=""),"",MAX(0,P96-N(Q96)))</f>
        <v/>
      </c>
      <c r="S96" s="23" t="str">
        <f aca="false">IF(OR(OR(A96="",B96="",C96=""),R96=""),"",IFERROR(R96/(IF(N(H96)&gt;0,H96,IF(N(I96)&gt;0,I96,IF(COUNTIFS($B$16:$B$215,B96,$H$16:$H$215,"&gt;0")+COUNTIFS($B$16:$B$215,B96,$I$16:$I$215,"&gt;0")&gt;0,"",INDEX($B$5:$B$7,MATCH(B96,$A$5:$A$7,0)))))),""))</f>
        <v/>
      </c>
      <c r="T96" s="24" t="str">
        <f aca="false">IF(OR(A96="",B96="",C96=""),"",IF(OR(S96="",COUNTIFS($B$16:$B$215,B96,$S$16:$S$215,"&gt;=0")&lt;2),"No Data Yet",IFERROR(IF(S96/AVERAGEIFS($S$16:$S$215,$B$16:$B$215,B96)&gt;=1.2,"Good",IF(S96/AVERAGEIFS($S$16:$S$215,$B$16:$B$215,B96)&gt;=0.8,"Average","Below Standard")),"Average")))</f>
        <v/>
      </c>
      <c r="U96" s="22" t="str">
        <f aca="false">IF(OR(A96="",B96="",C96=""),"",COUNTIFS('Who Engaged'!$C$5:$C$1004,C96,'Who Engaged'!$O$5:$O$1004,"Yes",'Who Engaged'!$M$5:$M$1004,1))</f>
        <v/>
      </c>
      <c r="V96" s="22" t="str">
        <f aca="false">IF(OR(A96="",B96="",C96=""),"",COUNTIFS('Who Engaged'!$C$5:$C$1004,C96,'Who Engaged'!$O$5:$O$1004,"Yes",'Who Engaged'!$L$5:$L$1004,1))</f>
        <v/>
      </c>
      <c r="W96" s="25" t="str">
        <f aca="false" t="array" ref="W96:W96">IF(OR(A96="",B96="",C96=""),"",_xlfn.TEXTJOIN("; ",TRUE(),IF(('Who Engaged'!$C$5:$C$1004=C96)*('Who Engaged'!$O$5:$O$1004="Yes"),'Who Engaged'!$D$5:$D$1004&amp;" – "&amp;'Who Engaged'!$F$5:$F$1004&amp;IF('Who Engaged'!$L$5:$L$1004=1," (followed)",""),"")))</f>
        <v/>
      </c>
      <c r="X96" s="26"/>
      <c r="Y96" s="26"/>
      <c r="Z96" s="27"/>
      <c r="AA96" s="24" t="str">
        <f aca="false">IF(OR(A96="",B96="",C96=""),"","https://www.alphanodus.com/contact?utm_source="&amp;IF(B96="X","twitter",LOWER(B96))&amp;"&amp;utm_medium=social&amp;utm_campaign="&amp;IF(E96="","general",LOWER(SUBSTITUTE(SUBSTITUTE(E96," / ","-")," ","-")))&amp;"&amp;utm_content="&amp;LOWER(C96))</f>
        <v/>
      </c>
    </row>
    <row r="97" customFormat="false" ht="15" hidden="false" customHeight="false" outlineLevel="0" collapsed="false">
      <c r="A97" s="28"/>
      <c r="B97" s="27"/>
      <c r="C97" s="27"/>
      <c r="D97" s="26"/>
      <c r="E97" s="27"/>
      <c r="F97" s="27"/>
      <c r="G97" s="27"/>
      <c r="H97" s="21"/>
      <c r="I97" s="21"/>
      <c r="J97" s="21"/>
      <c r="K97" s="21"/>
      <c r="L97" s="21"/>
      <c r="M97" s="21"/>
      <c r="N97" s="21"/>
      <c r="O97" s="21"/>
      <c r="P97" s="22" t="str">
        <f aca="false">IF(OR(A97="",B97="",C97=""),"",IF(COUNT(J97:N97)=0,"",SUM(J97:N97)))</f>
        <v/>
      </c>
      <c r="Q97" s="22" t="str">
        <f aca="false">IF(OR(A97="",B97="",C97=""),"",SUMIFS('Who Engaged'!$H$5:$H$1004,'Who Engaged'!$C$5:$C$1004,C97,'Who Engaged'!$N$5:$N$1004,"Yes")+SUMIFS('Who Engaged'!$I$5:$I$1004,'Who Engaged'!$C$5:$C$1004,C97,'Who Engaged'!$N$5:$N$1004,"Yes")+SUMIFS('Who Engaged'!$J$5:$J$1004,'Who Engaged'!$C$5:$C$1004,C97,'Who Engaged'!$N$5:$N$1004,"Yes")+SUMIFS('Who Engaged'!$K$5:$K$1004,'Who Engaged'!$C$5:$C$1004,C97,'Who Engaged'!$N$5:$N$1004,"Yes"))</f>
        <v/>
      </c>
      <c r="R97" s="22" t="str">
        <f aca="false">IF(OR(OR(A97="",B97="",C97=""),P97=""),"",MAX(0,P97-N(Q97)))</f>
        <v/>
      </c>
      <c r="S97" s="23" t="str">
        <f aca="false">IF(OR(OR(A97="",B97="",C97=""),R97=""),"",IFERROR(R97/(IF(N(H97)&gt;0,H97,IF(N(I97)&gt;0,I97,IF(COUNTIFS($B$16:$B$215,B97,$H$16:$H$215,"&gt;0")+COUNTIFS($B$16:$B$215,B97,$I$16:$I$215,"&gt;0")&gt;0,"",INDEX($B$5:$B$7,MATCH(B97,$A$5:$A$7,0)))))),""))</f>
        <v/>
      </c>
      <c r="T97" s="24" t="str">
        <f aca="false">IF(OR(A97="",B97="",C97=""),"",IF(OR(S97="",COUNTIFS($B$16:$B$215,B97,$S$16:$S$215,"&gt;=0")&lt;2),"No Data Yet",IFERROR(IF(S97/AVERAGEIFS($S$16:$S$215,$B$16:$B$215,B97)&gt;=1.2,"Good",IF(S97/AVERAGEIFS($S$16:$S$215,$B$16:$B$215,B97)&gt;=0.8,"Average","Below Standard")),"Average")))</f>
        <v/>
      </c>
      <c r="U97" s="22" t="str">
        <f aca="false">IF(OR(A97="",B97="",C97=""),"",COUNTIFS('Who Engaged'!$C$5:$C$1004,C97,'Who Engaged'!$O$5:$O$1004,"Yes",'Who Engaged'!$M$5:$M$1004,1))</f>
        <v/>
      </c>
      <c r="V97" s="22" t="str">
        <f aca="false">IF(OR(A97="",B97="",C97=""),"",COUNTIFS('Who Engaged'!$C$5:$C$1004,C97,'Who Engaged'!$O$5:$O$1004,"Yes",'Who Engaged'!$L$5:$L$1004,1))</f>
        <v/>
      </c>
      <c r="W97" s="25" t="str">
        <f aca="false" t="array" ref="W97:W97">IF(OR(A97="",B97="",C97=""),"",_xlfn.TEXTJOIN("; ",TRUE(),IF(('Who Engaged'!$C$5:$C$1004=C97)*('Who Engaged'!$O$5:$O$1004="Yes"),'Who Engaged'!$D$5:$D$1004&amp;" – "&amp;'Who Engaged'!$F$5:$F$1004&amp;IF('Who Engaged'!$L$5:$L$1004=1," (followed)",""),"")))</f>
        <v/>
      </c>
      <c r="X97" s="26"/>
      <c r="Y97" s="26"/>
      <c r="Z97" s="27"/>
      <c r="AA97" s="24" t="str">
        <f aca="false">IF(OR(A97="",B97="",C97=""),"","https://www.alphanodus.com/contact?utm_source="&amp;IF(B97="X","twitter",LOWER(B97))&amp;"&amp;utm_medium=social&amp;utm_campaign="&amp;IF(E97="","general",LOWER(SUBSTITUTE(SUBSTITUTE(E97," / ","-")," ","-")))&amp;"&amp;utm_content="&amp;LOWER(C97))</f>
        <v/>
      </c>
    </row>
    <row r="98" customFormat="false" ht="15" hidden="false" customHeight="false" outlineLevel="0" collapsed="false">
      <c r="A98" s="28"/>
      <c r="B98" s="27"/>
      <c r="C98" s="27"/>
      <c r="D98" s="26"/>
      <c r="E98" s="27"/>
      <c r="F98" s="27"/>
      <c r="G98" s="27"/>
      <c r="H98" s="21"/>
      <c r="I98" s="21"/>
      <c r="J98" s="21"/>
      <c r="K98" s="21"/>
      <c r="L98" s="21"/>
      <c r="M98" s="21"/>
      <c r="N98" s="21"/>
      <c r="O98" s="21"/>
      <c r="P98" s="22" t="str">
        <f aca="false">IF(OR(A98="",B98="",C98=""),"",IF(COUNT(J98:N98)=0,"",SUM(J98:N98)))</f>
        <v/>
      </c>
      <c r="Q98" s="22" t="str">
        <f aca="false">IF(OR(A98="",B98="",C98=""),"",SUMIFS('Who Engaged'!$H$5:$H$1004,'Who Engaged'!$C$5:$C$1004,C98,'Who Engaged'!$N$5:$N$1004,"Yes")+SUMIFS('Who Engaged'!$I$5:$I$1004,'Who Engaged'!$C$5:$C$1004,C98,'Who Engaged'!$N$5:$N$1004,"Yes")+SUMIFS('Who Engaged'!$J$5:$J$1004,'Who Engaged'!$C$5:$C$1004,C98,'Who Engaged'!$N$5:$N$1004,"Yes")+SUMIFS('Who Engaged'!$K$5:$K$1004,'Who Engaged'!$C$5:$C$1004,C98,'Who Engaged'!$N$5:$N$1004,"Yes"))</f>
        <v/>
      </c>
      <c r="R98" s="22" t="str">
        <f aca="false">IF(OR(OR(A98="",B98="",C98=""),P98=""),"",MAX(0,P98-N(Q98)))</f>
        <v/>
      </c>
      <c r="S98" s="23" t="str">
        <f aca="false">IF(OR(OR(A98="",B98="",C98=""),R98=""),"",IFERROR(R98/(IF(N(H98)&gt;0,H98,IF(N(I98)&gt;0,I98,IF(COUNTIFS($B$16:$B$215,B98,$H$16:$H$215,"&gt;0")+COUNTIFS($B$16:$B$215,B98,$I$16:$I$215,"&gt;0")&gt;0,"",INDEX($B$5:$B$7,MATCH(B98,$A$5:$A$7,0)))))),""))</f>
        <v/>
      </c>
      <c r="T98" s="24" t="str">
        <f aca="false">IF(OR(A98="",B98="",C98=""),"",IF(OR(S98="",COUNTIFS($B$16:$B$215,B98,$S$16:$S$215,"&gt;=0")&lt;2),"No Data Yet",IFERROR(IF(S98/AVERAGEIFS($S$16:$S$215,$B$16:$B$215,B98)&gt;=1.2,"Good",IF(S98/AVERAGEIFS($S$16:$S$215,$B$16:$B$215,B98)&gt;=0.8,"Average","Below Standard")),"Average")))</f>
        <v/>
      </c>
      <c r="U98" s="22" t="str">
        <f aca="false">IF(OR(A98="",B98="",C98=""),"",COUNTIFS('Who Engaged'!$C$5:$C$1004,C98,'Who Engaged'!$O$5:$O$1004,"Yes",'Who Engaged'!$M$5:$M$1004,1))</f>
        <v/>
      </c>
      <c r="V98" s="22" t="str">
        <f aca="false">IF(OR(A98="",B98="",C98=""),"",COUNTIFS('Who Engaged'!$C$5:$C$1004,C98,'Who Engaged'!$O$5:$O$1004,"Yes",'Who Engaged'!$L$5:$L$1004,1))</f>
        <v/>
      </c>
      <c r="W98" s="25" t="str">
        <f aca="false" t="array" ref="W98:W98">IF(OR(A98="",B98="",C98=""),"",_xlfn.TEXTJOIN("; ",TRUE(),IF(('Who Engaged'!$C$5:$C$1004=C98)*('Who Engaged'!$O$5:$O$1004="Yes"),'Who Engaged'!$D$5:$D$1004&amp;" – "&amp;'Who Engaged'!$F$5:$F$1004&amp;IF('Who Engaged'!$L$5:$L$1004=1," (followed)",""),"")))</f>
        <v/>
      </c>
      <c r="X98" s="26"/>
      <c r="Y98" s="26"/>
      <c r="Z98" s="27"/>
      <c r="AA98" s="24" t="str">
        <f aca="false">IF(OR(A98="",B98="",C98=""),"","https://www.alphanodus.com/contact?utm_source="&amp;IF(B98="X","twitter",LOWER(B98))&amp;"&amp;utm_medium=social&amp;utm_campaign="&amp;IF(E98="","general",LOWER(SUBSTITUTE(SUBSTITUTE(E98," / ","-")," ","-")))&amp;"&amp;utm_content="&amp;LOWER(C98))</f>
        <v/>
      </c>
    </row>
    <row r="99" customFormat="false" ht="15" hidden="false" customHeight="false" outlineLevel="0" collapsed="false">
      <c r="A99" s="28"/>
      <c r="B99" s="27"/>
      <c r="C99" s="27"/>
      <c r="D99" s="26"/>
      <c r="E99" s="27"/>
      <c r="F99" s="27"/>
      <c r="G99" s="27"/>
      <c r="H99" s="21"/>
      <c r="I99" s="21"/>
      <c r="J99" s="21"/>
      <c r="K99" s="21"/>
      <c r="L99" s="21"/>
      <c r="M99" s="21"/>
      <c r="N99" s="21"/>
      <c r="O99" s="21"/>
      <c r="P99" s="22" t="str">
        <f aca="false">IF(OR(A99="",B99="",C99=""),"",IF(COUNT(J99:N99)=0,"",SUM(J99:N99)))</f>
        <v/>
      </c>
      <c r="Q99" s="22" t="str">
        <f aca="false">IF(OR(A99="",B99="",C99=""),"",SUMIFS('Who Engaged'!$H$5:$H$1004,'Who Engaged'!$C$5:$C$1004,C99,'Who Engaged'!$N$5:$N$1004,"Yes")+SUMIFS('Who Engaged'!$I$5:$I$1004,'Who Engaged'!$C$5:$C$1004,C99,'Who Engaged'!$N$5:$N$1004,"Yes")+SUMIFS('Who Engaged'!$J$5:$J$1004,'Who Engaged'!$C$5:$C$1004,C99,'Who Engaged'!$N$5:$N$1004,"Yes")+SUMIFS('Who Engaged'!$K$5:$K$1004,'Who Engaged'!$C$5:$C$1004,C99,'Who Engaged'!$N$5:$N$1004,"Yes"))</f>
        <v/>
      </c>
      <c r="R99" s="22" t="str">
        <f aca="false">IF(OR(OR(A99="",B99="",C99=""),P99=""),"",MAX(0,P99-N(Q99)))</f>
        <v/>
      </c>
      <c r="S99" s="23" t="str">
        <f aca="false">IF(OR(OR(A99="",B99="",C99=""),R99=""),"",IFERROR(R99/(IF(N(H99)&gt;0,H99,IF(N(I99)&gt;0,I99,IF(COUNTIFS($B$16:$B$215,B99,$H$16:$H$215,"&gt;0")+COUNTIFS($B$16:$B$215,B99,$I$16:$I$215,"&gt;0")&gt;0,"",INDEX($B$5:$B$7,MATCH(B99,$A$5:$A$7,0)))))),""))</f>
        <v/>
      </c>
      <c r="T99" s="24" t="str">
        <f aca="false">IF(OR(A99="",B99="",C99=""),"",IF(OR(S99="",COUNTIFS($B$16:$B$215,B99,$S$16:$S$215,"&gt;=0")&lt;2),"No Data Yet",IFERROR(IF(S99/AVERAGEIFS($S$16:$S$215,$B$16:$B$215,B99)&gt;=1.2,"Good",IF(S99/AVERAGEIFS($S$16:$S$215,$B$16:$B$215,B99)&gt;=0.8,"Average","Below Standard")),"Average")))</f>
        <v/>
      </c>
      <c r="U99" s="22" t="str">
        <f aca="false">IF(OR(A99="",B99="",C99=""),"",COUNTIFS('Who Engaged'!$C$5:$C$1004,C99,'Who Engaged'!$O$5:$O$1004,"Yes",'Who Engaged'!$M$5:$M$1004,1))</f>
        <v/>
      </c>
      <c r="V99" s="22" t="str">
        <f aca="false">IF(OR(A99="",B99="",C99=""),"",COUNTIFS('Who Engaged'!$C$5:$C$1004,C99,'Who Engaged'!$O$5:$O$1004,"Yes",'Who Engaged'!$L$5:$L$1004,1))</f>
        <v/>
      </c>
      <c r="W99" s="25" t="str">
        <f aca="false" t="array" ref="W99:W99">IF(OR(A99="",B99="",C99=""),"",_xlfn.TEXTJOIN("; ",TRUE(),IF(('Who Engaged'!$C$5:$C$1004=C99)*('Who Engaged'!$O$5:$O$1004="Yes"),'Who Engaged'!$D$5:$D$1004&amp;" – "&amp;'Who Engaged'!$F$5:$F$1004&amp;IF('Who Engaged'!$L$5:$L$1004=1," (followed)",""),"")))</f>
        <v/>
      </c>
      <c r="X99" s="26"/>
      <c r="Y99" s="26"/>
      <c r="Z99" s="27"/>
      <c r="AA99" s="24" t="str">
        <f aca="false">IF(OR(A99="",B99="",C99=""),"","https://www.alphanodus.com/contact?utm_source="&amp;IF(B99="X","twitter",LOWER(B99))&amp;"&amp;utm_medium=social&amp;utm_campaign="&amp;IF(E99="","general",LOWER(SUBSTITUTE(SUBSTITUTE(E99," / ","-")," ","-")))&amp;"&amp;utm_content="&amp;LOWER(C99))</f>
        <v/>
      </c>
    </row>
    <row r="100" customFormat="false" ht="15" hidden="false" customHeight="false" outlineLevel="0" collapsed="false">
      <c r="A100" s="28"/>
      <c r="B100" s="27"/>
      <c r="C100" s="27"/>
      <c r="D100" s="26"/>
      <c r="E100" s="27"/>
      <c r="F100" s="27"/>
      <c r="G100" s="27"/>
      <c r="H100" s="21"/>
      <c r="I100" s="21"/>
      <c r="J100" s="21"/>
      <c r="K100" s="21"/>
      <c r="L100" s="21"/>
      <c r="M100" s="21"/>
      <c r="N100" s="21"/>
      <c r="O100" s="21"/>
      <c r="P100" s="22" t="str">
        <f aca="false">IF(OR(A100="",B100="",C100=""),"",IF(COUNT(J100:N100)=0,"",SUM(J100:N100)))</f>
        <v/>
      </c>
      <c r="Q100" s="22" t="str">
        <f aca="false">IF(OR(A100="",B100="",C100=""),"",SUMIFS('Who Engaged'!$H$5:$H$1004,'Who Engaged'!$C$5:$C$1004,C100,'Who Engaged'!$N$5:$N$1004,"Yes")+SUMIFS('Who Engaged'!$I$5:$I$1004,'Who Engaged'!$C$5:$C$1004,C100,'Who Engaged'!$N$5:$N$1004,"Yes")+SUMIFS('Who Engaged'!$J$5:$J$1004,'Who Engaged'!$C$5:$C$1004,C100,'Who Engaged'!$N$5:$N$1004,"Yes")+SUMIFS('Who Engaged'!$K$5:$K$1004,'Who Engaged'!$C$5:$C$1004,C100,'Who Engaged'!$N$5:$N$1004,"Yes"))</f>
        <v/>
      </c>
      <c r="R100" s="22" t="str">
        <f aca="false">IF(OR(OR(A100="",B100="",C100=""),P100=""),"",MAX(0,P100-N(Q100)))</f>
        <v/>
      </c>
      <c r="S100" s="23" t="str">
        <f aca="false">IF(OR(OR(A100="",B100="",C100=""),R100=""),"",IFERROR(R100/(IF(N(H100)&gt;0,H100,IF(N(I100)&gt;0,I100,IF(COUNTIFS($B$16:$B$215,B100,$H$16:$H$215,"&gt;0")+COUNTIFS($B$16:$B$215,B100,$I$16:$I$215,"&gt;0")&gt;0,"",INDEX($B$5:$B$7,MATCH(B100,$A$5:$A$7,0)))))),""))</f>
        <v/>
      </c>
      <c r="T100" s="24" t="str">
        <f aca="false">IF(OR(A100="",B100="",C100=""),"",IF(OR(S100="",COUNTIFS($B$16:$B$215,B100,$S$16:$S$215,"&gt;=0")&lt;2),"No Data Yet",IFERROR(IF(S100/AVERAGEIFS($S$16:$S$215,$B$16:$B$215,B100)&gt;=1.2,"Good",IF(S100/AVERAGEIFS($S$16:$S$215,$B$16:$B$215,B100)&gt;=0.8,"Average","Below Standard")),"Average")))</f>
        <v/>
      </c>
      <c r="U100" s="22" t="str">
        <f aca="false">IF(OR(A100="",B100="",C100=""),"",COUNTIFS('Who Engaged'!$C$5:$C$1004,C100,'Who Engaged'!$O$5:$O$1004,"Yes",'Who Engaged'!$M$5:$M$1004,1))</f>
        <v/>
      </c>
      <c r="V100" s="22" t="str">
        <f aca="false">IF(OR(A100="",B100="",C100=""),"",COUNTIFS('Who Engaged'!$C$5:$C$1004,C100,'Who Engaged'!$O$5:$O$1004,"Yes",'Who Engaged'!$L$5:$L$1004,1))</f>
        <v/>
      </c>
      <c r="W100" s="25" t="str">
        <f aca="false" t="array" ref="W100:W100">IF(OR(A100="",B100="",C100=""),"",_xlfn.TEXTJOIN("; ",TRUE(),IF(('Who Engaged'!$C$5:$C$1004=C100)*('Who Engaged'!$O$5:$O$1004="Yes"),'Who Engaged'!$D$5:$D$1004&amp;" – "&amp;'Who Engaged'!$F$5:$F$1004&amp;IF('Who Engaged'!$L$5:$L$1004=1," (followed)",""),"")))</f>
        <v/>
      </c>
      <c r="X100" s="26"/>
      <c r="Y100" s="26"/>
      <c r="Z100" s="27"/>
      <c r="AA100" s="24" t="str">
        <f aca="false">IF(OR(A100="",B100="",C100=""),"","https://www.alphanodus.com/contact?utm_source="&amp;IF(B100="X","twitter",LOWER(B100))&amp;"&amp;utm_medium=social&amp;utm_campaign="&amp;IF(E100="","general",LOWER(SUBSTITUTE(SUBSTITUTE(E100," / ","-")," ","-")))&amp;"&amp;utm_content="&amp;LOWER(C100))</f>
        <v/>
      </c>
    </row>
    <row r="101" customFormat="false" ht="15" hidden="false" customHeight="false" outlineLevel="0" collapsed="false">
      <c r="A101" s="28"/>
      <c r="B101" s="27"/>
      <c r="C101" s="27"/>
      <c r="D101" s="26"/>
      <c r="E101" s="27"/>
      <c r="F101" s="27"/>
      <c r="G101" s="27"/>
      <c r="H101" s="21"/>
      <c r="I101" s="21"/>
      <c r="J101" s="21"/>
      <c r="K101" s="21"/>
      <c r="L101" s="21"/>
      <c r="M101" s="21"/>
      <c r="N101" s="21"/>
      <c r="O101" s="21"/>
      <c r="P101" s="22" t="str">
        <f aca="false">IF(OR(A101="",B101="",C101=""),"",IF(COUNT(J101:N101)=0,"",SUM(J101:N101)))</f>
        <v/>
      </c>
      <c r="Q101" s="22" t="str">
        <f aca="false">IF(OR(A101="",B101="",C101=""),"",SUMIFS('Who Engaged'!$H$5:$H$1004,'Who Engaged'!$C$5:$C$1004,C101,'Who Engaged'!$N$5:$N$1004,"Yes")+SUMIFS('Who Engaged'!$I$5:$I$1004,'Who Engaged'!$C$5:$C$1004,C101,'Who Engaged'!$N$5:$N$1004,"Yes")+SUMIFS('Who Engaged'!$J$5:$J$1004,'Who Engaged'!$C$5:$C$1004,C101,'Who Engaged'!$N$5:$N$1004,"Yes")+SUMIFS('Who Engaged'!$K$5:$K$1004,'Who Engaged'!$C$5:$C$1004,C101,'Who Engaged'!$N$5:$N$1004,"Yes"))</f>
        <v/>
      </c>
      <c r="R101" s="22" t="str">
        <f aca="false">IF(OR(OR(A101="",B101="",C101=""),P101=""),"",MAX(0,P101-N(Q101)))</f>
        <v/>
      </c>
      <c r="S101" s="23" t="str">
        <f aca="false">IF(OR(OR(A101="",B101="",C101=""),R101=""),"",IFERROR(R101/(IF(N(H101)&gt;0,H101,IF(N(I101)&gt;0,I101,IF(COUNTIFS($B$16:$B$215,B101,$H$16:$H$215,"&gt;0")+COUNTIFS($B$16:$B$215,B101,$I$16:$I$215,"&gt;0")&gt;0,"",INDEX($B$5:$B$7,MATCH(B101,$A$5:$A$7,0)))))),""))</f>
        <v/>
      </c>
      <c r="T101" s="24" t="str">
        <f aca="false">IF(OR(A101="",B101="",C101=""),"",IF(OR(S101="",COUNTIFS($B$16:$B$215,B101,$S$16:$S$215,"&gt;=0")&lt;2),"No Data Yet",IFERROR(IF(S101/AVERAGEIFS($S$16:$S$215,$B$16:$B$215,B101)&gt;=1.2,"Good",IF(S101/AVERAGEIFS($S$16:$S$215,$B$16:$B$215,B101)&gt;=0.8,"Average","Below Standard")),"Average")))</f>
        <v/>
      </c>
      <c r="U101" s="22" t="str">
        <f aca="false">IF(OR(A101="",B101="",C101=""),"",COUNTIFS('Who Engaged'!$C$5:$C$1004,C101,'Who Engaged'!$O$5:$O$1004,"Yes",'Who Engaged'!$M$5:$M$1004,1))</f>
        <v/>
      </c>
      <c r="V101" s="22" t="str">
        <f aca="false">IF(OR(A101="",B101="",C101=""),"",COUNTIFS('Who Engaged'!$C$5:$C$1004,C101,'Who Engaged'!$O$5:$O$1004,"Yes",'Who Engaged'!$L$5:$L$1004,1))</f>
        <v/>
      </c>
      <c r="W101" s="25" t="str">
        <f aca="false" t="array" ref="W101:W101">IF(OR(A101="",B101="",C101=""),"",_xlfn.TEXTJOIN("; ",TRUE(),IF(('Who Engaged'!$C$5:$C$1004=C101)*('Who Engaged'!$O$5:$O$1004="Yes"),'Who Engaged'!$D$5:$D$1004&amp;" – "&amp;'Who Engaged'!$F$5:$F$1004&amp;IF('Who Engaged'!$L$5:$L$1004=1," (followed)",""),"")))</f>
        <v/>
      </c>
      <c r="X101" s="26"/>
      <c r="Y101" s="26"/>
      <c r="Z101" s="27"/>
      <c r="AA101" s="24" t="str">
        <f aca="false">IF(OR(A101="",B101="",C101=""),"","https://www.alphanodus.com/contact?utm_source="&amp;IF(B101="X","twitter",LOWER(B101))&amp;"&amp;utm_medium=social&amp;utm_campaign="&amp;IF(E101="","general",LOWER(SUBSTITUTE(SUBSTITUTE(E101," / ","-")," ","-")))&amp;"&amp;utm_content="&amp;LOWER(C101))</f>
        <v/>
      </c>
    </row>
    <row r="102" customFormat="false" ht="15" hidden="false" customHeight="false" outlineLevel="0" collapsed="false">
      <c r="A102" s="28"/>
      <c r="B102" s="27"/>
      <c r="C102" s="27"/>
      <c r="D102" s="26"/>
      <c r="E102" s="27"/>
      <c r="F102" s="27"/>
      <c r="G102" s="27"/>
      <c r="H102" s="21"/>
      <c r="I102" s="21"/>
      <c r="J102" s="21"/>
      <c r="K102" s="21"/>
      <c r="L102" s="21"/>
      <c r="M102" s="21"/>
      <c r="N102" s="21"/>
      <c r="O102" s="21"/>
      <c r="P102" s="22" t="str">
        <f aca="false">IF(OR(A102="",B102="",C102=""),"",IF(COUNT(J102:N102)=0,"",SUM(J102:N102)))</f>
        <v/>
      </c>
      <c r="Q102" s="22" t="str">
        <f aca="false">IF(OR(A102="",B102="",C102=""),"",SUMIFS('Who Engaged'!$H$5:$H$1004,'Who Engaged'!$C$5:$C$1004,C102,'Who Engaged'!$N$5:$N$1004,"Yes")+SUMIFS('Who Engaged'!$I$5:$I$1004,'Who Engaged'!$C$5:$C$1004,C102,'Who Engaged'!$N$5:$N$1004,"Yes")+SUMIFS('Who Engaged'!$J$5:$J$1004,'Who Engaged'!$C$5:$C$1004,C102,'Who Engaged'!$N$5:$N$1004,"Yes")+SUMIFS('Who Engaged'!$K$5:$K$1004,'Who Engaged'!$C$5:$C$1004,C102,'Who Engaged'!$N$5:$N$1004,"Yes"))</f>
        <v/>
      </c>
      <c r="R102" s="22" t="str">
        <f aca="false">IF(OR(OR(A102="",B102="",C102=""),P102=""),"",MAX(0,P102-N(Q102)))</f>
        <v/>
      </c>
      <c r="S102" s="23" t="str">
        <f aca="false">IF(OR(OR(A102="",B102="",C102=""),R102=""),"",IFERROR(R102/(IF(N(H102)&gt;0,H102,IF(N(I102)&gt;0,I102,IF(COUNTIFS($B$16:$B$215,B102,$H$16:$H$215,"&gt;0")+COUNTIFS($B$16:$B$215,B102,$I$16:$I$215,"&gt;0")&gt;0,"",INDEX($B$5:$B$7,MATCH(B102,$A$5:$A$7,0)))))),""))</f>
        <v/>
      </c>
      <c r="T102" s="24" t="str">
        <f aca="false">IF(OR(A102="",B102="",C102=""),"",IF(OR(S102="",COUNTIFS($B$16:$B$215,B102,$S$16:$S$215,"&gt;=0")&lt;2),"No Data Yet",IFERROR(IF(S102/AVERAGEIFS($S$16:$S$215,$B$16:$B$215,B102)&gt;=1.2,"Good",IF(S102/AVERAGEIFS($S$16:$S$215,$B$16:$B$215,B102)&gt;=0.8,"Average","Below Standard")),"Average")))</f>
        <v/>
      </c>
      <c r="U102" s="22" t="str">
        <f aca="false">IF(OR(A102="",B102="",C102=""),"",COUNTIFS('Who Engaged'!$C$5:$C$1004,C102,'Who Engaged'!$O$5:$O$1004,"Yes",'Who Engaged'!$M$5:$M$1004,1))</f>
        <v/>
      </c>
      <c r="V102" s="22" t="str">
        <f aca="false">IF(OR(A102="",B102="",C102=""),"",COUNTIFS('Who Engaged'!$C$5:$C$1004,C102,'Who Engaged'!$O$5:$O$1004,"Yes",'Who Engaged'!$L$5:$L$1004,1))</f>
        <v/>
      </c>
      <c r="W102" s="25" t="str">
        <f aca="false" t="array" ref="W102:W102">IF(OR(A102="",B102="",C102=""),"",_xlfn.TEXTJOIN("; ",TRUE(),IF(('Who Engaged'!$C$5:$C$1004=C102)*('Who Engaged'!$O$5:$O$1004="Yes"),'Who Engaged'!$D$5:$D$1004&amp;" – "&amp;'Who Engaged'!$F$5:$F$1004&amp;IF('Who Engaged'!$L$5:$L$1004=1," (followed)",""),"")))</f>
        <v/>
      </c>
      <c r="X102" s="26"/>
      <c r="Y102" s="26"/>
      <c r="Z102" s="27"/>
      <c r="AA102" s="24" t="str">
        <f aca="false">IF(OR(A102="",B102="",C102=""),"","https://www.alphanodus.com/contact?utm_source="&amp;IF(B102="X","twitter",LOWER(B102))&amp;"&amp;utm_medium=social&amp;utm_campaign="&amp;IF(E102="","general",LOWER(SUBSTITUTE(SUBSTITUTE(E102," / ","-")," ","-")))&amp;"&amp;utm_content="&amp;LOWER(C102))</f>
        <v/>
      </c>
    </row>
    <row r="103" customFormat="false" ht="15" hidden="false" customHeight="false" outlineLevel="0" collapsed="false">
      <c r="A103" s="28"/>
      <c r="B103" s="27"/>
      <c r="C103" s="27"/>
      <c r="D103" s="26"/>
      <c r="E103" s="27"/>
      <c r="F103" s="27"/>
      <c r="G103" s="27"/>
      <c r="H103" s="21"/>
      <c r="I103" s="21"/>
      <c r="J103" s="21"/>
      <c r="K103" s="21"/>
      <c r="L103" s="21"/>
      <c r="M103" s="21"/>
      <c r="N103" s="21"/>
      <c r="O103" s="21"/>
      <c r="P103" s="22" t="str">
        <f aca="false">IF(OR(A103="",B103="",C103=""),"",IF(COUNT(J103:N103)=0,"",SUM(J103:N103)))</f>
        <v/>
      </c>
      <c r="Q103" s="22" t="str">
        <f aca="false">IF(OR(A103="",B103="",C103=""),"",SUMIFS('Who Engaged'!$H$5:$H$1004,'Who Engaged'!$C$5:$C$1004,C103,'Who Engaged'!$N$5:$N$1004,"Yes")+SUMIFS('Who Engaged'!$I$5:$I$1004,'Who Engaged'!$C$5:$C$1004,C103,'Who Engaged'!$N$5:$N$1004,"Yes")+SUMIFS('Who Engaged'!$J$5:$J$1004,'Who Engaged'!$C$5:$C$1004,C103,'Who Engaged'!$N$5:$N$1004,"Yes")+SUMIFS('Who Engaged'!$K$5:$K$1004,'Who Engaged'!$C$5:$C$1004,C103,'Who Engaged'!$N$5:$N$1004,"Yes"))</f>
        <v/>
      </c>
      <c r="R103" s="22" t="str">
        <f aca="false">IF(OR(OR(A103="",B103="",C103=""),P103=""),"",MAX(0,P103-N(Q103)))</f>
        <v/>
      </c>
      <c r="S103" s="23" t="str">
        <f aca="false">IF(OR(OR(A103="",B103="",C103=""),R103=""),"",IFERROR(R103/(IF(N(H103)&gt;0,H103,IF(N(I103)&gt;0,I103,IF(COUNTIFS($B$16:$B$215,B103,$H$16:$H$215,"&gt;0")+COUNTIFS($B$16:$B$215,B103,$I$16:$I$215,"&gt;0")&gt;0,"",INDEX($B$5:$B$7,MATCH(B103,$A$5:$A$7,0)))))),""))</f>
        <v/>
      </c>
      <c r="T103" s="24" t="str">
        <f aca="false">IF(OR(A103="",B103="",C103=""),"",IF(OR(S103="",COUNTIFS($B$16:$B$215,B103,$S$16:$S$215,"&gt;=0")&lt;2),"No Data Yet",IFERROR(IF(S103/AVERAGEIFS($S$16:$S$215,$B$16:$B$215,B103)&gt;=1.2,"Good",IF(S103/AVERAGEIFS($S$16:$S$215,$B$16:$B$215,B103)&gt;=0.8,"Average","Below Standard")),"Average")))</f>
        <v/>
      </c>
      <c r="U103" s="22" t="str">
        <f aca="false">IF(OR(A103="",B103="",C103=""),"",COUNTIFS('Who Engaged'!$C$5:$C$1004,C103,'Who Engaged'!$O$5:$O$1004,"Yes",'Who Engaged'!$M$5:$M$1004,1))</f>
        <v/>
      </c>
      <c r="V103" s="22" t="str">
        <f aca="false">IF(OR(A103="",B103="",C103=""),"",COUNTIFS('Who Engaged'!$C$5:$C$1004,C103,'Who Engaged'!$O$5:$O$1004,"Yes",'Who Engaged'!$L$5:$L$1004,1))</f>
        <v/>
      </c>
      <c r="W103" s="25" t="str">
        <f aca="false" t="array" ref="W103:W103">IF(OR(A103="",B103="",C103=""),"",_xlfn.TEXTJOIN("; ",TRUE(),IF(('Who Engaged'!$C$5:$C$1004=C103)*('Who Engaged'!$O$5:$O$1004="Yes"),'Who Engaged'!$D$5:$D$1004&amp;" – "&amp;'Who Engaged'!$F$5:$F$1004&amp;IF('Who Engaged'!$L$5:$L$1004=1," (followed)",""),"")))</f>
        <v/>
      </c>
      <c r="X103" s="26"/>
      <c r="Y103" s="26"/>
      <c r="Z103" s="27"/>
      <c r="AA103" s="24" t="str">
        <f aca="false">IF(OR(A103="",B103="",C103=""),"","https://www.alphanodus.com/contact?utm_source="&amp;IF(B103="X","twitter",LOWER(B103))&amp;"&amp;utm_medium=social&amp;utm_campaign="&amp;IF(E103="","general",LOWER(SUBSTITUTE(SUBSTITUTE(E103," / ","-")," ","-")))&amp;"&amp;utm_content="&amp;LOWER(C103))</f>
        <v/>
      </c>
    </row>
    <row r="104" customFormat="false" ht="15" hidden="false" customHeight="false" outlineLevel="0" collapsed="false">
      <c r="A104" s="28"/>
      <c r="B104" s="27"/>
      <c r="C104" s="27"/>
      <c r="D104" s="26"/>
      <c r="E104" s="27"/>
      <c r="F104" s="27"/>
      <c r="G104" s="27"/>
      <c r="H104" s="21"/>
      <c r="I104" s="21"/>
      <c r="J104" s="21"/>
      <c r="K104" s="21"/>
      <c r="L104" s="21"/>
      <c r="M104" s="21"/>
      <c r="N104" s="21"/>
      <c r="O104" s="21"/>
      <c r="P104" s="22" t="str">
        <f aca="false">IF(OR(A104="",B104="",C104=""),"",IF(COUNT(J104:N104)=0,"",SUM(J104:N104)))</f>
        <v/>
      </c>
      <c r="Q104" s="22" t="str">
        <f aca="false">IF(OR(A104="",B104="",C104=""),"",SUMIFS('Who Engaged'!$H$5:$H$1004,'Who Engaged'!$C$5:$C$1004,C104,'Who Engaged'!$N$5:$N$1004,"Yes")+SUMIFS('Who Engaged'!$I$5:$I$1004,'Who Engaged'!$C$5:$C$1004,C104,'Who Engaged'!$N$5:$N$1004,"Yes")+SUMIFS('Who Engaged'!$J$5:$J$1004,'Who Engaged'!$C$5:$C$1004,C104,'Who Engaged'!$N$5:$N$1004,"Yes")+SUMIFS('Who Engaged'!$K$5:$K$1004,'Who Engaged'!$C$5:$C$1004,C104,'Who Engaged'!$N$5:$N$1004,"Yes"))</f>
        <v/>
      </c>
      <c r="R104" s="22" t="str">
        <f aca="false">IF(OR(OR(A104="",B104="",C104=""),P104=""),"",MAX(0,P104-N(Q104)))</f>
        <v/>
      </c>
      <c r="S104" s="23" t="str">
        <f aca="false">IF(OR(OR(A104="",B104="",C104=""),R104=""),"",IFERROR(R104/(IF(N(H104)&gt;0,H104,IF(N(I104)&gt;0,I104,IF(COUNTIFS($B$16:$B$215,B104,$H$16:$H$215,"&gt;0")+COUNTIFS($B$16:$B$215,B104,$I$16:$I$215,"&gt;0")&gt;0,"",INDEX($B$5:$B$7,MATCH(B104,$A$5:$A$7,0)))))),""))</f>
        <v/>
      </c>
      <c r="T104" s="24" t="str">
        <f aca="false">IF(OR(A104="",B104="",C104=""),"",IF(OR(S104="",COUNTIFS($B$16:$B$215,B104,$S$16:$S$215,"&gt;=0")&lt;2),"No Data Yet",IFERROR(IF(S104/AVERAGEIFS($S$16:$S$215,$B$16:$B$215,B104)&gt;=1.2,"Good",IF(S104/AVERAGEIFS($S$16:$S$215,$B$16:$B$215,B104)&gt;=0.8,"Average","Below Standard")),"Average")))</f>
        <v/>
      </c>
      <c r="U104" s="22" t="str">
        <f aca="false">IF(OR(A104="",B104="",C104=""),"",COUNTIFS('Who Engaged'!$C$5:$C$1004,C104,'Who Engaged'!$O$5:$O$1004,"Yes",'Who Engaged'!$M$5:$M$1004,1))</f>
        <v/>
      </c>
      <c r="V104" s="22" t="str">
        <f aca="false">IF(OR(A104="",B104="",C104=""),"",COUNTIFS('Who Engaged'!$C$5:$C$1004,C104,'Who Engaged'!$O$5:$O$1004,"Yes",'Who Engaged'!$L$5:$L$1004,1))</f>
        <v/>
      </c>
      <c r="W104" s="25" t="str">
        <f aca="false" t="array" ref="W104:W104">IF(OR(A104="",B104="",C104=""),"",_xlfn.TEXTJOIN("; ",TRUE(),IF(('Who Engaged'!$C$5:$C$1004=C104)*('Who Engaged'!$O$5:$O$1004="Yes"),'Who Engaged'!$D$5:$D$1004&amp;" – "&amp;'Who Engaged'!$F$5:$F$1004&amp;IF('Who Engaged'!$L$5:$L$1004=1," (followed)",""),"")))</f>
        <v/>
      </c>
      <c r="X104" s="26"/>
      <c r="Y104" s="26"/>
      <c r="Z104" s="27"/>
      <c r="AA104" s="24" t="str">
        <f aca="false">IF(OR(A104="",B104="",C104=""),"","https://www.alphanodus.com/contact?utm_source="&amp;IF(B104="X","twitter",LOWER(B104))&amp;"&amp;utm_medium=social&amp;utm_campaign="&amp;IF(E104="","general",LOWER(SUBSTITUTE(SUBSTITUTE(E104," / ","-")," ","-")))&amp;"&amp;utm_content="&amp;LOWER(C104))</f>
        <v/>
      </c>
    </row>
    <row r="105" customFormat="false" ht="15" hidden="false" customHeight="false" outlineLevel="0" collapsed="false">
      <c r="A105" s="28"/>
      <c r="B105" s="27"/>
      <c r="C105" s="27"/>
      <c r="D105" s="26"/>
      <c r="E105" s="27"/>
      <c r="F105" s="27"/>
      <c r="G105" s="27"/>
      <c r="H105" s="21"/>
      <c r="I105" s="21"/>
      <c r="J105" s="21"/>
      <c r="K105" s="21"/>
      <c r="L105" s="21"/>
      <c r="M105" s="21"/>
      <c r="N105" s="21"/>
      <c r="O105" s="21"/>
      <c r="P105" s="22" t="str">
        <f aca="false">IF(OR(A105="",B105="",C105=""),"",IF(COUNT(J105:N105)=0,"",SUM(J105:N105)))</f>
        <v/>
      </c>
      <c r="Q105" s="22" t="str">
        <f aca="false">IF(OR(A105="",B105="",C105=""),"",SUMIFS('Who Engaged'!$H$5:$H$1004,'Who Engaged'!$C$5:$C$1004,C105,'Who Engaged'!$N$5:$N$1004,"Yes")+SUMIFS('Who Engaged'!$I$5:$I$1004,'Who Engaged'!$C$5:$C$1004,C105,'Who Engaged'!$N$5:$N$1004,"Yes")+SUMIFS('Who Engaged'!$J$5:$J$1004,'Who Engaged'!$C$5:$C$1004,C105,'Who Engaged'!$N$5:$N$1004,"Yes")+SUMIFS('Who Engaged'!$K$5:$K$1004,'Who Engaged'!$C$5:$C$1004,C105,'Who Engaged'!$N$5:$N$1004,"Yes"))</f>
        <v/>
      </c>
      <c r="R105" s="22" t="str">
        <f aca="false">IF(OR(OR(A105="",B105="",C105=""),P105=""),"",MAX(0,P105-N(Q105)))</f>
        <v/>
      </c>
      <c r="S105" s="23" t="str">
        <f aca="false">IF(OR(OR(A105="",B105="",C105=""),R105=""),"",IFERROR(R105/(IF(N(H105)&gt;0,H105,IF(N(I105)&gt;0,I105,IF(COUNTIFS($B$16:$B$215,B105,$H$16:$H$215,"&gt;0")+COUNTIFS($B$16:$B$215,B105,$I$16:$I$215,"&gt;0")&gt;0,"",INDEX($B$5:$B$7,MATCH(B105,$A$5:$A$7,0)))))),""))</f>
        <v/>
      </c>
      <c r="T105" s="24" t="str">
        <f aca="false">IF(OR(A105="",B105="",C105=""),"",IF(OR(S105="",COUNTIFS($B$16:$B$215,B105,$S$16:$S$215,"&gt;=0")&lt;2),"No Data Yet",IFERROR(IF(S105/AVERAGEIFS($S$16:$S$215,$B$16:$B$215,B105)&gt;=1.2,"Good",IF(S105/AVERAGEIFS($S$16:$S$215,$B$16:$B$215,B105)&gt;=0.8,"Average","Below Standard")),"Average")))</f>
        <v/>
      </c>
      <c r="U105" s="22" t="str">
        <f aca="false">IF(OR(A105="",B105="",C105=""),"",COUNTIFS('Who Engaged'!$C$5:$C$1004,C105,'Who Engaged'!$O$5:$O$1004,"Yes",'Who Engaged'!$M$5:$M$1004,1))</f>
        <v/>
      </c>
      <c r="V105" s="22" t="str">
        <f aca="false">IF(OR(A105="",B105="",C105=""),"",COUNTIFS('Who Engaged'!$C$5:$C$1004,C105,'Who Engaged'!$O$5:$O$1004,"Yes",'Who Engaged'!$L$5:$L$1004,1))</f>
        <v/>
      </c>
      <c r="W105" s="25" t="str">
        <f aca="false" t="array" ref="W105:W105">IF(OR(A105="",B105="",C105=""),"",_xlfn.TEXTJOIN("; ",TRUE(),IF(('Who Engaged'!$C$5:$C$1004=C105)*('Who Engaged'!$O$5:$O$1004="Yes"),'Who Engaged'!$D$5:$D$1004&amp;" – "&amp;'Who Engaged'!$F$5:$F$1004&amp;IF('Who Engaged'!$L$5:$L$1004=1," (followed)",""),"")))</f>
        <v/>
      </c>
      <c r="X105" s="26"/>
      <c r="Y105" s="26"/>
      <c r="Z105" s="27"/>
      <c r="AA105" s="24" t="str">
        <f aca="false">IF(OR(A105="",B105="",C105=""),"","https://www.alphanodus.com/contact?utm_source="&amp;IF(B105="X","twitter",LOWER(B105))&amp;"&amp;utm_medium=social&amp;utm_campaign="&amp;IF(E105="","general",LOWER(SUBSTITUTE(SUBSTITUTE(E105," / ","-")," ","-")))&amp;"&amp;utm_content="&amp;LOWER(C105))</f>
        <v/>
      </c>
    </row>
    <row r="106" customFormat="false" ht="15" hidden="false" customHeight="false" outlineLevel="0" collapsed="false">
      <c r="A106" s="28"/>
      <c r="B106" s="27"/>
      <c r="C106" s="27"/>
      <c r="D106" s="26"/>
      <c r="E106" s="27"/>
      <c r="F106" s="27"/>
      <c r="G106" s="27"/>
      <c r="H106" s="21"/>
      <c r="I106" s="21"/>
      <c r="J106" s="21"/>
      <c r="K106" s="21"/>
      <c r="L106" s="21"/>
      <c r="M106" s="21"/>
      <c r="N106" s="21"/>
      <c r="O106" s="21"/>
      <c r="P106" s="22" t="str">
        <f aca="false">IF(OR(A106="",B106="",C106=""),"",IF(COUNT(J106:N106)=0,"",SUM(J106:N106)))</f>
        <v/>
      </c>
      <c r="Q106" s="22" t="str">
        <f aca="false">IF(OR(A106="",B106="",C106=""),"",SUMIFS('Who Engaged'!$H$5:$H$1004,'Who Engaged'!$C$5:$C$1004,C106,'Who Engaged'!$N$5:$N$1004,"Yes")+SUMIFS('Who Engaged'!$I$5:$I$1004,'Who Engaged'!$C$5:$C$1004,C106,'Who Engaged'!$N$5:$N$1004,"Yes")+SUMIFS('Who Engaged'!$J$5:$J$1004,'Who Engaged'!$C$5:$C$1004,C106,'Who Engaged'!$N$5:$N$1004,"Yes")+SUMIFS('Who Engaged'!$K$5:$K$1004,'Who Engaged'!$C$5:$C$1004,C106,'Who Engaged'!$N$5:$N$1004,"Yes"))</f>
        <v/>
      </c>
      <c r="R106" s="22" t="str">
        <f aca="false">IF(OR(OR(A106="",B106="",C106=""),P106=""),"",MAX(0,P106-N(Q106)))</f>
        <v/>
      </c>
      <c r="S106" s="23" t="str">
        <f aca="false">IF(OR(OR(A106="",B106="",C106=""),R106=""),"",IFERROR(R106/(IF(N(H106)&gt;0,H106,IF(N(I106)&gt;0,I106,IF(COUNTIFS($B$16:$B$215,B106,$H$16:$H$215,"&gt;0")+COUNTIFS($B$16:$B$215,B106,$I$16:$I$215,"&gt;0")&gt;0,"",INDEX($B$5:$B$7,MATCH(B106,$A$5:$A$7,0)))))),""))</f>
        <v/>
      </c>
      <c r="T106" s="24" t="str">
        <f aca="false">IF(OR(A106="",B106="",C106=""),"",IF(OR(S106="",COUNTIFS($B$16:$B$215,B106,$S$16:$S$215,"&gt;=0")&lt;2),"No Data Yet",IFERROR(IF(S106/AVERAGEIFS($S$16:$S$215,$B$16:$B$215,B106)&gt;=1.2,"Good",IF(S106/AVERAGEIFS($S$16:$S$215,$B$16:$B$215,B106)&gt;=0.8,"Average","Below Standard")),"Average")))</f>
        <v/>
      </c>
      <c r="U106" s="22" t="str">
        <f aca="false">IF(OR(A106="",B106="",C106=""),"",COUNTIFS('Who Engaged'!$C$5:$C$1004,C106,'Who Engaged'!$O$5:$O$1004,"Yes",'Who Engaged'!$M$5:$M$1004,1))</f>
        <v/>
      </c>
      <c r="V106" s="22" t="str">
        <f aca="false">IF(OR(A106="",B106="",C106=""),"",COUNTIFS('Who Engaged'!$C$5:$C$1004,C106,'Who Engaged'!$O$5:$O$1004,"Yes",'Who Engaged'!$L$5:$L$1004,1))</f>
        <v/>
      </c>
      <c r="W106" s="25" t="str">
        <f aca="false" t="array" ref="W106:W106">IF(OR(A106="",B106="",C106=""),"",_xlfn.TEXTJOIN("; ",TRUE(),IF(('Who Engaged'!$C$5:$C$1004=C106)*('Who Engaged'!$O$5:$O$1004="Yes"),'Who Engaged'!$D$5:$D$1004&amp;" – "&amp;'Who Engaged'!$F$5:$F$1004&amp;IF('Who Engaged'!$L$5:$L$1004=1," (followed)",""),"")))</f>
        <v/>
      </c>
      <c r="X106" s="26"/>
      <c r="Y106" s="26"/>
      <c r="Z106" s="27"/>
      <c r="AA106" s="24" t="str">
        <f aca="false">IF(OR(A106="",B106="",C106=""),"","https://www.alphanodus.com/contact?utm_source="&amp;IF(B106="X","twitter",LOWER(B106))&amp;"&amp;utm_medium=social&amp;utm_campaign="&amp;IF(E106="","general",LOWER(SUBSTITUTE(SUBSTITUTE(E106," / ","-")," ","-")))&amp;"&amp;utm_content="&amp;LOWER(C106))</f>
        <v/>
      </c>
    </row>
    <row r="107" customFormat="false" ht="15" hidden="false" customHeight="false" outlineLevel="0" collapsed="false">
      <c r="A107" s="28"/>
      <c r="B107" s="27"/>
      <c r="C107" s="27"/>
      <c r="D107" s="26"/>
      <c r="E107" s="27"/>
      <c r="F107" s="27"/>
      <c r="G107" s="27"/>
      <c r="H107" s="21"/>
      <c r="I107" s="21"/>
      <c r="J107" s="21"/>
      <c r="K107" s="21"/>
      <c r="L107" s="21"/>
      <c r="M107" s="21"/>
      <c r="N107" s="21"/>
      <c r="O107" s="21"/>
      <c r="P107" s="22" t="str">
        <f aca="false">IF(OR(A107="",B107="",C107=""),"",IF(COUNT(J107:N107)=0,"",SUM(J107:N107)))</f>
        <v/>
      </c>
      <c r="Q107" s="22" t="str">
        <f aca="false">IF(OR(A107="",B107="",C107=""),"",SUMIFS('Who Engaged'!$H$5:$H$1004,'Who Engaged'!$C$5:$C$1004,C107,'Who Engaged'!$N$5:$N$1004,"Yes")+SUMIFS('Who Engaged'!$I$5:$I$1004,'Who Engaged'!$C$5:$C$1004,C107,'Who Engaged'!$N$5:$N$1004,"Yes")+SUMIFS('Who Engaged'!$J$5:$J$1004,'Who Engaged'!$C$5:$C$1004,C107,'Who Engaged'!$N$5:$N$1004,"Yes")+SUMIFS('Who Engaged'!$K$5:$K$1004,'Who Engaged'!$C$5:$C$1004,C107,'Who Engaged'!$N$5:$N$1004,"Yes"))</f>
        <v/>
      </c>
      <c r="R107" s="22" t="str">
        <f aca="false">IF(OR(OR(A107="",B107="",C107=""),P107=""),"",MAX(0,P107-N(Q107)))</f>
        <v/>
      </c>
      <c r="S107" s="23" t="str">
        <f aca="false">IF(OR(OR(A107="",B107="",C107=""),R107=""),"",IFERROR(R107/(IF(N(H107)&gt;0,H107,IF(N(I107)&gt;0,I107,IF(COUNTIFS($B$16:$B$215,B107,$H$16:$H$215,"&gt;0")+COUNTIFS($B$16:$B$215,B107,$I$16:$I$215,"&gt;0")&gt;0,"",INDEX($B$5:$B$7,MATCH(B107,$A$5:$A$7,0)))))),""))</f>
        <v/>
      </c>
      <c r="T107" s="24" t="str">
        <f aca="false">IF(OR(A107="",B107="",C107=""),"",IF(OR(S107="",COUNTIFS($B$16:$B$215,B107,$S$16:$S$215,"&gt;=0")&lt;2),"No Data Yet",IFERROR(IF(S107/AVERAGEIFS($S$16:$S$215,$B$16:$B$215,B107)&gt;=1.2,"Good",IF(S107/AVERAGEIFS($S$16:$S$215,$B$16:$B$215,B107)&gt;=0.8,"Average","Below Standard")),"Average")))</f>
        <v/>
      </c>
      <c r="U107" s="22" t="str">
        <f aca="false">IF(OR(A107="",B107="",C107=""),"",COUNTIFS('Who Engaged'!$C$5:$C$1004,C107,'Who Engaged'!$O$5:$O$1004,"Yes",'Who Engaged'!$M$5:$M$1004,1))</f>
        <v/>
      </c>
      <c r="V107" s="22" t="str">
        <f aca="false">IF(OR(A107="",B107="",C107=""),"",COUNTIFS('Who Engaged'!$C$5:$C$1004,C107,'Who Engaged'!$O$5:$O$1004,"Yes",'Who Engaged'!$L$5:$L$1004,1))</f>
        <v/>
      </c>
      <c r="W107" s="25" t="str">
        <f aca="false" t="array" ref="W107:W107">IF(OR(A107="",B107="",C107=""),"",_xlfn.TEXTJOIN("; ",TRUE(),IF(('Who Engaged'!$C$5:$C$1004=C107)*('Who Engaged'!$O$5:$O$1004="Yes"),'Who Engaged'!$D$5:$D$1004&amp;" – "&amp;'Who Engaged'!$F$5:$F$1004&amp;IF('Who Engaged'!$L$5:$L$1004=1," (followed)",""),"")))</f>
        <v/>
      </c>
      <c r="X107" s="26"/>
      <c r="Y107" s="26"/>
      <c r="Z107" s="27"/>
      <c r="AA107" s="24" t="str">
        <f aca="false">IF(OR(A107="",B107="",C107=""),"","https://www.alphanodus.com/contact?utm_source="&amp;IF(B107="X","twitter",LOWER(B107))&amp;"&amp;utm_medium=social&amp;utm_campaign="&amp;IF(E107="","general",LOWER(SUBSTITUTE(SUBSTITUTE(E107," / ","-")," ","-")))&amp;"&amp;utm_content="&amp;LOWER(C107))</f>
        <v/>
      </c>
    </row>
    <row r="108" customFormat="false" ht="15" hidden="false" customHeight="false" outlineLevel="0" collapsed="false">
      <c r="A108" s="28"/>
      <c r="B108" s="27"/>
      <c r="C108" s="27"/>
      <c r="D108" s="26"/>
      <c r="E108" s="27"/>
      <c r="F108" s="27"/>
      <c r="G108" s="27"/>
      <c r="H108" s="21"/>
      <c r="I108" s="21"/>
      <c r="J108" s="21"/>
      <c r="K108" s="21"/>
      <c r="L108" s="21"/>
      <c r="M108" s="21"/>
      <c r="N108" s="21"/>
      <c r="O108" s="21"/>
      <c r="P108" s="22" t="str">
        <f aca="false">IF(OR(A108="",B108="",C108=""),"",IF(COUNT(J108:N108)=0,"",SUM(J108:N108)))</f>
        <v/>
      </c>
      <c r="Q108" s="22" t="str">
        <f aca="false">IF(OR(A108="",B108="",C108=""),"",SUMIFS('Who Engaged'!$H$5:$H$1004,'Who Engaged'!$C$5:$C$1004,C108,'Who Engaged'!$N$5:$N$1004,"Yes")+SUMIFS('Who Engaged'!$I$5:$I$1004,'Who Engaged'!$C$5:$C$1004,C108,'Who Engaged'!$N$5:$N$1004,"Yes")+SUMIFS('Who Engaged'!$J$5:$J$1004,'Who Engaged'!$C$5:$C$1004,C108,'Who Engaged'!$N$5:$N$1004,"Yes")+SUMIFS('Who Engaged'!$K$5:$K$1004,'Who Engaged'!$C$5:$C$1004,C108,'Who Engaged'!$N$5:$N$1004,"Yes"))</f>
        <v/>
      </c>
      <c r="R108" s="22" t="str">
        <f aca="false">IF(OR(OR(A108="",B108="",C108=""),P108=""),"",MAX(0,P108-N(Q108)))</f>
        <v/>
      </c>
      <c r="S108" s="23" t="str">
        <f aca="false">IF(OR(OR(A108="",B108="",C108=""),R108=""),"",IFERROR(R108/(IF(N(H108)&gt;0,H108,IF(N(I108)&gt;0,I108,IF(COUNTIFS($B$16:$B$215,B108,$H$16:$H$215,"&gt;0")+COUNTIFS($B$16:$B$215,B108,$I$16:$I$215,"&gt;0")&gt;0,"",INDEX($B$5:$B$7,MATCH(B108,$A$5:$A$7,0)))))),""))</f>
        <v/>
      </c>
      <c r="T108" s="24" t="str">
        <f aca="false">IF(OR(A108="",B108="",C108=""),"",IF(OR(S108="",COUNTIFS($B$16:$B$215,B108,$S$16:$S$215,"&gt;=0")&lt;2),"No Data Yet",IFERROR(IF(S108/AVERAGEIFS($S$16:$S$215,$B$16:$B$215,B108)&gt;=1.2,"Good",IF(S108/AVERAGEIFS($S$16:$S$215,$B$16:$B$215,B108)&gt;=0.8,"Average","Below Standard")),"Average")))</f>
        <v/>
      </c>
      <c r="U108" s="22" t="str">
        <f aca="false">IF(OR(A108="",B108="",C108=""),"",COUNTIFS('Who Engaged'!$C$5:$C$1004,C108,'Who Engaged'!$O$5:$O$1004,"Yes",'Who Engaged'!$M$5:$M$1004,1))</f>
        <v/>
      </c>
      <c r="V108" s="22" t="str">
        <f aca="false">IF(OR(A108="",B108="",C108=""),"",COUNTIFS('Who Engaged'!$C$5:$C$1004,C108,'Who Engaged'!$O$5:$O$1004,"Yes",'Who Engaged'!$L$5:$L$1004,1))</f>
        <v/>
      </c>
      <c r="W108" s="25" t="str">
        <f aca="false" t="array" ref="W108:W108">IF(OR(A108="",B108="",C108=""),"",_xlfn.TEXTJOIN("; ",TRUE(),IF(('Who Engaged'!$C$5:$C$1004=C108)*('Who Engaged'!$O$5:$O$1004="Yes"),'Who Engaged'!$D$5:$D$1004&amp;" – "&amp;'Who Engaged'!$F$5:$F$1004&amp;IF('Who Engaged'!$L$5:$L$1004=1," (followed)",""),"")))</f>
        <v/>
      </c>
      <c r="X108" s="26"/>
      <c r="Y108" s="26"/>
      <c r="Z108" s="27"/>
      <c r="AA108" s="24" t="str">
        <f aca="false">IF(OR(A108="",B108="",C108=""),"","https://www.alphanodus.com/contact?utm_source="&amp;IF(B108="X","twitter",LOWER(B108))&amp;"&amp;utm_medium=social&amp;utm_campaign="&amp;IF(E108="","general",LOWER(SUBSTITUTE(SUBSTITUTE(E108," / ","-")," ","-")))&amp;"&amp;utm_content="&amp;LOWER(C108))</f>
        <v/>
      </c>
    </row>
    <row r="109" customFormat="false" ht="15" hidden="false" customHeight="false" outlineLevel="0" collapsed="false">
      <c r="A109" s="28"/>
      <c r="B109" s="27"/>
      <c r="C109" s="27"/>
      <c r="D109" s="26"/>
      <c r="E109" s="27"/>
      <c r="F109" s="27"/>
      <c r="G109" s="27"/>
      <c r="H109" s="21"/>
      <c r="I109" s="21"/>
      <c r="J109" s="21"/>
      <c r="K109" s="21"/>
      <c r="L109" s="21"/>
      <c r="M109" s="21"/>
      <c r="N109" s="21"/>
      <c r="O109" s="21"/>
      <c r="P109" s="22" t="str">
        <f aca="false">IF(OR(A109="",B109="",C109=""),"",IF(COUNT(J109:N109)=0,"",SUM(J109:N109)))</f>
        <v/>
      </c>
      <c r="Q109" s="22" t="str">
        <f aca="false">IF(OR(A109="",B109="",C109=""),"",SUMIFS('Who Engaged'!$H$5:$H$1004,'Who Engaged'!$C$5:$C$1004,C109,'Who Engaged'!$N$5:$N$1004,"Yes")+SUMIFS('Who Engaged'!$I$5:$I$1004,'Who Engaged'!$C$5:$C$1004,C109,'Who Engaged'!$N$5:$N$1004,"Yes")+SUMIFS('Who Engaged'!$J$5:$J$1004,'Who Engaged'!$C$5:$C$1004,C109,'Who Engaged'!$N$5:$N$1004,"Yes")+SUMIFS('Who Engaged'!$K$5:$K$1004,'Who Engaged'!$C$5:$C$1004,C109,'Who Engaged'!$N$5:$N$1004,"Yes"))</f>
        <v/>
      </c>
      <c r="R109" s="22" t="str">
        <f aca="false">IF(OR(OR(A109="",B109="",C109=""),P109=""),"",MAX(0,P109-N(Q109)))</f>
        <v/>
      </c>
      <c r="S109" s="23" t="str">
        <f aca="false">IF(OR(OR(A109="",B109="",C109=""),R109=""),"",IFERROR(R109/(IF(N(H109)&gt;0,H109,IF(N(I109)&gt;0,I109,IF(COUNTIFS($B$16:$B$215,B109,$H$16:$H$215,"&gt;0")+COUNTIFS($B$16:$B$215,B109,$I$16:$I$215,"&gt;0")&gt;0,"",INDEX($B$5:$B$7,MATCH(B109,$A$5:$A$7,0)))))),""))</f>
        <v/>
      </c>
      <c r="T109" s="24" t="str">
        <f aca="false">IF(OR(A109="",B109="",C109=""),"",IF(OR(S109="",COUNTIFS($B$16:$B$215,B109,$S$16:$S$215,"&gt;=0")&lt;2),"No Data Yet",IFERROR(IF(S109/AVERAGEIFS($S$16:$S$215,$B$16:$B$215,B109)&gt;=1.2,"Good",IF(S109/AVERAGEIFS($S$16:$S$215,$B$16:$B$215,B109)&gt;=0.8,"Average","Below Standard")),"Average")))</f>
        <v/>
      </c>
      <c r="U109" s="22" t="str">
        <f aca="false">IF(OR(A109="",B109="",C109=""),"",COUNTIFS('Who Engaged'!$C$5:$C$1004,C109,'Who Engaged'!$O$5:$O$1004,"Yes",'Who Engaged'!$M$5:$M$1004,1))</f>
        <v/>
      </c>
      <c r="V109" s="22" t="str">
        <f aca="false">IF(OR(A109="",B109="",C109=""),"",COUNTIFS('Who Engaged'!$C$5:$C$1004,C109,'Who Engaged'!$O$5:$O$1004,"Yes",'Who Engaged'!$L$5:$L$1004,1))</f>
        <v/>
      </c>
      <c r="W109" s="25" t="str">
        <f aca="false" t="array" ref="W109:W109">IF(OR(A109="",B109="",C109=""),"",_xlfn.TEXTJOIN("; ",TRUE(),IF(('Who Engaged'!$C$5:$C$1004=C109)*('Who Engaged'!$O$5:$O$1004="Yes"),'Who Engaged'!$D$5:$D$1004&amp;" – "&amp;'Who Engaged'!$F$5:$F$1004&amp;IF('Who Engaged'!$L$5:$L$1004=1," (followed)",""),"")))</f>
        <v/>
      </c>
      <c r="X109" s="26"/>
      <c r="Y109" s="26"/>
      <c r="Z109" s="27"/>
      <c r="AA109" s="24" t="str">
        <f aca="false">IF(OR(A109="",B109="",C109=""),"","https://www.alphanodus.com/contact?utm_source="&amp;IF(B109="X","twitter",LOWER(B109))&amp;"&amp;utm_medium=social&amp;utm_campaign="&amp;IF(E109="","general",LOWER(SUBSTITUTE(SUBSTITUTE(E109," / ","-")," ","-")))&amp;"&amp;utm_content="&amp;LOWER(C109))</f>
        <v/>
      </c>
    </row>
    <row r="110" customFormat="false" ht="15" hidden="false" customHeight="false" outlineLevel="0" collapsed="false">
      <c r="A110" s="28"/>
      <c r="B110" s="27"/>
      <c r="C110" s="27"/>
      <c r="D110" s="26"/>
      <c r="E110" s="27"/>
      <c r="F110" s="27"/>
      <c r="G110" s="27"/>
      <c r="H110" s="21"/>
      <c r="I110" s="21"/>
      <c r="J110" s="21"/>
      <c r="K110" s="21"/>
      <c r="L110" s="21"/>
      <c r="M110" s="21"/>
      <c r="N110" s="21"/>
      <c r="O110" s="21"/>
      <c r="P110" s="22" t="str">
        <f aca="false">IF(OR(A110="",B110="",C110=""),"",IF(COUNT(J110:N110)=0,"",SUM(J110:N110)))</f>
        <v/>
      </c>
      <c r="Q110" s="22" t="str">
        <f aca="false">IF(OR(A110="",B110="",C110=""),"",SUMIFS('Who Engaged'!$H$5:$H$1004,'Who Engaged'!$C$5:$C$1004,C110,'Who Engaged'!$N$5:$N$1004,"Yes")+SUMIFS('Who Engaged'!$I$5:$I$1004,'Who Engaged'!$C$5:$C$1004,C110,'Who Engaged'!$N$5:$N$1004,"Yes")+SUMIFS('Who Engaged'!$J$5:$J$1004,'Who Engaged'!$C$5:$C$1004,C110,'Who Engaged'!$N$5:$N$1004,"Yes")+SUMIFS('Who Engaged'!$K$5:$K$1004,'Who Engaged'!$C$5:$C$1004,C110,'Who Engaged'!$N$5:$N$1004,"Yes"))</f>
        <v/>
      </c>
      <c r="R110" s="22" t="str">
        <f aca="false">IF(OR(OR(A110="",B110="",C110=""),P110=""),"",MAX(0,P110-N(Q110)))</f>
        <v/>
      </c>
      <c r="S110" s="23" t="str">
        <f aca="false">IF(OR(OR(A110="",B110="",C110=""),R110=""),"",IFERROR(R110/(IF(N(H110)&gt;0,H110,IF(N(I110)&gt;0,I110,IF(COUNTIFS($B$16:$B$215,B110,$H$16:$H$215,"&gt;0")+COUNTIFS($B$16:$B$215,B110,$I$16:$I$215,"&gt;0")&gt;0,"",INDEX($B$5:$B$7,MATCH(B110,$A$5:$A$7,0)))))),""))</f>
        <v/>
      </c>
      <c r="T110" s="24" t="str">
        <f aca="false">IF(OR(A110="",B110="",C110=""),"",IF(OR(S110="",COUNTIFS($B$16:$B$215,B110,$S$16:$S$215,"&gt;=0")&lt;2),"No Data Yet",IFERROR(IF(S110/AVERAGEIFS($S$16:$S$215,$B$16:$B$215,B110)&gt;=1.2,"Good",IF(S110/AVERAGEIFS($S$16:$S$215,$B$16:$B$215,B110)&gt;=0.8,"Average","Below Standard")),"Average")))</f>
        <v/>
      </c>
      <c r="U110" s="22" t="str">
        <f aca="false">IF(OR(A110="",B110="",C110=""),"",COUNTIFS('Who Engaged'!$C$5:$C$1004,C110,'Who Engaged'!$O$5:$O$1004,"Yes",'Who Engaged'!$M$5:$M$1004,1))</f>
        <v/>
      </c>
      <c r="V110" s="22" t="str">
        <f aca="false">IF(OR(A110="",B110="",C110=""),"",COUNTIFS('Who Engaged'!$C$5:$C$1004,C110,'Who Engaged'!$O$5:$O$1004,"Yes",'Who Engaged'!$L$5:$L$1004,1))</f>
        <v/>
      </c>
      <c r="W110" s="25" t="str">
        <f aca="false" t="array" ref="W110:W110">IF(OR(A110="",B110="",C110=""),"",_xlfn.TEXTJOIN("; ",TRUE(),IF(('Who Engaged'!$C$5:$C$1004=C110)*('Who Engaged'!$O$5:$O$1004="Yes"),'Who Engaged'!$D$5:$D$1004&amp;" – "&amp;'Who Engaged'!$F$5:$F$1004&amp;IF('Who Engaged'!$L$5:$L$1004=1," (followed)",""),"")))</f>
        <v/>
      </c>
      <c r="X110" s="26"/>
      <c r="Y110" s="26"/>
      <c r="Z110" s="27"/>
      <c r="AA110" s="24" t="str">
        <f aca="false">IF(OR(A110="",B110="",C110=""),"","https://www.alphanodus.com/contact?utm_source="&amp;IF(B110="X","twitter",LOWER(B110))&amp;"&amp;utm_medium=social&amp;utm_campaign="&amp;IF(E110="","general",LOWER(SUBSTITUTE(SUBSTITUTE(E110," / ","-")," ","-")))&amp;"&amp;utm_content="&amp;LOWER(C110))</f>
        <v/>
      </c>
    </row>
    <row r="111" customFormat="false" ht="15" hidden="false" customHeight="false" outlineLevel="0" collapsed="false">
      <c r="A111" s="28"/>
      <c r="B111" s="27"/>
      <c r="C111" s="27"/>
      <c r="D111" s="26"/>
      <c r="E111" s="27"/>
      <c r="F111" s="27"/>
      <c r="G111" s="27"/>
      <c r="H111" s="21"/>
      <c r="I111" s="21"/>
      <c r="J111" s="21"/>
      <c r="K111" s="21"/>
      <c r="L111" s="21"/>
      <c r="M111" s="21"/>
      <c r="N111" s="21"/>
      <c r="O111" s="21"/>
      <c r="P111" s="22" t="str">
        <f aca="false">IF(OR(A111="",B111="",C111=""),"",IF(COUNT(J111:N111)=0,"",SUM(J111:N111)))</f>
        <v/>
      </c>
      <c r="Q111" s="22" t="str">
        <f aca="false">IF(OR(A111="",B111="",C111=""),"",SUMIFS('Who Engaged'!$H$5:$H$1004,'Who Engaged'!$C$5:$C$1004,C111,'Who Engaged'!$N$5:$N$1004,"Yes")+SUMIFS('Who Engaged'!$I$5:$I$1004,'Who Engaged'!$C$5:$C$1004,C111,'Who Engaged'!$N$5:$N$1004,"Yes")+SUMIFS('Who Engaged'!$J$5:$J$1004,'Who Engaged'!$C$5:$C$1004,C111,'Who Engaged'!$N$5:$N$1004,"Yes")+SUMIFS('Who Engaged'!$K$5:$K$1004,'Who Engaged'!$C$5:$C$1004,C111,'Who Engaged'!$N$5:$N$1004,"Yes"))</f>
        <v/>
      </c>
      <c r="R111" s="22" t="str">
        <f aca="false">IF(OR(OR(A111="",B111="",C111=""),P111=""),"",MAX(0,P111-N(Q111)))</f>
        <v/>
      </c>
      <c r="S111" s="23" t="str">
        <f aca="false">IF(OR(OR(A111="",B111="",C111=""),R111=""),"",IFERROR(R111/(IF(N(H111)&gt;0,H111,IF(N(I111)&gt;0,I111,IF(COUNTIFS($B$16:$B$215,B111,$H$16:$H$215,"&gt;0")+COUNTIFS($B$16:$B$215,B111,$I$16:$I$215,"&gt;0")&gt;0,"",INDEX($B$5:$B$7,MATCH(B111,$A$5:$A$7,0)))))),""))</f>
        <v/>
      </c>
      <c r="T111" s="24" t="str">
        <f aca="false">IF(OR(A111="",B111="",C111=""),"",IF(OR(S111="",COUNTIFS($B$16:$B$215,B111,$S$16:$S$215,"&gt;=0")&lt;2),"No Data Yet",IFERROR(IF(S111/AVERAGEIFS($S$16:$S$215,$B$16:$B$215,B111)&gt;=1.2,"Good",IF(S111/AVERAGEIFS($S$16:$S$215,$B$16:$B$215,B111)&gt;=0.8,"Average","Below Standard")),"Average")))</f>
        <v/>
      </c>
      <c r="U111" s="22" t="str">
        <f aca="false">IF(OR(A111="",B111="",C111=""),"",COUNTIFS('Who Engaged'!$C$5:$C$1004,C111,'Who Engaged'!$O$5:$O$1004,"Yes",'Who Engaged'!$M$5:$M$1004,1))</f>
        <v/>
      </c>
      <c r="V111" s="22" t="str">
        <f aca="false">IF(OR(A111="",B111="",C111=""),"",COUNTIFS('Who Engaged'!$C$5:$C$1004,C111,'Who Engaged'!$O$5:$O$1004,"Yes",'Who Engaged'!$L$5:$L$1004,1))</f>
        <v/>
      </c>
      <c r="W111" s="25" t="str">
        <f aca="false" t="array" ref="W111:W111">IF(OR(A111="",B111="",C111=""),"",_xlfn.TEXTJOIN("; ",TRUE(),IF(('Who Engaged'!$C$5:$C$1004=C111)*('Who Engaged'!$O$5:$O$1004="Yes"),'Who Engaged'!$D$5:$D$1004&amp;" – "&amp;'Who Engaged'!$F$5:$F$1004&amp;IF('Who Engaged'!$L$5:$L$1004=1," (followed)",""),"")))</f>
        <v/>
      </c>
      <c r="X111" s="26"/>
      <c r="Y111" s="26"/>
      <c r="Z111" s="27"/>
      <c r="AA111" s="24" t="str">
        <f aca="false">IF(OR(A111="",B111="",C111=""),"","https://www.alphanodus.com/contact?utm_source="&amp;IF(B111="X","twitter",LOWER(B111))&amp;"&amp;utm_medium=social&amp;utm_campaign="&amp;IF(E111="","general",LOWER(SUBSTITUTE(SUBSTITUTE(E111," / ","-")," ","-")))&amp;"&amp;utm_content="&amp;LOWER(C111))</f>
        <v/>
      </c>
    </row>
    <row r="112" customFormat="false" ht="15" hidden="false" customHeight="false" outlineLevel="0" collapsed="false">
      <c r="A112" s="28"/>
      <c r="B112" s="27"/>
      <c r="C112" s="27"/>
      <c r="D112" s="26"/>
      <c r="E112" s="27"/>
      <c r="F112" s="27"/>
      <c r="G112" s="27"/>
      <c r="H112" s="21"/>
      <c r="I112" s="21"/>
      <c r="J112" s="21"/>
      <c r="K112" s="21"/>
      <c r="L112" s="21"/>
      <c r="M112" s="21"/>
      <c r="N112" s="21"/>
      <c r="O112" s="21"/>
      <c r="P112" s="22" t="str">
        <f aca="false">IF(OR(A112="",B112="",C112=""),"",IF(COUNT(J112:N112)=0,"",SUM(J112:N112)))</f>
        <v/>
      </c>
      <c r="Q112" s="22" t="str">
        <f aca="false">IF(OR(A112="",B112="",C112=""),"",SUMIFS('Who Engaged'!$H$5:$H$1004,'Who Engaged'!$C$5:$C$1004,C112,'Who Engaged'!$N$5:$N$1004,"Yes")+SUMIFS('Who Engaged'!$I$5:$I$1004,'Who Engaged'!$C$5:$C$1004,C112,'Who Engaged'!$N$5:$N$1004,"Yes")+SUMIFS('Who Engaged'!$J$5:$J$1004,'Who Engaged'!$C$5:$C$1004,C112,'Who Engaged'!$N$5:$N$1004,"Yes")+SUMIFS('Who Engaged'!$K$5:$K$1004,'Who Engaged'!$C$5:$C$1004,C112,'Who Engaged'!$N$5:$N$1004,"Yes"))</f>
        <v/>
      </c>
      <c r="R112" s="22" t="str">
        <f aca="false">IF(OR(OR(A112="",B112="",C112=""),P112=""),"",MAX(0,P112-N(Q112)))</f>
        <v/>
      </c>
      <c r="S112" s="23" t="str">
        <f aca="false">IF(OR(OR(A112="",B112="",C112=""),R112=""),"",IFERROR(R112/(IF(N(H112)&gt;0,H112,IF(N(I112)&gt;0,I112,IF(COUNTIFS($B$16:$B$215,B112,$H$16:$H$215,"&gt;0")+COUNTIFS($B$16:$B$215,B112,$I$16:$I$215,"&gt;0")&gt;0,"",INDEX($B$5:$B$7,MATCH(B112,$A$5:$A$7,0)))))),""))</f>
        <v/>
      </c>
      <c r="T112" s="24" t="str">
        <f aca="false">IF(OR(A112="",B112="",C112=""),"",IF(OR(S112="",COUNTIFS($B$16:$B$215,B112,$S$16:$S$215,"&gt;=0")&lt;2),"No Data Yet",IFERROR(IF(S112/AVERAGEIFS($S$16:$S$215,$B$16:$B$215,B112)&gt;=1.2,"Good",IF(S112/AVERAGEIFS($S$16:$S$215,$B$16:$B$215,B112)&gt;=0.8,"Average","Below Standard")),"Average")))</f>
        <v/>
      </c>
      <c r="U112" s="22" t="str">
        <f aca="false">IF(OR(A112="",B112="",C112=""),"",COUNTIFS('Who Engaged'!$C$5:$C$1004,C112,'Who Engaged'!$O$5:$O$1004,"Yes",'Who Engaged'!$M$5:$M$1004,1))</f>
        <v/>
      </c>
      <c r="V112" s="22" t="str">
        <f aca="false">IF(OR(A112="",B112="",C112=""),"",COUNTIFS('Who Engaged'!$C$5:$C$1004,C112,'Who Engaged'!$O$5:$O$1004,"Yes",'Who Engaged'!$L$5:$L$1004,1))</f>
        <v/>
      </c>
      <c r="W112" s="25" t="str">
        <f aca="false" t="array" ref="W112:W112">IF(OR(A112="",B112="",C112=""),"",_xlfn.TEXTJOIN("; ",TRUE(),IF(('Who Engaged'!$C$5:$C$1004=C112)*('Who Engaged'!$O$5:$O$1004="Yes"),'Who Engaged'!$D$5:$D$1004&amp;" – "&amp;'Who Engaged'!$F$5:$F$1004&amp;IF('Who Engaged'!$L$5:$L$1004=1," (followed)",""),"")))</f>
        <v/>
      </c>
      <c r="X112" s="26"/>
      <c r="Y112" s="26"/>
      <c r="Z112" s="27"/>
      <c r="AA112" s="24" t="str">
        <f aca="false">IF(OR(A112="",B112="",C112=""),"","https://www.alphanodus.com/contact?utm_source="&amp;IF(B112="X","twitter",LOWER(B112))&amp;"&amp;utm_medium=social&amp;utm_campaign="&amp;IF(E112="","general",LOWER(SUBSTITUTE(SUBSTITUTE(E112," / ","-")," ","-")))&amp;"&amp;utm_content="&amp;LOWER(C112))</f>
        <v/>
      </c>
    </row>
    <row r="113" customFormat="false" ht="15" hidden="false" customHeight="false" outlineLevel="0" collapsed="false">
      <c r="A113" s="28"/>
      <c r="B113" s="27"/>
      <c r="C113" s="27"/>
      <c r="D113" s="26"/>
      <c r="E113" s="27"/>
      <c r="F113" s="27"/>
      <c r="G113" s="27"/>
      <c r="H113" s="21"/>
      <c r="I113" s="21"/>
      <c r="J113" s="21"/>
      <c r="K113" s="21"/>
      <c r="L113" s="21"/>
      <c r="M113" s="21"/>
      <c r="N113" s="21"/>
      <c r="O113" s="21"/>
      <c r="P113" s="22" t="str">
        <f aca="false">IF(OR(A113="",B113="",C113=""),"",IF(COUNT(J113:N113)=0,"",SUM(J113:N113)))</f>
        <v/>
      </c>
      <c r="Q113" s="22" t="str">
        <f aca="false">IF(OR(A113="",B113="",C113=""),"",SUMIFS('Who Engaged'!$H$5:$H$1004,'Who Engaged'!$C$5:$C$1004,C113,'Who Engaged'!$N$5:$N$1004,"Yes")+SUMIFS('Who Engaged'!$I$5:$I$1004,'Who Engaged'!$C$5:$C$1004,C113,'Who Engaged'!$N$5:$N$1004,"Yes")+SUMIFS('Who Engaged'!$J$5:$J$1004,'Who Engaged'!$C$5:$C$1004,C113,'Who Engaged'!$N$5:$N$1004,"Yes")+SUMIFS('Who Engaged'!$K$5:$K$1004,'Who Engaged'!$C$5:$C$1004,C113,'Who Engaged'!$N$5:$N$1004,"Yes"))</f>
        <v/>
      </c>
      <c r="R113" s="22" t="str">
        <f aca="false">IF(OR(OR(A113="",B113="",C113=""),P113=""),"",MAX(0,P113-N(Q113)))</f>
        <v/>
      </c>
      <c r="S113" s="23" t="str">
        <f aca="false">IF(OR(OR(A113="",B113="",C113=""),R113=""),"",IFERROR(R113/(IF(N(H113)&gt;0,H113,IF(N(I113)&gt;0,I113,IF(COUNTIFS($B$16:$B$215,B113,$H$16:$H$215,"&gt;0")+COUNTIFS($B$16:$B$215,B113,$I$16:$I$215,"&gt;0")&gt;0,"",INDEX($B$5:$B$7,MATCH(B113,$A$5:$A$7,0)))))),""))</f>
        <v/>
      </c>
      <c r="T113" s="24" t="str">
        <f aca="false">IF(OR(A113="",B113="",C113=""),"",IF(OR(S113="",COUNTIFS($B$16:$B$215,B113,$S$16:$S$215,"&gt;=0")&lt;2),"No Data Yet",IFERROR(IF(S113/AVERAGEIFS($S$16:$S$215,$B$16:$B$215,B113)&gt;=1.2,"Good",IF(S113/AVERAGEIFS($S$16:$S$215,$B$16:$B$215,B113)&gt;=0.8,"Average","Below Standard")),"Average")))</f>
        <v/>
      </c>
      <c r="U113" s="22" t="str">
        <f aca="false">IF(OR(A113="",B113="",C113=""),"",COUNTIFS('Who Engaged'!$C$5:$C$1004,C113,'Who Engaged'!$O$5:$O$1004,"Yes",'Who Engaged'!$M$5:$M$1004,1))</f>
        <v/>
      </c>
      <c r="V113" s="22" t="str">
        <f aca="false">IF(OR(A113="",B113="",C113=""),"",COUNTIFS('Who Engaged'!$C$5:$C$1004,C113,'Who Engaged'!$O$5:$O$1004,"Yes",'Who Engaged'!$L$5:$L$1004,1))</f>
        <v/>
      </c>
      <c r="W113" s="25" t="str">
        <f aca="false" t="array" ref="W113:W113">IF(OR(A113="",B113="",C113=""),"",_xlfn.TEXTJOIN("; ",TRUE(),IF(('Who Engaged'!$C$5:$C$1004=C113)*('Who Engaged'!$O$5:$O$1004="Yes"),'Who Engaged'!$D$5:$D$1004&amp;" – "&amp;'Who Engaged'!$F$5:$F$1004&amp;IF('Who Engaged'!$L$5:$L$1004=1," (followed)",""),"")))</f>
        <v/>
      </c>
      <c r="X113" s="26"/>
      <c r="Y113" s="26"/>
      <c r="Z113" s="27"/>
      <c r="AA113" s="24" t="str">
        <f aca="false">IF(OR(A113="",B113="",C113=""),"","https://www.alphanodus.com/contact?utm_source="&amp;IF(B113="X","twitter",LOWER(B113))&amp;"&amp;utm_medium=social&amp;utm_campaign="&amp;IF(E113="","general",LOWER(SUBSTITUTE(SUBSTITUTE(E113," / ","-")," ","-")))&amp;"&amp;utm_content="&amp;LOWER(C113))</f>
        <v/>
      </c>
    </row>
    <row r="114" customFormat="false" ht="15" hidden="false" customHeight="false" outlineLevel="0" collapsed="false">
      <c r="A114" s="28"/>
      <c r="B114" s="27"/>
      <c r="C114" s="27"/>
      <c r="D114" s="26"/>
      <c r="E114" s="27"/>
      <c r="F114" s="27"/>
      <c r="G114" s="27"/>
      <c r="H114" s="21"/>
      <c r="I114" s="21"/>
      <c r="J114" s="21"/>
      <c r="K114" s="21"/>
      <c r="L114" s="21"/>
      <c r="M114" s="21"/>
      <c r="N114" s="21"/>
      <c r="O114" s="21"/>
      <c r="P114" s="22" t="str">
        <f aca="false">IF(OR(A114="",B114="",C114=""),"",IF(COUNT(J114:N114)=0,"",SUM(J114:N114)))</f>
        <v/>
      </c>
      <c r="Q114" s="22" t="str">
        <f aca="false">IF(OR(A114="",B114="",C114=""),"",SUMIFS('Who Engaged'!$H$5:$H$1004,'Who Engaged'!$C$5:$C$1004,C114,'Who Engaged'!$N$5:$N$1004,"Yes")+SUMIFS('Who Engaged'!$I$5:$I$1004,'Who Engaged'!$C$5:$C$1004,C114,'Who Engaged'!$N$5:$N$1004,"Yes")+SUMIFS('Who Engaged'!$J$5:$J$1004,'Who Engaged'!$C$5:$C$1004,C114,'Who Engaged'!$N$5:$N$1004,"Yes")+SUMIFS('Who Engaged'!$K$5:$K$1004,'Who Engaged'!$C$5:$C$1004,C114,'Who Engaged'!$N$5:$N$1004,"Yes"))</f>
        <v/>
      </c>
      <c r="R114" s="22" t="str">
        <f aca="false">IF(OR(OR(A114="",B114="",C114=""),P114=""),"",MAX(0,P114-N(Q114)))</f>
        <v/>
      </c>
      <c r="S114" s="23" t="str">
        <f aca="false">IF(OR(OR(A114="",B114="",C114=""),R114=""),"",IFERROR(R114/(IF(N(H114)&gt;0,H114,IF(N(I114)&gt;0,I114,IF(COUNTIFS($B$16:$B$215,B114,$H$16:$H$215,"&gt;0")+COUNTIFS($B$16:$B$215,B114,$I$16:$I$215,"&gt;0")&gt;0,"",INDEX($B$5:$B$7,MATCH(B114,$A$5:$A$7,0)))))),""))</f>
        <v/>
      </c>
      <c r="T114" s="24" t="str">
        <f aca="false">IF(OR(A114="",B114="",C114=""),"",IF(OR(S114="",COUNTIFS($B$16:$B$215,B114,$S$16:$S$215,"&gt;=0")&lt;2),"No Data Yet",IFERROR(IF(S114/AVERAGEIFS($S$16:$S$215,$B$16:$B$215,B114)&gt;=1.2,"Good",IF(S114/AVERAGEIFS($S$16:$S$215,$B$16:$B$215,B114)&gt;=0.8,"Average","Below Standard")),"Average")))</f>
        <v/>
      </c>
      <c r="U114" s="22" t="str">
        <f aca="false">IF(OR(A114="",B114="",C114=""),"",COUNTIFS('Who Engaged'!$C$5:$C$1004,C114,'Who Engaged'!$O$5:$O$1004,"Yes",'Who Engaged'!$M$5:$M$1004,1))</f>
        <v/>
      </c>
      <c r="V114" s="22" t="str">
        <f aca="false">IF(OR(A114="",B114="",C114=""),"",COUNTIFS('Who Engaged'!$C$5:$C$1004,C114,'Who Engaged'!$O$5:$O$1004,"Yes",'Who Engaged'!$L$5:$L$1004,1))</f>
        <v/>
      </c>
      <c r="W114" s="25" t="str">
        <f aca="false" t="array" ref="W114:W114">IF(OR(A114="",B114="",C114=""),"",_xlfn.TEXTJOIN("; ",TRUE(),IF(('Who Engaged'!$C$5:$C$1004=C114)*('Who Engaged'!$O$5:$O$1004="Yes"),'Who Engaged'!$D$5:$D$1004&amp;" – "&amp;'Who Engaged'!$F$5:$F$1004&amp;IF('Who Engaged'!$L$5:$L$1004=1," (followed)",""),"")))</f>
        <v/>
      </c>
      <c r="X114" s="26"/>
      <c r="Y114" s="26"/>
      <c r="Z114" s="27"/>
      <c r="AA114" s="24" t="str">
        <f aca="false">IF(OR(A114="",B114="",C114=""),"","https://www.alphanodus.com/contact?utm_source="&amp;IF(B114="X","twitter",LOWER(B114))&amp;"&amp;utm_medium=social&amp;utm_campaign="&amp;IF(E114="","general",LOWER(SUBSTITUTE(SUBSTITUTE(E114," / ","-")," ","-")))&amp;"&amp;utm_content="&amp;LOWER(C114))</f>
        <v/>
      </c>
    </row>
    <row r="115" customFormat="false" ht="15" hidden="false" customHeight="false" outlineLevel="0" collapsed="false">
      <c r="A115" s="28"/>
      <c r="B115" s="27"/>
      <c r="C115" s="27"/>
      <c r="D115" s="26"/>
      <c r="E115" s="27"/>
      <c r="F115" s="27"/>
      <c r="G115" s="27"/>
      <c r="H115" s="21"/>
      <c r="I115" s="21"/>
      <c r="J115" s="21"/>
      <c r="K115" s="21"/>
      <c r="L115" s="21"/>
      <c r="M115" s="21"/>
      <c r="N115" s="21"/>
      <c r="O115" s="21"/>
      <c r="P115" s="22" t="str">
        <f aca="false">IF(OR(A115="",B115="",C115=""),"",IF(COUNT(J115:N115)=0,"",SUM(J115:N115)))</f>
        <v/>
      </c>
      <c r="Q115" s="22" t="str">
        <f aca="false">IF(OR(A115="",B115="",C115=""),"",SUMIFS('Who Engaged'!$H$5:$H$1004,'Who Engaged'!$C$5:$C$1004,C115,'Who Engaged'!$N$5:$N$1004,"Yes")+SUMIFS('Who Engaged'!$I$5:$I$1004,'Who Engaged'!$C$5:$C$1004,C115,'Who Engaged'!$N$5:$N$1004,"Yes")+SUMIFS('Who Engaged'!$J$5:$J$1004,'Who Engaged'!$C$5:$C$1004,C115,'Who Engaged'!$N$5:$N$1004,"Yes")+SUMIFS('Who Engaged'!$K$5:$K$1004,'Who Engaged'!$C$5:$C$1004,C115,'Who Engaged'!$N$5:$N$1004,"Yes"))</f>
        <v/>
      </c>
      <c r="R115" s="22" t="str">
        <f aca="false">IF(OR(OR(A115="",B115="",C115=""),P115=""),"",MAX(0,P115-N(Q115)))</f>
        <v/>
      </c>
      <c r="S115" s="23" t="str">
        <f aca="false">IF(OR(OR(A115="",B115="",C115=""),R115=""),"",IFERROR(R115/(IF(N(H115)&gt;0,H115,IF(N(I115)&gt;0,I115,IF(COUNTIFS($B$16:$B$215,B115,$H$16:$H$215,"&gt;0")+COUNTIFS($B$16:$B$215,B115,$I$16:$I$215,"&gt;0")&gt;0,"",INDEX($B$5:$B$7,MATCH(B115,$A$5:$A$7,0)))))),""))</f>
        <v/>
      </c>
      <c r="T115" s="24" t="str">
        <f aca="false">IF(OR(A115="",B115="",C115=""),"",IF(OR(S115="",COUNTIFS($B$16:$B$215,B115,$S$16:$S$215,"&gt;=0")&lt;2),"No Data Yet",IFERROR(IF(S115/AVERAGEIFS($S$16:$S$215,$B$16:$B$215,B115)&gt;=1.2,"Good",IF(S115/AVERAGEIFS($S$16:$S$215,$B$16:$B$215,B115)&gt;=0.8,"Average","Below Standard")),"Average")))</f>
        <v/>
      </c>
      <c r="U115" s="22" t="str">
        <f aca="false">IF(OR(A115="",B115="",C115=""),"",COUNTIFS('Who Engaged'!$C$5:$C$1004,C115,'Who Engaged'!$O$5:$O$1004,"Yes",'Who Engaged'!$M$5:$M$1004,1))</f>
        <v/>
      </c>
      <c r="V115" s="22" t="str">
        <f aca="false">IF(OR(A115="",B115="",C115=""),"",COUNTIFS('Who Engaged'!$C$5:$C$1004,C115,'Who Engaged'!$O$5:$O$1004,"Yes",'Who Engaged'!$L$5:$L$1004,1))</f>
        <v/>
      </c>
      <c r="W115" s="25" t="str">
        <f aca="false" t="array" ref="W115:W115">IF(OR(A115="",B115="",C115=""),"",_xlfn.TEXTJOIN("; ",TRUE(),IF(('Who Engaged'!$C$5:$C$1004=C115)*('Who Engaged'!$O$5:$O$1004="Yes"),'Who Engaged'!$D$5:$D$1004&amp;" – "&amp;'Who Engaged'!$F$5:$F$1004&amp;IF('Who Engaged'!$L$5:$L$1004=1," (followed)",""),"")))</f>
        <v/>
      </c>
      <c r="X115" s="26"/>
      <c r="Y115" s="26"/>
      <c r="Z115" s="27"/>
      <c r="AA115" s="24" t="str">
        <f aca="false">IF(OR(A115="",B115="",C115=""),"","https://www.alphanodus.com/contact?utm_source="&amp;IF(B115="X","twitter",LOWER(B115))&amp;"&amp;utm_medium=social&amp;utm_campaign="&amp;IF(E115="","general",LOWER(SUBSTITUTE(SUBSTITUTE(E115," / ","-")," ","-")))&amp;"&amp;utm_content="&amp;LOWER(C115))</f>
        <v/>
      </c>
    </row>
    <row r="116" customFormat="false" ht="15" hidden="false" customHeight="false" outlineLevel="0" collapsed="false">
      <c r="A116" s="28"/>
      <c r="B116" s="27"/>
      <c r="C116" s="27"/>
      <c r="D116" s="26"/>
      <c r="E116" s="27"/>
      <c r="F116" s="27"/>
      <c r="G116" s="27"/>
      <c r="H116" s="21"/>
      <c r="I116" s="21"/>
      <c r="J116" s="21"/>
      <c r="K116" s="21"/>
      <c r="L116" s="21"/>
      <c r="M116" s="21"/>
      <c r="N116" s="21"/>
      <c r="O116" s="21"/>
      <c r="P116" s="22" t="str">
        <f aca="false">IF(OR(A116="",B116="",C116=""),"",IF(COUNT(J116:N116)=0,"",SUM(J116:N116)))</f>
        <v/>
      </c>
      <c r="Q116" s="22" t="str">
        <f aca="false">IF(OR(A116="",B116="",C116=""),"",SUMIFS('Who Engaged'!$H$5:$H$1004,'Who Engaged'!$C$5:$C$1004,C116,'Who Engaged'!$N$5:$N$1004,"Yes")+SUMIFS('Who Engaged'!$I$5:$I$1004,'Who Engaged'!$C$5:$C$1004,C116,'Who Engaged'!$N$5:$N$1004,"Yes")+SUMIFS('Who Engaged'!$J$5:$J$1004,'Who Engaged'!$C$5:$C$1004,C116,'Who Engaged'!$N$5:$N$1004,"Yes")+SUMIFS('Who Engaged'!$K$5:$K$1004,'Who Engaged'!$C$5:$C$1004,C116,'Who Engaged'!$N$5:$N$1004,"Yes"))</f>
        <v/>
      </c>
      <c r="R116" s="22" t="str">
        <f aca="false">IF(OR(OR(A116="",B116="",C116=""),P116=""),"",MAX(0,P116-N(Q116)))</f>
        <v/>
      </c>
      <c r="S116" s="23" t="str">
        <f aca="false">IF(OR(OR(A116="",B116="",C116=""),R116=""),"",IFERROR(R116/(IF(N(H116)&gt;0,H116,IF(N(I116)&gt;0,I116,IF(COUNTIFS($B$16:$B$215,B116,$H$16:$H$215,"&gt;0")+COUNTIFS($B$16:$B$215,B116,$I$16:$I$215,"&gt;0")&gt;0,"",INDEX($B$5:$B$7,MATCH(B116,$A$5:$A$7,0)))))),""))</f>
        <v/>
      </c>
      <c r="T116" s="24" t="str">
        <f aca="false">IF(OR(A116="",B116="",C116=""),"",IF(OR(S116="",COUNTIFS($B$16:$B$215,B116,$S$16:$S$215,"&gt;=0")&lt;2),"No Data Yet",IFERROR(IF(S116/AVERAGEIFS($S$16:$S$215,$B$16:$B$215,B116)&gt;=1.2,"Good",IF(S116/AVERAGEIFS($S$16:$S$215,$B$16:$B$215,B116)&gt;=0.8,"Average","Below Standard")),"Average")))</f>
        <v/>
      </c>
      <c r="U116" s="22" t="str">
        <f aca="false">IF(OR(A116="",B116="",C116=""),"",COUNTIFS('Who Engaged'!$C$5:$C$1004,C116,'Who Engaged'!$O$5:$O$1004,"Yes",'Who Engaged'!$M$5:$M$1004,1))</f>
        <v/>
      </c>
      <c r="V116" s="22" t="str">
        <f aca="false">IF(OR(A116="",B116="",C116=""),"",COUNTIFS('Who Engaged'!$C$5:$C$1004,C116,'Who Engaged'!$O$5:$O$1004,"Yes",'Who Engaged'!$L$5:$L$1004,1))</f>
        <v/>
      </c>
      <c r="W116" s="25" t="str">
        <f aca="false" t="array" ref="W116:W116">IF(OR(A116="",B116="",C116=""),"",_xlfn.TEXTJOIN("; ",TRUE(),IF(('Who Engaged'!$C$5:$C$1004=C116)*('Who Engaged'!$O$5:$O$1004="Yes"),'Who Engaged'!$D$5:$D$1004&amp;" – "&amp;'Who Engaged'!$F$5:$F$1004&amp;IF('Who Engaged'!$L$5:$L$1004=1," (followed)",""),"")))</f>
        <v/>
      </c>
      <c r="X116" s="26"/>
      <c r="Y116" s="26"/>
      <c r="Z116" s="27"/>
      <c r="AA116" s="24" t="str">
        <f aca="false">IF(OR(A116="",B116="",C116=""),"","https://www.alphanodus.com/contact?utm_source="&amp;IF(B116="X","twitter",LOWER(B116))&amp;"&amp;utm_medium=social&amp;utm_campaign="&amp;IF(E116="","general",LOWER(SUBSTITUTE(SUBSTITUTE(E116," / ","-")," ","-")))&amp;"&amp;utm_content="&amp;LOWER(C116))</f>
        <v/>
      </c>
    </row>
    <row r="117" customFormat="false" ht="15" hidden="false" customHeight="false" outlineLevel="0" collapsed="false">
      <c r="A117" s="28"/>
      <c r="B117" s="27"/>
      <c r="C117" s="27"/>
      <c r="D117" s="26"/>
      <c r="E117" s="27"/>
      <c r="F117" s="27"/>
      <c r="G117" s="27"/>
      <c r="H117" s="21"/>
      <c r="I117" s="21"/>
      <c r="J117" s="21"/>
      <c r="K117" s="21"/>
      <c r="L117" s="21"/>
      <c r="M117" s="21"/>
      <c r="N117" s="21"/>
      <c r="O117" s="21"/>
      <c r="P117" s="22" t="str">
        <f aca="false">IF(OR(A117="",B117="",C117=""),"",IF(COUNT(J117:N117)=0,"",SUM(J117:N117)))</f>
        <v/>
      </c>
      <c r="Q117" s="22" t="str">
        <f aca="false">IF(OR(A117="",B117="",C117=""),"",SUMIFS('Who Engaged'!$H$5:$H$1004,'Who Engaged'!$C$5:$C$1004,C117,'Who Engaged'!$N$5:$N$1004,"Yes")+SUMIFS('Who Engaged'!$I$5:$I$1004,'Who Engaged'!$C$5:$C$1004,C117,'Who Engaged'!$N$5:$N$1004,"Yes")+SUMIFS('Who Engaged'!$J$5:$J$1004,'Who Engaged'!$C$5:$C$1004,C117,'Who Engaged'!$N$5:$N$1004,"Yes")+SUMIFS('Who Engaged'!$K$5:$K$1004,'Who Engaged'!$C$5:$C$1004,C117,'Who Engaged'!$N$5:$N$1004,"Yes"))</f>
        <v/>
      </c>
      <c r="R117" s="22" t="str">
        <f aca="false">IF(OR(OR(A117="",B117="",C117=""),P117=""),"",MAX(0,P117-N(Q117)))</f>
        <v/>
      </c>
      <c r="S117" s="23" t="str">
        <f aca="false">IF(OR(OR(A117="",B117="",C117=""),R117=""),"",IFERROR(R117/(IF(N(H117)&gt;0,H117,IF(N(I117)&gt;0,I117,IF(COUNTIFS($B$16:$B$215,B117,$H$16:$H$215,"&gt;0")+COUNTIFS($B$16:$B$215,B117,$I$16:$I$215,"&gt;0")&gt;0,"",INDEX($B$5:$B$7,MATCH(B117,$A$5:$A$7,0)))))),""))</f>
        <v/>
      </c>
      <c r="T117" s="24" t="str">
        <f aca="false">IF(OR(A117="",B117="",C117=""),"",IF(OR(S117="",COUNTIFS($B$16:$B$215,B117,$S$16:$S$215,"&gt;=0")&lt;2),"No Data Yet",IFERROR(IF(S117/AVERAGEIFS($S$16:$S$215,$B$16:$B$215,B117)&gt;=1.2,"Good",IF(S117/AVERAGEIFS($S$16:$S$215,$B$16:$B$215,B117)&gt;=0.8,"Average","Below Standard")),"Average")))</f>
        <v/>
      </c>
      <c r="U117" s="22" t="str">
        <f aca="false">IF(OR(A117="",B117="",C117=""),"",COUNTIFS('Who Engaged'!$C$5:$C$1004,C117,'Who Engaged'!$O$5:$O$1004,"Yes",'Who Engaged'!$M$5:$M$1004,1))</f>
        <v/>
      </c>
      <c r="V117" s="22" t="str">
        <f aca="false">IF(OR(A117="",B117="",C117=""),"",COUNTIFS('Who Engaged'!$C$5:$C$1004,C117,'Who Engaged'!$O$5:$O$1004,"Yes",'Who Engaged'!$L$5:$L$1004,1))</f>
        <v/>
      </c>
      <c r="W117" s="25" t="str">
        <f aca="false" t="array" ref="W117:W117">IF(OR(A117="",B117="",C117=""),"",_xlfn.TEXTJOIN("; ",TRUE(),IF(('Who Engaged'!$C$5:$C$1004=C117)*('Who Engaged'!$O$5:$O$1004="Yes"),'Who Engaged'!$D$5:$D$1004&amp;" – "&amp;'Who Engaged'!$F$5:$F$1004&amp;IF('Who Engaged'!$L$5:$L$1004=1," (followed)",""),"")))</f>
        <v/>
      </c>
      <c r="X117" s="26"/>
      <c r="Y117" s="26"/>
      <c r="Z117" s="27"/>
      <c r="AA117" s="24" t="str">
        <f aca="false">IF(OR(A117="",B117="",C117=""),"","https://www.alphanodus.com/contact?utm_source="&amp;IF(B117="X","twitter",LOWER(B117))&amp;"&amp;utm_medium=social&amp;utm_campaign="&amp;IF(E117="","general",LOWER(SUBSTITUTE(SUBSTITUTE(E117," / ","-")," ","-")))&amp;"&amp;utm_content="&amp;LOWER(C117))</f>
        <v/>
      </c>
    </row>
    <row r="118" customFormat="false" ht="15" hidden="false" customHeight="false" outlineLevel="0" collapsed="false">
      <c r="A118" s="28"/>
      <c r="B118" s="27"/>
      <c r="C118" s="27"/>
      <c r="D118" s="26"/>
      <c r="E118" s="27"/>
      <c r="F118" s="27"/>
      <c r="G118" s="27"/>
      <c r="H118" s="21"/>
      <c r="I118" s="21"/>
      <c r="J118" s="21"/>
      <c r="K118" s="21"/>
      <c r="L118" s="21"/>
      <c r="M118" s="21"/>
      <c r="N118" s="21"/>
      <c r="O118" s="21"/>
      <c r="P118" s="22" t="str">
        <f aca="false">IF(OR(A118="",B118="",C118=""),"",IF(COUNT(J118:N118)=0,"",SUM(J118:N118)))</f>
        <v/>
      </c>
      <c r="Q118" s="22" t="str">
        <f aca="false">IF(OR(A118="",B118="",C118=""),"",SUMIFS('Who Engaged'!$H$5:$H$1004,'Who Engaged'!$C$5:$C$1004,C118,'Who Engaged'!$N$5:$N$1004,"Yes")+SUMIFS('Who Engaged'!$I$5:$I$1004,'Who Engaged'!$C$5:$C$1004,C118,'Who Engaged'!$N$5:$N$1004,"Yes")+SUMIFS('Who Engaged'!$J$5:$J$1004,'Who Engaged'!$C$5:$C$1004,C118,'Who Engaged'!$N$5:$N$1004,"Yes")+SUMIFS('Who Engaged'!$K$5:$K$1004,'Who Engaged'!$C$5:$C$1004,C118,'Who Engaged'!$N$5:$N$1004,"Yes"))</f>
        <v/>
      </c>
      <c r="R118" s="22" t="str">
        <f aca="false">IF(OR(OR(A118="",B118="",C118=""),P118=""),"",MAX(0,P118-N(Q118)))</f>
        <v/>
      </c>
      <c r="S118" s="23" t="str">
        <f aca="false">IF(OR(OR(A118="",B118="",C118=""),R118=""),"",IFERROR(R118/(IF(N(H118)&gt;0,H118,IF(N(I118)&gt;0,I118,IF(COUNTIFS($B$16:$B$215,B118,$H$16:$H$215,"&gt;0")+COUNTIFS($B$16:$B$215,B118,$I$16:$I$215,"&gt;0")&gt;0,"",INDEX($B$5:$B$7,MATCH(B118,$A$5:$A$7,0)))))),""))</f>
        <v/>
      </c>
      <c r="T118" s="24" t="str">
        <f aca="false">IF(OR(A118="",B118="",C118=""),"",IF(OR(S118="",COUNTIFS($B$16:$B$215,B118,$S$16:$S$215,"&gt;=0")&lt;2),"No Data Yet",IFERROR(IF(S118/AVERAGEIFS($S$16:$S$215,$B$16:$B$215,B118)&gt;=1.2,"Good",IF(S118/AVERAGEIFS($S$16:$S$215,$B$16:$B$215,B118)&gt;=0.8,"Average","Below Standard")),"Average")))</f>
        <v/>
      </c>
      <c r="U118" s="22" t="str">
        <f aca="false">IF(OR(A118="",B118="",C118=""),"",COUNTIFS('Who Engaged'!$C$5:$C$1004,C118,'Who Engaged'!$O$5:$O$1004,"Yes",'Who Engaged'!$M$5:$M$1004,1))</f>
        <v/>
      </c>
      <c r="V118" s="22" t="str">
        <f aca="false">IF(OR(A118="",B118="",C118=""),"",COUNTIFS('Who Engaged'!$C$5:$C$1004,C118,'Who Engaged'!$O$5:$O$1004,"Yes",'Who Engaged'!$L$5:$L$1004,1))</f>
        <v/>
      </c>
      <c r="W118" s="25" t="str">
        <f aca="false" t="array" ref="W118:W118">IF(OR(A118="",B118="",C118=""),"",_xlfn.TEXTJOIN("; ",TRUE(),IF(('Who Engaged'!$C$5:$C$1004=C118)*('Who Engaged'!$O$5:$O$1004="Yes"),'Who Engaged'!$D$5:$D$1004&amp;" – "&amp;'Who Engaged'!$F$5:$F$1004&amp;IF('Who Engaged'!$L$5:$L$1004=1," (followed)",""),"")))</f>
        <v/>
      </c>
      <c r="X118" s="26"/>
      <c r="Y118" s="26"/>
      <c r="Z118" s="27"/>
      <c r="AA118" s="24" t="str">
        <f aca="false">IF(OR(A118="",B118="",C118=""),"","https://www.alphanodus.com/contact?utm_source="&amp;IF(B118="X","twitter",LOWER(B118))&amp;"&amp;utm_medium=social&amp;utm_campaign="&amp;IF(E118="","general",LOWER(SUBSTITUTE(SUBSTITUTE(E118," / ","-")," ","-")))&amp;"&amp;utm_content="&amp;LOWER(C118))</f>
        <v/>
      </c>
    </row>
    <row r="119" customFormat="false" ht="15" hidden="false" customHeight="false" outlineLevel="0" collapsed="false">
      <c r="A119" s="28"/>
      <c r="B119" s="27"/>
      <c r="C119" s="27"/>
      <c r="D119" s="26"/>
      <c r="E119" s="27"/>
      <c r="F119" s="27"/>
      <c r="G119" s="27"/>
      <c r="H119" s="21"/>
      <c r="I119" s="21"/>
      <c r="J119" s="21"/>
      <c r="K119" s="21"/>
      <c r="L119" s="21"/>
      <c r="M119" s="21"/>
      <c r="N119" s="21"/>
      <c r="O119" s="21"/>
      <c r="P119" s="22" t="str">
        <f aca="false">IF(OR(A119="",B119="",C119=""),"",IF(COUNT(J119:N119)=0,"",SUM(J119:N119)))</f>
        <v/>
      </c>
      <c r="Q119" s="22" t="str">
        <f aca="false">IF(OR(A119="",B119="",C119=""),"",SUMIFS('Who Engaged'!$H$5:$H$1004,'Who Engaged'!$C$5:$C$1004,C119,'Who Engaged'!$N$5:$N$1004,"Yes")+SUMIFS('Who Engaged'!$I$5:$I$1004,'Who Engaged'!$C$5:$C$1004,C119,'Who Engaged'!$N$5:$N$1004,"Yes")+SUMIFS('Who Engaged'!$J$5:$J$1004,'Who Engaged'!$C$5:$C$1004,C119,'Who Engaged'!$N$5:$N$1004,"Yes")+SUMIFS('Who Engaged'!$K$5:$K$1004,'Who Engaged'!$C$5:$C$1004,C119,'Who Engaged'!$N$5:$N$1004,"Yes"))</f>
        <v/>
      </c>
      <c r="R119" s="22" t="str">
        <f aca="false">IF(OR(OR(A119="",B119="",C119=""),P119=""),"",MAX(0,P119-N(Q119)))</f>
        <v/>
      </c>
      <c r="S119" s="23" t="str">
        <f aca="false">IF(OR(OR(A119="",B119="",C119=""),R119=""),"",IFERROR(R119/(IF(N(H119)&gt;0,H119,IF(N(I119)&gt;0,I119,IF(COUNTIFS($B$16:$B$215,B119,$H$16:$H$215,"&gt;0")+COUNTIFS($B$16:$B$215,B119,$I$16:$I$215,"&gt;0")&gt;0,"",INDEX($B$5:$B$7,MATCH(B119,$A$5:$A$7,0)))))),""))</f>
        <v/>
      </c>
      <c r="T119" s="24" t="str">
        <f aca="false">IF(OR(A119="",B119="",C119=""),"",IF(OR(S119="",COUNTIFS($B$16:$B$215,B119,$S$16:$S$215,"&gt;=0")&lt;2),"No Data Yet",IFERROR(IF(S119/AVERAGEIFS($S$16:$S$215,$B$16:$B$215,B119)&gt;=1.2,"Good",IF(S119/AVERAGEIFS($S$16:$S$215,$B$16:$B$215,B119)&gt;=0.8,"Average","Below Standard")),"Average")))</f>
        <v/>
      </c>
      <c r="U119" s="22" t="str">
        <f aca="false">IF(OR(A119="",B119="",C119=""),"",COUNTIFS('Who Engaged'!$C$5:$C$1004,C119,'Who Engaged'!$O$5:$O$1004,"Yes",'Who Engaged'!$M$5:$M$1004,1))</f>
        <v/>
      </c>
      <c r="V119" s="22" t="str">
        <f aca="false">IF(OR(A119="",B119="",C119=""),"",COUNTIFS('Who Engaged'!$C$5:$C$1004,C119,'Who Engaged'!$O$5:$O$1004,"Yes",'Who Engaged'!$L$5:$L$1004,1))</f>
        <v/>
      </c>
      <c r="W119" s="25" t="str">
        <f aca="false" t="array" ref="W119:W119">IF(OR(A119="",B119="",C119=""),"",_xlfn.TEXTJOIN("; ",TRUE(),IF(('Who Engaged'!$C$5:$C$1004=C119)*('Who Engaged'!$O$5:$O$1004="Yes"),'Who Engaged'!$D$5:$D$1004&amp;" – "&amp;'Who Engaged'!$F$5:$F$1004&amp;IF('Who Engaged'!$L$5:$L$1004=1," (followed)",""),"")))</f>
        <v/>
      </c>
      <c r="X119" s="26"/>
      <c r="Y119" s="26"/>
      <c r="Z119" s="27"/>
      <c r="AA119" s="24" t="str">
        <f aca="false">IF(OR(A119="",B119="",C119=""),"","https://www.alphanodus.com/contact?utm_source="&amp;IF(B119="X","twitter",LOWER(B119))&amp;"&amp;utm_medium=social&amp;utm_campaign="&amp;IF(E119="","general",LOWER(SUBSTITUTE(SUBSTITUTE(E119," / ","-")," ","-")))&amp;"&amp;utm_content="&amp;LOWER(C119))</f>
        <v/>
      </c>
    </row>
    <row r="120" customFormat="false" ht="15" hidden="false" customHeight="false" outlineLevel="0" collapsed="false">
      <c r="A120" s="28"/>
      <c r="B120" s="27"/>
      <c r="C120" s="27"/>
      <c r="D120" s="26"/>
      <c r="E120" s="27"/>
      <c r="F120" s="27"/>
      <c r="G120" s="27"/>
      <c r="H120" s="21"/>
      <c r="I120" s="21"/>
      <c r="J120" s="21"/>
      <c r="K120" s="21"/>
      <c r="L120" s="21"/>
      <c r="M120" s="21"/>
      <c r="N120" s="21"/>
      <c r="O120" s="21"/>
      <c r="P120" s="22" t="str">
        <f aca="false">IF(OR(A120="",B120="",C120=""),"",IF(COUNT(J120:N120)=0,"",SUM(J120:N120)))</f>
        <v/>
      </c>
      <c r="Q120" s="22" t="str">
        <f aca="false">IF(OR(A120="",B120="",C120=""),"",SUMIFS('Who Engaged'!$H$5:$H$1004,'Who Engaged'!$C$5:$C$1004,C120,'Who Engaged'!$N$5:$N$1004,"Yes")+SUMIFS('Who Engaged'!$I$5:$I$1004,'Who Engaged'!$C$5:$C$1004,C120,'Who Engaged'!$N$5:$N$1004,"Yes")+SUMIFS('Who Engaged'!$J$5:$J$1004,'Who Engaged'!$C$5:$C$1004,C120,'Who Engaged'!$N$5:$N$1004,"Yes")+SUMIFS('Who Engaged'!$K$5:$K$1004,'Who Engaged'!$C$5:$C$1004,C120,'Who Engaged'!$N$5:$N$1004,"Yes"))</f>
        <v/>
      </c>
      <c r="R120" s="22" t="str">
        <f aca="false">IF(OR(OR(A120="",B120="",C120=""),P120=""),"",MAX(0,P120-N(Q120)))</f>
        <v/>
      </c>
      <c r="S120" s="23" t="str">
        <f aca="false">IF(OR(OR(A120="",B120="",C120=""),R120=""),"",IFERROR(R120/(IF(N(H120)&gt;0,H120,IF(N(I120)&gt;0,I120,IF(COUNTIFS($B$16:$B$215,B120,$H$16:$H$215,"&gt;0")+COUNTIFS($B$16:$B$215,B120,$I$16:$I$215,"&gt;0")&gt;0,"",INDEX($B$5:$B$7,MATCH(B120,$A$5:$A$7,0)))))),""))</f>
        <v/>
      </c>
      <c r="T120" s="24" t="str">
        <f aca="false">IF(OR(A120="",B120="",C120=""),"",IF(OR(S120="",COUNTIFS($B$16:$B$215,B120,$S$16:$S$215,"&gt;=0")&lt;2),"No Data Yet",IFERROR(IF(S120/AVERAGEIFS($S$16:$S$215,$B$16:$B$215,B120)&gt;=1.2,"Good",IF(S120/AVERAGEIFS($S$16:$S$215,$B$16:$B$215,B120)&gt;=0.8,"Average","Below Standard")),"Average")))</f>
        <v/>
      </c>
      <c r="U120" s="22" t="str">
        <f aca="false">IF(OR(A120="",B120="",C120=""),"",COUNTIFS('Who Engaged'!$C$5:$C$1004,C120,'Who Engaged'!$O$5:$O$1004,"Yes",'Who Engaged'!$M$5:$M$1004,1))</f>
        <v/>
      </c>
      <c r="V120" s="22" t="str">
        <f aca="false">IF(OR(A120="",B120="",C120=""),"",COUNTIFS('Who Engaged'!$C$5:$C$1004,C120,'Who Engaged'!$O$5:$O$1004,"Yes",'Who Engaged'!$L$5:$L$1004,1))</f>
        <v/>
      </c>
      <c r="W120" s="25" t="str">
        <f aca="false" t="array" ref="W120:W120">IF(OR(A120="",B120="",C120=""),"",_xlfn.TEXTJOIN("; ",TRUE(),IF(('Who Engaged'!$C$5:$C$1004=C120)*('Who Engaged'!$O$5:$O$1004="Yes"),'Who Engaged'!$D$5:$D$1004&amp;" – "&amp;'Who Engaged'!$F$5:$F$1004&amp;IF('Who Engaged'!$L$5:$L$1004=1," (followed)",""),"")))</f>
        <v/>
      </c>
      <c r="X120" s="26"/>
      <c r="Y120" s="26"/>
      <c r="Z120" s="27"/>
      <c r="AA120" s="24" t="str">
        <f aca="false">IF(OR(A120="",B120="",C120=""),"","https://www.alphanodus.com/contact?utm_source="&amp;IF(B120="X","twitter",LOWER(B120))&amp;"&amp;utm_medium=social&amp;utm_campaign="&amp;IF(E120="","general",LOWER(SUBSTITUTE(SUBSTITUTE(E120," / ","-")," ","-")))&amp;"&amp;utm_content="&amp;LOWER(C120))</f>
        <v/>
      </c>
    </row>
    <row r="121" customFormat="false" ht="15" hidden="false" customHeight="false" outlineLevel="0" collapsed="false">
      <c r="A121" s="28"/>
      <c r="B121" s="27"/>
      <c r="C121" s="27"/>
      <c r="D121" s="26"/>
      <c r="E121" s="27"/>
      <c r="F121" s="27"/>
      <c r="G121" s="27"/>
      <c r="H121" s="21"/>
      <c r="I121" s="21"/>
      <c r="J121" s="21"/>
      <c r="K121" s="21"/>
      <c r="L121" s="21"/>
      <c r="M121" s="21"/>
      <c r="N121" s="21"/>
      <c r="O121" s="21"/>
      <c r="P121" s="22" t="str">
        <f aca="false">IF(OR(A121="",B121="",C121=""),"",IF(COUNT(J121:N121)=0,"",SUM(J121:N121)))</f>
        <v/>
      </c>
      <c r="Q121" s="22" t="str">
        <f aca="false">IF(OR(A121="",B121="",C121=""),"",SUMIFS('Who Engaged'!$H$5:$H$1004,'Who Engaged'!$C$5:$C$1004,C121,'Who Engaged'!$N$5:$N$1004,"Yes")+SUMIFS('Who Engaged'!$I$5:$I$1004,'Who Engaged'!$C$5:$C$1004,C121,'Who Engaged'!$N$5:$N$1004,"Yes")+SUMIFS('Who Engaged'!$J$5:$J$1004,'Who Engaged'!$C$5:$C$1004,C121,'Who Engaged'!$N$5:$N$1004,"Yes")+SUMIFS('Who Engaged'!$K$5:$K$1004,'Who Engaged'!$C$5:$C$1004,C121,'Who Engaged'!$N$5:$N$1004,"Yes"))</f>
        <v/>
      </c>
      <c r="R121" s="22" t="str">
        <f aca="false">IF(OR(OR(A121="",B121="",C121=""),P121=""),"",MAX(0,P121-N(Q121)))</f>
        <v/>
      </c>
      <c r="S121" s="23" t="str">
        <f aca="false">IF(OR(OR(A121="",B121="",C121=""),R121=""),"",IFERROR(R121/(IF(N(H121)&gt;0,H121,IF(N(I121)&gt;0,I121,IF(COUNTIFS($B$16:$B$215,B121,$H$16:$H$215,"&gt;0")+COUNTIFS($B$16:$B$215,B121,$I$16:$I$215,"&gt;0")&gt;0,"",INDEX($B$5:$B$7,MATCH(B121,$A$5:$A$7,0)))))),""))</f>
        <v/>
      </c>
      <c r="T121" s="24" t="str">
        <f aca="false">IF(OR(A121="",B121="",C121=""),"",IF(OR(S121="",COUNTIFS($B$16:$B$215,B121,$S$16:$S$215,"&gt;=0")&lt;2),"No Data Yet",IFERROR(IF(S121/AVERAGEIFS($S$16:$S$215,$B$16:$B$215,B121)&gt;=1.2,"Good",IF(S121/AVERAGEIFS($S$16:$S$215,$B$16:$B$215,B121)&gt;=0.8,"Average","Below Standard")),"Average")))</f>
        <v/>
      </c>
      <c r="U121" s="22" t="str">
        <f aca="false">IF(OR(A121="",B121="",C121=""),"",COUNTIFS('Who Engaged'!$C$5:$C$1004,C121,'Who Engaged'!$O$5:$O$1004,"Yes",'Who Engaged'!$M$5:$M$1004,1))</f>
        <v/>
      </c>
      <c r="V121" s="22" t="str">
        <f aca="false">IF(OR(A121="",B121="",C121=""),"",COUNTIFS('Who Engaged'!$C$5:$C$1004,C121,'Who Engaged'!$O$5:$O$1004,"Yes",'Who Engaged'!$L$5:$L$1004,1))</f>
        <v/>
      </c>
      <c r="W121" s="25" t="str">
        <f aca="false" t="array" ref="W121:W121">IF(OR(A121="",B121="",C121=""),"",_xlfn.TEXTJOIN("; ",TRUE(),IF(('Who Engaged'!$C$5:$C$1004=C121)*('Who Engaged'!$O$5:$O$1004="Yes"),'Who Engaged'!$D$5:$D$1004&amp;" – "&amp;'Who Engaged'!$F$5:$F$1004&amp;IF('Who Engaged'!$L$5:$L$1004=1," (followed)",""),"")))</f>
        <v/>
      </c>
      <c r="X121" s="26"/>
      <c r="Y121" s="26"/>
      <c r="Z121" s="27"/>
      <c r="AA121" s="24" t="str">
        <f aca="false">IF(OR(A121="",B121="",C121=""),"","https://www.alphanodus.com/contact?utm_source="&amp;IF(B121="X","twitter",LOWER(B121))&amp;"&amp;utm_medium=social&amp;utm_campaign="&amp;IF(E121="","general",LOWER(SUBSTITUTE(SUBSTITUTE(E121," / ","-")," ","-")))&amp;"&amp;utm_content="&amp;LOWER(C121))</f>
        <v/>
      </c>
    </row>
    <row r="122" customFormat="false" ht="15" hidden="false" customHeight="false" outlineLevel="0" collapsed="false">
      <c r="A122" s="28"/>
      <c r="B122" s="27"/>
      <c r="C122" s="27"/>
      <c r="D122" s="26"/>
      <c r="E122" s="27"/>
      <c r="F122" s="27"/>
      <c r="G122" s="27"/>
      <c r="H122" s="21"/>
      <c r="I122" s="21"/>
      <c r="J122" s="21"/>
      <c r="K122" s="21"/>
      <c r="L122" s="21"/>
      <c r="M122" s="21"/>
      <c r="N122" s="21"/>
      <c r="O122" s="21"/>
      <c r="P122" s="22" t="str">
        <f aca="false">IF(OR(A122="",B122="",C122=""),"",IF(COUNT(J122:N122)=0,"",SUM(J122:N122)))</f>
        <v/>
      </c>
      <c r="Q122" s="22" t="str">
        <f aca="false">IF(OR(A122="",B122="",C122=""),"",SUMIFS('Who Engaged'!$H$5:$H$1004,'Who Engaged'!$C$5:$C$1004,C122,'Who Engaged'!$N$5:$N$1004,"Yes")+SUMIFS('Who Engaged'!$I$5:$I$1004,'Who Engaged'!$C$5:$C$1004,C122,'Who Engaged'!$N$5:$N$1004,"Yes")+SUMIFS('Who Engaged'!$J$5:$J$1004,'Who Engaged'!$C$5:$C$1004,C122,'Who Engaged'!$N$5:$N$1004,"Yes")+SUMIFS('Who Engaged'!$K$5:$K$1004,'Who Engaged'!$C$5:$C$1004,C122,'Who Engaged'!$N$5:$N$1004,"Yes"))</f>
        <v/>
      </c>
      <c r="R122" s="22" t="str">
        <f aca="false">IF(OR(OR(A122="",B122="",C122=""),P122=""),"",MAX(0,P122-N(Q122)))</f>
        <v/>
      </c>
      <c r="S122" s="23" t="str">
        <f aca="false">IF(OR(OR(A122="",B122="",C122=""),R122=""),"",IFERROR(R122/(IF(N(H122)&gt;0,H122,IF(N(I122)&gt;0,I122,IF(COUNTIFS($B$16:$B$215,B122,$H$16:$H$215,"&gt;0")+COUNTIFS($B$16:$B$215,B122,$I$16:$I$215,"&gt;0")&gt;0,"",INDEX($B$5:$B$7,MATCH(B122,$A$5:$A$7,0)))))),""))</f>
        <v/>
      </c>
      <c r="T122" s="24" t="str">
        <f aca="false">IF(OR(A122="",B122="",C122=""),"",IF(OR(S122="",COUNTIFS($B$16:$B$215,B122,$S$16:$S$215,"&gt;=0")&lt;2),"No Data Yet",IFERROR(IF(S122/AVERAGEIFS($S$16:$S$215,$B$16:$B$215,B122)&gt;=1.2,"Good",IF(S122/AVERAGEIFS($S$16:$S$215,$B$16:$B$215,B122)&gt;=0.8,"Average","Below Standard")),"Average")))</f>
        <v/>
      </c>
      <c r="U122" s="22" t="str">
        <f aca="false">IF(OR(A122="",B122="",C122=""),"",COUNTIFS('Who Engaged'!$C$5:$C$1004,C122,'Who Engaged'!$O$5:$O$1004,"Yes",'Who Engaged'!$M$5:$M$1004,1))</f>
        <v/>
      </c>
      <c r="V122" s="22" t="str">
        <f aca="false">IF(OR(A122="",B122="",C122=""),"",COUNTIFS('Who Engaged'!$C$5:$C$1004,C122,'Who Engaged'!$O$5:$O$1004,"Yes",'Who Engaged'!$L$5:$L$1004,1))</f>
        <v/>
      </c>
      <c r="W122" s="25" t="str">
        <f aca="false" t="array" ref="W122:W122">IF(OR(A122="",B122="",C122=""),"",_xlfn.TEXTJOIN("; ",TRUE(),IF(('Who Engaged'!$C$5:$C$1004=C122)*('Who Engaged'!$O$5:$O$1004="Yes"),'Who Engaged'!$D$5:$D$1004&amp;" – "&amp;'Who Engaged'!$F$5:$F$1004&amp;IF('Who Engaged'!$L$5:$L$1004=1," (followed)",""),"")))</f>
        <v/>
      </c>
      <c r="X122" s="26"/>
      <c r="Y122" s="26"/>
      <c r="Z122" s="27"/>
      <c r="AA122" s="24" t="str">
        <f aca="false">IF(OR(A122="",B122="",C122=""),"","https://www.alphanodus.com/contact?utm_source="&amp;IF(B122="X","twitter",LOWER(B122))&amp;"&amp;utm_medium=social&amp;utm_campaign="&amp;IF(E122="","general",LOWER(SUBSTITUTE(SUBSTITUTE(E122," / ","-")," ","-")))&amp;"&amp;utm_content="&amp;LOWER(C122))</f>
        <v/>
      </c>
    </row>
    <row r="123" customFormat="false" ht="15" hidden="false" customHeight="false" outlineLevel="0" collapsed="false">
      <c r="A123" s="28"/>
      <c r="B123" s="27"/>
      <c r="C123" s="27"/>
      <c r="D123" s="26"/>
      <c r="E123" s="27"/>
      <c r="F123" s="27"/>
      <c r="G123" s="27"/>
      <c r="H123" s="21"/>
      <c r="I123" s="21"/>
      <c r="J123" s="21"/>
      <c r="K123" s="21"/>
      <c r="L123" s="21"/>
      <c r="M123" s="21"/>
      <c r="N123" s="21"/>
      <c r="O123" s="21"/>
      <c r="P123" s="22" t="str">
        <f aca="false">IF(OR(A123="",B123="",C123=""),"",IF(COUNT(J123:N123)=0,"",SUM(J123:N123)))</f>
        <v/>
      </c>
      <c r="Q123" s="22" t="str">
        <f aca="false">IF(OR(A123="",B123="",C123=""),"",SUMIFS('Who Engaged'!$H$5:$H$1004,'Who Engaged'!$C$5:$C$1004,C123,'Who Engaged'!$N$5:$N$1004,"Yes")+SUMIFS('Who Engaged'!$I$5:$I$1004,'Who Engaged'!$C$5:$C$1004,C123,'Who Engaged'!$N$5:$N$1004,"Yes")+SUMIFS('Who Engaged'!$J$5:$J$1004,'Who Engaged'!$C$5:$C$1004,C123,'Who Engaged'!$N$5:$N$1004,"Yes")+SUMIFS('Who Engaged'!$K$5:$K$1004,'Who Engaged'!$C$5:$C$1004,C123,'Who Engaged'!$N$5:$N$1004,"Yes"))</f>
        <v/>
      </c>
      <c r="R123" s="22" t="str">
        <f aca="false">IF(OR(OR(A123="",B123="",C123=""),P123=""),"",MAX(0,P123-N(Q123)))</f>
        <v/>
      </c>
      <c r="S123" s="23" t="str">
        <f aca="false">IF(OR(OR(A123="",B123="",C123=""),R123=""),"",IFERROR(R123/(IF(N(H123)&gt;0,H123,IF(N(I123)&gt;0,I123,IF(COUNTIFS($B$16:$B$215,B123,$H$16:$H$215,"&gt;0")+COUNTIFS($B$16:$B$215,B123,$I$16:$I$215,"&gt;0")&gt;0,"",INDEX($B$5:$B$7,MATCH(B123,$A$5:$A$7,0)))))),""))</f>
        <v/>
      </c>
      <c r="T123" s="24" t="str">
        <f aca="false">IF(OR(A123="",B123="",C123=""),"",IF(OR(S123="",COUNTIFS($B$16:$B$215,B123,$S$16:$S$215,"&gt;=0")&lt;2),"No Data Yet",IFERROR(IF(S123/AVERAGEIFS($S$16:$S$215,$B$16:$B$215,B123)&gt;=1.2,"Good",IF(S123/AVERAGEIFS($S$16:$S$215,$B$16:$B$215,B123)&gt;=0.8,"Average","Below Standard")),"Average")))</f>
        <v/>
      </c>
      <c r="U123" s="22" t="str">
        <f aca="false">IF(OR(A123="",B123="",C123=""),"",COUNTIFS('Who Engaged'!$C$5:$C$1004,C123,'Who Engaged'!$O$5:$O$1004,"Yes",'Who Engaged'!$M$5:$M$1004,1))</f>
        <v/>
      </c>
      <c r="V123" s="22" t="str">
        <f aca="false">IF(OR(A123="",B123="",C123=""),"",COUNTIFS('Who Engaged'!$C$5:$C$1004,C123,'Who Engaged'!$O$5:$O$1004,"Yes",'Who Engaged'!$L$5:$L$1004,1))</f>
        <v/>
      </c>
      <c r="W123" s="25" t="str">
        <f aca="false" t="array" ref="W123:W123">IF(OR(A123="",B123="",C123=""),"",_xlfn.TEXTJOIN("; ",TRUE(),IF(('Who Engaged'!$C$5:$C$1004=C123)*('Who Engaged'!$O$5:$O$1004="Yes"),'Who Engaged'!$D$5:$D$1004&amp;" – "&amp;'Who Engaged'!$F$5:$F$1004&amp;IF('Who Engaged'!$L$5:$L$1004=1," (followed)",""),"")))</f>
        <v/>
      </c>
      <c r="X123" s="26"/>
      <c r="Y123" s="26"/>
      <c r="Z123" s="27"/>
      <c r="AA123" s="24" t="str">
        <f aca="false">IF(OR(A123="",B123="",C123=""),"","https://www.alphanodus.com/contact?utm_source="&amp;IF(B123="X","twitter",LOWER(B123))&amp;"&amp;utm_medium=social&amp;utm_campaign="&amp;IF(E123="","general",LOWER(SUBSTITUTE(SUBSTITUTE(E123," / ","-")," ","-")))&amp;"&amp;utm_content="&amp;LOWER(C123))</f>
        <v/>
      </c>
    </row>
    <row r="124" customFormat="false" ht="15" hidden="false" customHeight="false" outlineLevel="0" collapsed="false">
      <c r="A124" s="28"/>
      <c r="B124" s="27"/>
      <c r="C124" s="27"/>
      <c r="D124" s="26"/>
      <c r="E124" s="27"/>
      <c r="F124" s="27"/>
      <c r="G124" s="27"/>
      <c r="H124" s="21"/>
      <c r="I124" s="21"/>
      <c r="J124" s="21"/>
      <c r="K124" s="21"/>
      <c r="L124" s="21"/>
      <c r="M124" s="21"/>
      <c r="N124" s="21"/>
      <c r="O124" s="21"/>
      <c r="P124" s="22" t="str">
        <f aca="false">IF(OR(A124="",B124="",C124=""),"",IF(COUNT(J124:N124)=0,"",SUM(J124:N124)))</f>
        <v/>
      </c>
      <c r="Q124" s="22" t="str">
        <f aca="false">IF(OR(A124="",B124="",C124=""),"",SUMIFS('Who Engaged'!$H$5:$H$1004,'Who Engaged'!$C$5:$C$1004,C124,'Who Engaged'!$N$5:$N$1004,"Yes")+SUMIFS('Who Engaged'!$I$5:$I$1004,'Who Engaged'!$C$5:$C$1004,C124,'Who Engaged'!$N$5:$N$1004,"Yes")+SUMIFS('Who Engaged'!$J$5:$J$1004,'Who Engaged'!$C$5:$C$1004,C124,'Who Engaged'!$N$5:$N$1004,"Yes")+SUMIFS('Who Engaged'!$K$5:$K$1004,'Who Engaged'!$C$5:$C$1004,C124,'Who Engaged'!$N$5:$N$1004,"Yes"))</f>
        <v/>
      </c>
      <c r="R124" s="22" t="str">
        <f aca="false">IF(OR(OR(A124="",B124="",C124=""),P124=""),"",MAX(0,P124-N(Q124)))</f>
        <v/>
      </c>
      <c r="S124" s="23" t="str">
        <f aca="false">IF(OR(OR(A124="",B124="",C124=""),R124=""),"",IFERROR(R124/(IF(N(H124)&gt;0,H124,IF(N(I124)&gt;0,I124,IF(COUNTIFS($B$16:$B$215,B124,$H$16:$H$215,"&gt;0")+COUNTIFS($B$16:$B$215,B124,$I$16:$I$215,"&gt;0")&gt;0,"",INDEX($B$5:$B$7,MATCH(B124,$A$5:$A$7,0)))))),""))</f>
        <v/>
      </c>
      <c r="T124" s="24" t="str">
        <f aca="false">IF(OR(A124="",B124="",C124=""),"",IF(OR(S124="",COUNTIFS($B$16:$B$215,B124,$S$16:$S$215,"&gt;=0")&lt;2),"No Data Yet",IFERROR(IF(S124/AVERAGEIFS($S$16:$S$215,$B$16:$B$215,B124)&gt;=1.2,"Good",IF(S124/AVERAGEIFS($S$16:$S$215,$B$16:$B$215,B124)&gt;=0.8,"Average","Below Standard")),"Average")))</f>
        <v/>
      </c>
      <c r="U124" s="22" t="str">
        <f aca="false">IF(OR(A124="",B124="",C124=""),"",COUNTIFS('Who Engaged'!$C$5:$C$1004,C124,'Who Engaged'!$O$5:$O$1004,"Yes",'Who Engaged'!$M$5:$M$1004,1))</f>
        <v/>
      </c>
      <c r="V124" s="22" t="str">
        <f aca="false">IF(OR(A124="",B124="",C124=""),"",COUNTIFS('Who Engaged'!$C$5:$C$1004,C124,'Who Engaged'!$O$5:$O$1004,"Yes",'Who Engaged'!$L$5:$L$1004,1))</f>
        <v/>
      </c>
      <c r="W124" s="25" t="str">
        <f aca="false" t="array" ref="W124:W124">IF(OR(A124="",B124="",C124=""),"",_xlfn.TEXTJOIN("; ",TRUE(),IF(('Who Engaged'!$C$5:$C$1004=C124)*('Who Engaged'!$O$5:$O$1004="Yes"),'Who Engaged'!$D$5:$D$1004&amp;" – "&amp;'Who Engaged'!$F$5:$F$1004&amp;IF('Who Engaged'!$L$5:$L$1004=1," (followed)",""),"")))</f>
        <v/>
      </c>
      <c r="X124" s="26"/>
      <c r="Y124" s="26"/>
      <c r="Z124" s="27"/>
      <c r="AA124" s="24" t="str">
        <f aca="false">IF(OR(A124="",B124="",C124=""),"","https://www.alphanodus.com/contact?utm_source="&amp;IF(B124="X","twitter",LOWER(B124))&amp;"&amp;utm_medium=social&amp;utm_campaign="&amp;IF(E124="","general",LOWER(SUBSTITUTE(SUBSTITUTE(E124," / ","-")," ","-")))&amp;"&amp;utm_content="&amp;LOWER(C124))</f>
        <v/>
      </c>
    </row>
    <row r="125" customFormat="false" ht="15" hidden="false" customHeight="false" outlineLevel="0" collapsed="false">
      <c r="A125" s="28"/>
      <c r="B125" s="27"/>
      <c r="C125" s="27"/>
      <c r="D125" s="26"/>
      <c r="E125" s="27"/>
      <c r="F125" s="27"/>
      <c r="G125" s="27"/>
      <c r="H125" s="21"/>
      <c r="I125" s="21"/>
      <c r="J125" s="21"/>
      <c r="K125" s="21"/>
      <c r="L125" s="21"/>
      <c r="M125" s="21"/>
      <c r="N125" s="21"/>
      <c r="O125" s="21"/>
      <c r="P125" s="22" t="str">
        <f aca="false">IF(OR(A125="",B125="",C125=""),"",IF(COUNT(J125:N125)=0,"",SUM(J125:N125)))</f>
        <v/>
      </c>
      <c r="Q125" s="22" t="str">
        <f aca="false">IF(OR(A125="",B125="",C125=""),"",SUMIFS('Who Engaged'!$H$5:$H$1004,'Who Engaged'!$C$5:$C$1004,C125,'Who Engaged'!$N$5:$N$1004,"Yes")+SUMIFS('Who Engaged'!$I$5:$I$1004,'Who Engaged'!$C$5:$C$1004,C125,'Who Engaged'!$N$5:$N$1004,"Yes")+SUMIFS('Who Engaged'!$J$5:$J$1004,'Who Engaged'!$C$5:$C$1004,C125,'Who Engaged'!$N$5:$N$1004,"Yes")+SUMIFS('Who Engaged'!$K$5:$K$1004,'Who Engaged'!$C$5:$C$1004,C125,'Who Engaged'!$N$5:$N$1004,"Yes"))</f>
        <v/>
      </c>
      <c r="R125" s="22" t="str">
        <f aca="false">IF(OR(OR(A125="",B125="",C125=""),P125=""),"",MAX(0,P125-N(Q125)))</f>
        <v/>
      </c>
      <c r="S125" s="23" t="str">
        <f aca="false">IF(OR(OR(A125="",B125="",C125=""),R125=""),"",IFERROR(R125/(IF(N(H125)&gt;0,H125,IF(N(I125)&gt;0,I125,IF(COUNTIFS($B$16:$B$215,B125,$H$16:$H$215,"&gt;0")+COUNTIFS($B$16:$B$215,B125,$I$16:$I$215,"&gt;0")&gt;0,"",INDEX($B$5:$B$7,MATCH(B125,$A$5:$A$7,0)))))),""))</f>
        <v/>
      </c>
      <c r="T125" s="24" t="str">
        <f aca="false">IF(OR(A125="",B125="",C125=""),"",IF(OR(S125="",COUNTIFS($B$16:$B$215,B125,$S$16:$S$215,"&gt;=0")&lt;2),"No Data Yet",IFERROR(IF(S125/AVERAGEIFS($S$16:$S$215,$B$16:$B$215,B125)&gt;=1.2,"Good",IF(S125/AVERAGEIFS($S$16:$S$215,$B$16:$B$215,B125)&gt;=0.8,"Average","Below Standard")),"Average")))</f>
        <v/>
      </c>
      <c r="U125" s="22" t="str">
        <f aca="false">IF(OR(A125="",B125="",C125=""),"",COUNTIFS('Who Engaged'!$C$5:$C$1004,C125,'Who Engaged'!$O$5:$O$1004,"Yes",'Who Engaged'!$M$5:$M$1004,1))</f>
        <v/>
      </c>
      <c r="V125" s="22" t="str">
        <f aca="false">IF(OR(A125="",B125="",C125=""),"",COUNTIFS('Who Engaged'!$C$5:$C$1004,C125,'Who Engaged'!$O$5:$O$1004,"Yes",'Who Engaged'!$L$5:$L$1004,1))</f>
        <v/>
      </c>
      <c r="W125" s="25" t="str">
        <f aca="false" t="array" ref="W125:W125">IF(OR(A125="",B125="",C125=""),"",_xlfn.TEXTJOIN("; ",TRUE(),IF(('Who Engaged'!$C$5:$C$1004=C125)*('Who Engaged'!$O$5:$O$1004="Yes"),'Who Engaged'!$D$5:$D$1004&amp;" – "&amp;'Who Engaged'!$F$5:$F$1004&amp;IF('Who Engaged'!$L$5:$L$1004=1," (followed)",""),"")))</f>
        <v/>
      </c>
      <c r="X125" s="26"/>
      <c r="Y125" s="26"/>
      <c r="Z125" s="27"/>
      <c r="AA125" s="24" t="str">
        <f aca="false">IF(OR(A125="",B125="",C125=""),"","https://www.alphanodus.com/contact?utm_source="&amp;IF(B125="X","twitter",LOWER(B125))&amp;"&amp;utm_medium=social&amp;utm_campaign="&amp;IF(E125="","general",LOWER(SUBSTITUTE(SUBSTITUTE(E125," / ","-")," ","-")))&amp;"&amp;utm_content="&amp;LOWER(C125))</f>
        <v/>
      </c>
    </row>
    <row r="126" customFormat="false" ht="15" hidden="false" customHeight="false" outlineLevel="0" collapsed="false">
      <c r="A126" s="28"/>
      <c r="B126" s="27"/>
      <c r="C126" s="27"/>
      <c r="D126" s="26"/>
      <c r="E126" s="27"/>
      <c r="F126" s="27"/>
      <c r="G126" s="27"/>
      <c r="H126" s="21"/>
      <c r="I126" s="21"/>
      <c r="J126" s="21"/>
      <c r="K126" s="21"/>
      <c r="L126" s="21"/>
      <c r="M126" s="21"/>
      <c r="N126" s="21"/>
      <c r="O126" s="21"/>
      <c r="P126" s="22" t="str">
        <f aca="false">IF(OR(A126="",B126="",C126=""),"",IF(COUNT(J126:N126)=0,"",SUM(J126:N126)))</f>
        <v/>
      </c>
      <c r="Q126" s="22" t="str">
        <f aca="false">IF(OR(A126="",B126="",C126=""),"",SUMIFS('Who Engaged'!$H$5:$H$1004,'Who Engaged'!$C$5:$C$1004,C126,'Who Engaged'!$N$5:$N$1004,"Yes")+SUMIFS('Who Engaged'!$I$5:$I$1004,'Who Engaged'!$C$5:$C$1004,C126,'Who Engaged'!$N$5:$N$1004,"Yes")+SUMIFS('Who Engaged'!$J$5:$J$1004,'Who Engaged'!$C$5:$C$1004,C126,'Who Engaged'!$N$5:$N$1004,"Yes")+SUMIFS('Who Engaged'!$K$5:$K$1004,'Who Engaged'!$C$5:$C$1004,C126,'Who Engaged'!$N$5:$N$1004,"Yes"))</f>
        <v/>
      </c>
      <c r="R126" s="22" t="str">
        <f aca="false">IF(OR(OR(A126="",B126="",C126=""),P126=""),"",MAX(0,P126-N(Q126)))</f>
        <v/>
      </c>
      <c r="S126" s="23" t="str">
        <f aca="false">IF(OR(OR(A126="",B126="",C126=""),R126=""),"",IFERROR(R126/(IF(N(H126)&gt;0,H126,IF(N(I126)&gt;0,I126,IF(COUNTIFS($B$16:$B$215,B126,$H$16:$H$215,"&gt;0")+COUNTIFS($B$16:$B$215,B126,$I$16:$I$215,"&gt;0")&gt;0,"",INDEX($B$5:$B$7,MATCH(B126,$A$5:$A$7,0)))))),""))</f>
        <v/>
      </c>
      <c r="T126" s="24" t="str">
        <f aca="false">IF(OR(A126="",B126="",C126=""),"",IF(OR(S126="",COUNTIFS($B$16:$B$215,B126,$S$16:$S$215,"&gt;=0")&lt;2),"No Data Yet",IFERROR(IF(S126/AVERAGEIFS($S$16:$S$215,$B$16:$B$215,B126)&gt;=1.2,"Good",IF(S126/AVERAGEIFS($S$16:$S$215,$B$16:$B$215,B126)&gt;=0.8,"Average","Below Standard")),"Average")))</f>
        <v/>
      </c>
      <c r="U126" s="22" t="str">
        <f aca="false">IF(OR(A126="",B126="",C126=""),"",COUNTIFS('Who Engaged'!$C$5:$C$1004,C126,'Who Engaged'!$O$5:$O$1004,"Yes",'Who Engaged'!$M$5:$M$1004,1))</f>
        <v/>
      </c>
      <c r="V126" s="22" t="str">
        <f aca="false">IF(OR(A126="",B126="",C126=""),"",COUNTIFS('Who Engaged'!$C$5:$C$1004,C126,'Who Engaged'!$O$5:$O$1004,"Yes",'Who Engaged'!$L$5:$L$1004,1))</f>
        <v/>
      </c>
      <c r="W126" s="25" t="str">
        <f aca="false" t="array" ref="W126:W126">IF(OR(A126="",B126="",C126=""),"",_xlfn.TEXTJOIN("; ",TRUE(),IF(('Who Engaged'!$C$5:$C$1004=C126)*('Who Engaged'!$O$5:$O$1004="Yes"),'Who Engaged'!$D$5:$D$1004&amp;" – "&amp;'Who Engaged'!$F$5:$F$1004&amp;IF('Who Engaged'!$L$5:$L$1004=1," (followed)",""),"")))</f>
        <v/>
      </c>
      <c r="X126" s="26"/>
      <c r="Y126" s="26"/>
      <c r="Z126" s="27"/>
      <c r="AA126" s="24" t="str">
        <f aca="false">IF(OR(A126="",B126="",C126=""),"","https://www.alphanodus.com/contact?utm_source="&amp;IF(B126="X","twitter",LOWER(B126))&amp;"&amp;utm_medium=social&amp;utm_campaign="&amp;IF(E126="","general",LOWER(SUBSTITUTE(SUBSTITUTE(E126," / ","-")," ","-")))&amp;"&amp;utm_content="&amp;LOWER(C126))</f>
        <v/>
      </c>
    </row>
    <row r="127" customFormat="false" ht="15" hidden="false" customHeight="false" outlineLevel="0" collapsed="false">
      <c r="A127" s="28"/>
      <c r="B127" s="27"/>
      <c r="C127" s="27"/>
      <c r="D127" s="26"/>
      <c r="E127" s="27"/>
      <c r="F127" s="27"/>
      <c r="G127" s="27"/>
      <c r="H127" s="21"/>
      <c r="I127" s="21"/>
      <c r="J127" s="21"/>
      <c r="K127" s="21"/>
      <c r="L127" s="21"/>
      <c r="M127" s="21"/>
      <c r="N127" s="21"/>
      <c r="O127" s="21"/>
      <c r="P127" s="22" t="str">
        <f aca="false">IF(OR(A127="",B127="",C127=""),"",IF(COUNT(J127:N127)=0,"",SUM(J127:N127)))</f>
        <v/>
      </c>
      <c r="Q127" s="22" t="str">
        <f aca="false">IF(OR(A127="",B127="",C127=""),"",SUMIFS('Who Engaged'!$H$5:$H$1004,'Who Engaged'!$C$5:$C$1004,C127,'Who Engaged'!$N$5:$N$1004,"Yes")+SUMIFS('Who Engaged'!$I$5:$I$1004,'Who Engaged'!$C$5:$C$1004,C127,'Who Engaged'!$N$5:$N$1004,"Yes")+SUMIFS('Who Engaged'!$J$5:$J$1004,'Who Engaged'!$C$5:$C$1004,C127,'Who Engaged'!$N$5:$N$1004,"Yes")+SUMIFS('Who Engaged'!$K$5:$K$1004,'Who Engaged'!$C$5:$C$1004,C127,'Who Engaged'!$N$5:$N$1004,"Yes"))</f>
        <v/>
      </c>
      <c r="R127" s="22" t="str">
        <f aca="false">IF(OR(OR(A127="",B127="",C127=""),P127=""),"",MAX(0,P127-N(Q127)))</f>
        <v/>
      </c>
      <c r="S127" s="23" t="str">
        <f aca="false">IF(OR(OR(A127="",B127="",C127=""),R127=""),"",IFERROR(R127/(IF(N(H127)&gt;0,H127,IF(N(I127)&gt;0,I127,IF(COUNTIFS($B$16:$B$215,B127,$H$16:$H$215,"&gt;0")+COUNTIFS($B$16:$B$215,B127,$I$16:$I$215,"&gt;0")&gt;0,"",INDEX($B$5:$B$7,MATCH(B127,$A$5:$A$7,0)))))),""))</f>
        <v/>
      </c>
      <c r="T127" s="24" t="str">
        <f aca="false">IF(OR(A127="",B127="",C127=""),"",IF(OR(S127="",COUNTIFS($B$16:$B$215,B127,$S$16:$S$215,"&gt;=0")&lt;2),"No Data Yet",IFERROR(IF(S127/AVERAGEIFS($S$16:$S$215,$B$16:$B$215,B127)&gt;=1.2,"Good",IF(S127/AVERAGEIFS($S$16:$S$215,$B$16:$B$215,B127)&gt;=0.8,"Average","Below Standard")),"Average")))</f>
        <v/>
      </c>
      <c r="U127" s="22" t="str">
        <f aca="false">IF(OR(A127="",B127="",C127=""),"",COUNTIFS('Who Engaged'!$C$5:$C$1004,C127,'Who Engaged'!$O$5:$O$1004,"Yes",'Who Engaged'!$M$5:$M$1004,1))</f>
        <v/>
      </c>
      <c r="V127" s="22" t="str">
        <f aca="false">IF(OR(A127="",B127="",C127=""),"",COUNTIFS('Who Engaged'!$C$5:$C$1004,C127,'Who Engaged'!$O$5:$O$1004,"Yes",'Who Engaged'!$L$5:$L$1004,1))</f>
        <v/>
      </c>
      <c r="W127" s="25" t="str">
        <f aca="false" t="array" ref="W127:W127">IF(OR(A127="",B127="",C127=""),"",_xlfn.TEXTJOIN("; ",TRUE(),IF(('Who Engaged'!$C$5:$C$1004=C127)*('Who Engaged'!$O$5:$O$1004="Yes"),'Who Engaged'!$D$5:$D$1004&amp;" – "&amp;'Who Engaged'!$F$5:$F$1004&amp;IF('Who Engaged'!$L$5:$L$1004=1," (followed)",""),"")))</f>
        <v/>
      </c>
      <c r="X127" s="26"/>
      <c r="Y127" s="26"/>
      <c r="Z127" s="27"/>
      <c r="AA127" s="24" t="str">
        <f aca="false">IF(OR(A127="",B127="",C127=""),"","https://www.alphanodus.com/contact?utm_source="&amp;IF(B127="X","twitter",LOWER(B127))&amp;"&amp;utm_medium=social&amp;utm_campaign="&amp;IF(E127="","general",LOWER(SUBSTITUTE(SUBSTITUTE(E127," / ","-")," ","-")))&amp;"&amp;utm_content="&amp;LOWER(C127))</f>
        <v/>
      </c>
    </row>
    <row r="128" customFormat="false" ht="15" hidden="false" customHeight="false" outlineLevel="0" collapsed="false">
      <c r="A128" s="28"/>
      <c r="B128" s="27"/>
      <c r="C128" s="27"/>
      <c r="D128" s="26"/>
      <c r="E128" s="27"/>
      <c r="F128" s="27"/>
      <c r="G128" s="27"/>
      <c r="H128" s="21"/>
      <c r="I128" s="21"/>
      <c r="J128" s="21"/>
      <c r="K128" s="21"/>
      <c r="L128" s="21"/>
      <c r="M128" s="21"/>
      <c r="N128" s="21"/>
      <c r="O128" s="21"/>
      <c r="P128" s="22" t="str">
        <f aca="false">IF(OR(A128="",B128="",C128=""),"",IF(COUNT(J128:N128)=0,"",SUM(J128:N128)))</f>
        <v/>
      </c>
      <c r="Q128" s="22" t="str">
        <f aca="false">IF(OR(A128="",B128="",C128=""),"",SUMIFS('Who Engaged'!$H$5:$H$1004,'Who Engaged'!$C$5:$C$1004,C128,'Who Engaged'!$N$5:$N$1004,"Yes")+SUMIFS('Who Engaged'!$I$5:$I$1004,'Who Engaged'!$C$5:$C$1004,C128,'Who Engaged'!$N$5:$N$1004,"Yes")+SUMIFS('Who Engaged'!$J$5:$J$1004,'Who Engaged'!$C$5:$C$1004,C128,'Who Engaged'!$N$5:$N$1004,"Yes")+SUMIFS('Who Engaged'!$K$5:$K$1004,'Who Engaged'!$C$5:$C$1004,C128,'Who Engaged'!$N$5:$N$1004,"Yes"))</f>
        <v/>
      </c>
      <c r="R128" s="22" t="str">
        <f aca="false">IF(OR(OR(A128="",B128="",C128=""),P128=""),"",MAX(0,P128-N(Q128)))</f>
        <v/>
      </c>
      <c r="S128" s="23" t="str">
        <f aca="false">IF(OR(OR(A128="",B128="",C128=""),R128=""),"",IFERROR(R128/(IF(N(H128)&gt;0,H128,IF(N(I128)&gt;0,I128,IF(COUNTIFS($B$16:$B$215,B128,$H$16:$H$215,"&gt;0")+COUNTIFS($B$16:$B$215,B128,$I$16:$I$215,"&gt;0")&gt;0,"",INDEX($B$5:$B$7,MATCH(B128,$A$5:$A$7,0)))))),""))</f>
        <v/>
      </c>
      <c r="T128" s="24" t="str">
        <f aca="false">IF(OR(A128="",B128="",C128=""),"",IF(OR(S128="",COUNTIFS($B$16:$B$215,B128,$S$16:$S$215,"&gt;=0")&lt;2),"No Data Yet",IFERROR(IF(S128/AVERAGEIFS($S$16:$S$215,$B$16:$B$215,B128)&gt;=1.2,"Good",IF(S128/AVERAGEIFS($S$16:$S$215,$B$16:$B$215,B128)&gt;=0.8,"Average","Below Standard")),"Average")))</f>
        <v/>
      </c>
      <c r="U128" s="22" t="str">
        <f aca="false">IF(OR(A128="",B128="",C128=""),"",COUNTIFS('Who Engaged'!$C$5:$C$1004,C128,'Who Engaged'!$O$5:$O$1004,"Yes",'Who Engaged'!$M$5:$M$1004,1))</f>
        <v/>
      </c>
      <c r="V128" s="22" t="str">
        <f aca="false">IF(OR(A128="",B128="",C128=""),"",COUNTIFS('Who Engaged'!$C$5:$C$1004,C128,'Who Engaged'!$O$5:$O$1004,"Yes",'Who Engaged'!$L$5:$L$1004,1))</f>
        <v/>
      </c>
      <c r="W128" s="25" t="str">
        <f aca="false" t="array" ref="W128:W128">IF(OR(A128="",B128="",C128=""),"",_xlfn.TEXTJOIN("; ",TRUE(),IF(('Who Engaged'!$C$5:$C$1004=C128)*('Who Engaged'!$O$5:$O$1004="Yes"),'Who Engaged'!$D$5:$D$1004&amp;" – "&amp;'Who Engaged'!$F$5:$F$1004&amp;IF('Who Engaged'!$L$5:$L$1004=1," (followed)",""),"")))</f>
        <v/>
      </c>
      <c r="X128" s="26"/>
      <c r="Y128" s="26"/>
      <c r="Z128" s="27"/>
      <c r="AA128" s="24" t="str">
        <f aca="false">IF(OR(A128="",B128="",C128=""),"","https://www.alphanodus.com/contact?utm_source="&amp;IF(B128="X","twitter",LOWER(B128))&amp;"&amp;utm_medium=social&amp;utm_campaign="&amp;IF(E128="","general",LOWER(SUBSTITUTE(SUBSTITUTE(E128," / ","-")," ","-")))&amp;"&amp;utm_content="&amp;LOWER(C128))</f>
        <v/>
      </c>
    </row>
    <row r="129" customFormat="false" ht="15" hidden="false" customHeight="false" outlineLevel="0" collapsed="false">
      <c r="A129" s="28"/>
      <c r="B129" s="27"/>
      <c r="C129" s="27"/>
      <c r="D129" s="26"/>
      <c r="E129" s="27"/>
      <c r="F129" s="27"/>
      <c r="G129" s="27"/>
      <c r="H129" s="21"/>
      <c r="I129" s="21"/>
      <c r="J129" s="21"/>
      <c r="K129" s="21"/>
      <c r="L129" s="21"/>
      <c r="M129" s="21"/>
      <c r="N129" s="21"/>
      <c r="O129" s="21"/>
      <c r="P129" s="22" t="str">
        <f aca="false">IF(OR(A129="",B129="",C129=""),"",IF(COUNT(J129:N129)=0,"",SUM(J129:N129)))</f>
        <v/>
      </c>
      <c r="Q129" s="22" t="str">
        <f aca="false">IF(OR(A129="",B129="",C129=""),"",SUMIFS('Who Engaged'!$H$5:$H$1004,'Who Engaged'!$C$5:$C$1004,C129,'Who Engaged'!$N$5:$N$1004,"Yes")+SUMIFS('Who Engaged'!$I$5:$I$1004,'Who Engaged'!$C$5:$C$1004,C129,'Who Engaged'!$N$5:$N$1004,"Yes")+SUMIFS('Who Engaged'!$J$5:$J$1004,'Who Engaged'!$C$5:$C$1004,C129,'Who Engaged'!$N$5:$N$1004,"Yes")+SUMIFS('Who Engaged'!$K$5:$K$1004,'Who Engaged'!$C$5:$C$1004,C129,'Who Engaged'!$N$5:$N$1004,"Yes"))</f>
        <v/>
      </c>
      <c r="R129" s="22" t="str">
        <f aca="false">IF(OR(OR(A129="",B129="",C129=""),P129=""),"",MAX(0,P129-N(Q129)))</f>
        <v/>
      </c>
      <c r="S129" s="23" t="str">
        <f aca="false">IF(OR(OR(A129="",B129="",C129=""),R129=""),"",IFERROR(R129/(IF(N(H129)&gt;0,H129,IF(N(I129)&gt;0,I129,IF(COUNTIFS($B$16:$B$215,B129,$H$16:$H$215,"&gt;0")+COUNTIFS($B$16:$B$215,B129,$I$16:$I$215,"&gt;0")&gt;0,"",INDEX($B$5:$B$7,MATCH(B129,$A$5:$A$7,0)))))),""))</f>
        <v/>
      </c>
      <c r="T129" s="24" t="str">
        <f aca="false">IF(OR(A129="",B129="",C129=""),"",IF(OR(S129="",COUNTIFS($B$16:$B$215,B129,$S$16:$S$215,"&gt;=0")&lt;2),"No Data Yet",IFERROR(IF(S129/AVERAGEIFS($S$16:$S$215,$B$16:$B$215,B129)&gt;=1.2,"Good",IF(S129/AVERAGEIFS($S$16:$S$215,$B$16:$B$215,B129)&gt;=0.8,"Average","Below Standard")),"Average")))</f>
        <v/>
      </c>
      <c r="U129" s="22" t="str">
        <f aca="false">IF(OR(A129="",B129="",C129=""),"",COUNTIFS('Who Engaged'!$C$5:$C$1004,C129,'Who Engaged'!$O$5:$O$1004,"Yes",'Who Engaged'!$M$5:$M$1004,1))</f>
        <v/>
      </c>
      <c r="V129" s="22" t="str">
        <f aca="false">IF(OR(A129="",B129="",C129=""),"",COUNTIFS('Who Engaged'!$C$5:$C$1004,C129,'Who Engaged'!$O$5:$O$1004,"Yes",'Who Engaged'!$L$5:$L$1004,1))</f>
        <v/>
      </c>
      <c r="W129" s="25" t="str">
        <f aca="false" t="array" ref="W129:W129">IF(OR(A129="",B129="",C129=""),"",_xlfn.TEXTJOIN("; ",TRUE(),IF(('Who Engaged'!$C$5:$C$1004=C129)*('Who Engaged'!$O$5:$O$1004="Yes"),'Who Engaged'!$D$5:$D$1004&amp;" – "&amp;'Who Engaged'!$F$5:$F$1004&amp;IF('Who Engaged'!$L$5:$L$1004=1," (followed)",""),"")))</f>
        <v/>
      </c>
      <c r="X129" s="26"/>
      <c r="Y129" s="26"/>
      <c r="Z129" s="27"/>
      <c r="AA129" s="24" t="str">
        <f aca="false">IF(OR(A129="",B129="",C129=""),"","https://www.alphanodus.com/contact?utm_source="&amp;IF(B129="X","twitter",LOWER(B129))&amp;"&amp;utm_medium=social&amp;utm_campaign="&amp;IF(E129="","general",LOWER(SUBSTITUTE(SUBSTITUTE(E129," / ","-")," ","-")))&amp;"&amp;utm_content="&amp;LOWER(C129))</f>
        <v/>
      </c>
    </row>
    <row r="130" customFormat="false" ht="15" hidden="false" customHeight="false" outlineLevel="0" collapsed="false">
      <c r="A130" s="28"/>
      <c r="B130" s="27"/>
      <c r="C130" s="27"/>
      <c r="D130" s="26"/>
      <c r="E130" s="27"/>
      <c r="F130" s="27"/>
      <c r="G130" s="27"/>
      <c r="H130" s="21"/>
      <c r="I130" s="21"/>
      <c r="J130" s="21"/>
      <c r="K130" s="21"/>
      <c r="L130" s="21"/>
      <c r="M130" s="21"/>
      <c r="N130" s="21"/>
      <c r="O130" s="21"/>
      <c r="P130" s="22" t="str">
        <f aca="false">IF(OR(A130="",B130="",C130=""),"",IF(COUNT(J130:N130)=0,"",SUM(J130:N130)))</f>
        <v/>
      </c>
      <c r="Q130" s="22" t="str">
        <f aca="false">IF(OR(A130="",B130="",C130=""),"",SUMIFS('Who Engaged'!$H$5:$H$1004,'Who Engaged'!$C$5:$C$1004,C130,'Who Engaged'!$N$5:$N$1004,"Yes")+SUMIFS('Who Engaged'!$I$5:$I$1004,'Who Engaged'!$C$5:$C$1004,C130,'Who Engaged'!$N$5:$N$1004,"Yes")+SUMIFS('Who Engaged'!$J$5:$J$1004,'Who Engaged'!$C$5:$C$1004,C130,'Who Engaged'!$N$5:$N$1004,"Yes")+SUMIFS('Who Engaged'!$K$5:$K$1004,'Who Engaged'!$C$5:$C$1004,C130,'Who Engaged'!$N$5:$N$1004,"Yes"))</f>
        <v/>
      </c>
      <c r="R130" s="22" t="str">
        <f aca="false">IF(OR(OR(A130="",B130="",C130=""),P130=""),"",MAX(0,P130-N(Q130)))</f>
        <v/>
      </c>
      <c r="S130" s="23" t="str">
        <f aca="false">IF(OR(OR(A130="",B130="",C130=""),R130=""),"",IFERROR(R130/(IF(N(H130)&gt;0,H130,IF(N(I130)&gt;0,I130,IF(COUNTIFS($B$16:$B$215,B130,$H$16:$H$215,"&gt;0")+COUNTIFS($B$16:$B$215,B130,$I$16:$I$215,"&gt;0")&gt;0,"",INDEX($B$5:$B$7,MATCH(B130,$A$5:$A$7,0)))))),""))</f>
        <v/>
      </c>
      <c r="T130" s="24" t="str">
        <f aca="false">IF(OR(A130="",B130="",C130=""),"",IF(OR(S130="",COUNTIFS($B$16:$B$215,B130,$S$16:$S$215,"&gt;=0")&lt;2),"No Data Yet",IFERROR(IF(S130/AVERAGEIFS($S$16:$S$215,$B$16:$B$215,B130)&gt;=1.2,"Good",IF(S130/AVERAGEIFS($S$16:$S$215,$B$16:$B$215,B130)&gt;=0.8,"Average","Below Standard")),"Average")))</f>
        <v/>
      </c>
      <c r="U130" s="22" t="str">
        <f aca="false">IF(OR(A130="",B130="",C130=""),"",COUNTIFS('Who Engaged'!$C$5:$C$1004,C130,'Who Engaged'!$O$5:$O$1004,"Yes",'Who Engaged'!$M$5:$M$1004,1))</f>
        <v/>
      </c>
      <c r="V130" s="22" t="str">
        <f aca="false">IF(OR(A130="",B130="",C130=""),"",COUNTIFS('Who Engaged'!$C$5:$C$1004,C130,'Who Engaged'!$O$5:$O$1004,"Yes",'Who Engaged'!$L$5:$L$1004,1))</f>
        <v/>
      </c>
      <c r="W130" s="25" t="str">
        <f aca="false" t="array" ref="W130:W130">IF(OR(A130="",B130="",C130=""),"",_xlfn.TEXTJOIN("; ",TRUE(),IF(('Who Engaged'!$C$5:$C$1004=C130)*('Who Engaged'!$O$5:$O$1004="Yes"),'Who Engaged'!$D$5:$D$1004&amp;" – "&amp;'Who Engaged'!$F$5:$F$1004&amp;IF('Who Engaged'!$L$5:$L$1004=1," (followed)",""),"")))</f>
        <v/>
      </c>
      <c r="X130" s="26"/>
      <c r="Y130" s="26"/>
      <c r="Z130" s="27"/>
      <c r="AA130" s="24" t="str">
        <f aca="false">IF(OR(A130="",B130="",C130=""),"","https://www.alphanodus.com/contact?utm_source="&amp;IF(B130="X","twitter",LOWER(B130))&amp;"&amp;utm_medium=social&amp;utm_campaign="&amp;IF(E130="","general",LOWER(SUBSTITUTE(SUBSTITUTE(E130," / ","-")," ","-")))&amp;"&amp;utm_content="&amp;LOWER(C130))</f>
        <v/>
      </c>
    </row>
    <row r="131" customFormat="false" ht="15" hidden="false" customHeight="false" outlineLevel="0" collapsed="false">
      <c r="A131" s="28"/>
      <c r="B131" s="27"/>
      <c r="C131" s="27"/>
      <c r="D131" s="26"/>
      <c r="E131" s="27"/>
      <c r="F131" s="27"/>
      <c r="G131" s="27"/>
      <c r="H131" s="21"/>
      <c r="I131" s="21"/>
      <c r="J131" s="21"/>
      <c r="K131" s="21"/>
      <c r="L131" s="21"/>
      <c r="M131" s="21"/>
      <c r="N131" s="21"/>
      <c r="O131" s="21"/>
      <c r="P131" s="22" t="str">
        <f aca="false">IF(OR(A131="",B131="",C131=""),"",IF(COUNT(J131:N131)=0,"",SUM(J131:N131)))</f>
        <v/>
      </c>
      <c r="Q131" s="22" t="str">
        <f aca="false">IF(OR(A131="",B131="",C131=""),"",SUMIFS('Who Engaged'!$H$5:$H$1004,'Who Engaged'!$C$5:$C$1004,C131,'Who Engaged'!$N$5:$N$1004,"Yes")+SUMIFS('Who Engaged'!$I$5:$I$1004,'Who Engaged'!$C$5:$C$1004,C131,'Who Engaged'!$N$5:$N$1004,"Yes")+SUMIFS('Who Engaged'!$J$5:$J$1004,'Who Engaged'!$C$5:$C$1004,C131,'Who Engaged'!$N$5:$N$1004,"Yes")+SUMIFS('Who Engaged'!$K$5:$K$1004,'Who Engaged'!$C$5:$C$1004,C131,'Who Engaged'!$N$5:$N$1004,"Yes"))</f>
        <v/>
      </c>
      <c r="R131" s="22" t="str">
        <f aca="false">IF(OR(OR(A131="",B131="",C131=""),P131=""),"",MAX(0,P131-N(Q131)))</f>
        <v/>
      </c>
      <c r="S131" s="23" t="str">
        <f aca="false">IF(OR(OR(A131="",B131="",C131=""),R131=""),"",IFERROR(R131/(IF(N(H131)&gt;0,H131,IF(N(I131)&gt;0,I131,IF(COUNTIFS($B$16:$B$215,B131,$H$16:$H$215,"&gt;0")+COUNTIFS($B$16:$B$215,B131,$I$16:$I$215,"&gt;0")&gt;0,"",INDEX($B$5:$B$7,MATCH(B131,$A$5:$A$7,0)))))),""))</f>
        <v/>
      </c>
      <c r="T131" s="24" t="str">
        <f aca="false">IF(OR(A131="",B131="",C131=""),"",IF(OR(S131="",COUNTIFS($B$16:$B$215,B131,$S$16:$S$215,"&gt;=0")&lt;2),"No Data Yet",IFERROR(IF(S131/AVERAGEIFS($S$16:$S$215,$B$16:$B$215,B131)&gt;=1.2,"Good",IF(S131/AVERAGEIFS($S$16:$S$215,$B$16:$B$215,B131)&gt;=0.8,"Average","Below Standard")),"Average")))</f>
        <v/>
      </c>
      <c r="U131" s="22" t="str">
        <f aca="false">IF(OR(A131="",B131="",C131=""),"",COUNTIFS('Who Engaged'!$C$5:$C$1004,C131,'Who Engaged'!$O$5:$O$1004,"Yes",'Who Engaged'!$M$5:$M$1004,1))</f>
        <v/>
      </c>
      <c r="V131" s="22" t="str">
        <f aca="false">IF(OR(A131="",B131="",C131=""),"",COUNTIFS('Who Engaged'!$C$5:$C$1004,C131,'Who Engaged'!$O$5:$O$1004,"Yes",'Who Engaged'!$L$5:$L$1004,1))</f>
        <v/>
      </c>
      <c r="W131" s="25" t="str">
        <f aca="false" t="array" ref="W131:W131">IF(OR(A131="",B131="",C131=""),"",_xlfn.TEXTJOIN("; ",TRUE(),IF(('Who Engaged'!$C$5:$C$1004=C131)*('Who Engaged'!$O$5:$O$1004="Yes"),'Who Engaged'!$D$5:$D$1004&amp;" – "&amp;'Who Engaged'!$F$5:$F$1004&amp;IF('Who Engaged'!$L$5:$L$1004=1," (followed)",""),"")))</f>
        <v/>
      </c>
      <c r="X131" s="26"/>
      <c r="Y131" s="26"/>
      <c r="Z131" s="27"/>
      <c r="AA131" s="24" t="str">
        <f aca="false">IF(OR(A131="",B131="",C131=""),"","https://www.alphanodus.com/contact?utm_source="&amp;IF(B131="X","twitter",LOWER(B131))&amp;"&amp;utm_medium=social&amp;utm_campaign="&amp;IF(E131="","general",LOWER(SUBSTITUTE(SUBSTITUTE(E131," / ","-")," ","-")))&amp;"&amp;utm_content="&amp;LOWER(C131))</f>
        <v/>
      </c>
    </row>
    <row r="132" customFormat="false" ht="15" hidden="false" customHeight="false" outlineLevel="0" collapsed="false">
      <c r="A132" s="28"/>
      <c r="B132" s="27"/>
      <c r="C132" s="27"/>
      <c r="D132" s="26"/>
      <c r="E132" s="27"/>
      <c r="F132" s="27"/>
      <c r="G132" s="27"/>
      <c r="H132" s="21"/>
      <c r="I132" s="21"/>
      <c r="J132" s="21"/>
      <c r="K132" s="21"/>
      <c r="L132" s="21"/>
      <c r="M132" s="21"/>
      <c r="N132" s="21"/>
      <c r="O132" s="21"/>
      <c r="P132" s="22" t="str">
        <f aca="false">IF(OR(A132="",B132="",C132=""),"",IF(COUNT(J132:N132)=0,"",SUM(J132:N132)))</f>
        <v/>
      </c>
      <c r="Q132" s="22" t="str">
        <f aca="false">IF(OR(A132="",B132="",C132=""),"",SUMIFS('Who Engaged'!$H$5:$H$1004,'Who Engaged'!$C$5:$C$1004,C132,'Who Engaged'!$N$5:$N$1004,"Yes")+SUMIFS('Who Engaged'!$I$5:$I$1004,'Who Engaged'!$C$5:$C$1004,C132,'Who Engaged'!$N$5:$N$1004,"Yes")+SUMIFS('Who Engaged'!$J$5:$J$1004,'Who Engaged'!$C$5:$C$1004,C132,'Who Engaged'!$N$5:$N$1004,"Yes")+SUMIFS('Who Engaged'!$K$5:$K$1004,'Who Engaged'!$C$5:$C$1004,C132,'Who Engaged'!$N$5:$N$1004,"Yes"))</f>
        <v/>
      </c>
      <c r="R132" s="22" t="str">
        <f aca="false">IF(OR(OR(A132="",B132="",C132=""),P132=""),"",MAX(0,P132-N(Q132)))</f>
        <v/>
      </c>
      <c r="S132" s="23" t="str">
        <f aca="false">IF(OR(OR(A132="",B132="",C132=""),R132=""),"",IFERROR(R132/(IF(N(H132)&gt;0,H132,IF(N(I132)&gt;0,I132,IF(COUNTIFS($B$16:$B$215,B132,$H$16:$H$215,"&gt;0")+COUNTIFS($B$16:$B$215,B132,$I$16:$I$215,"&gt;0")&gt;0,"",INDEX($B$5:$B$7,MATCH(B132,$A$5:$A$7,0)))))),""))</f>
        <v/>
      </c>
      <c r="T132" s="24" t="str">
        <f aca="false">IF(OR(A132="",B132="",C132=""),"",IF(OR(S132="",COUNTIFS($B$16:$B$215,B132,$S$16:$S$215,"&gt;=0")&lt;2),"No Data Yet",IFERROR(IF(S132/AVERAGEIFS($S$16:$S$215,$B$16:$B$215,B132)&gt;=1.2,"Good",IF(S132/AVERAGEIFS($S$16:$S$215,$B$16:$B$215,B132)&gt;=0.8,"Average","Below Standard")),"Average")))</f>
        <v/>
      </c>
      <c r="U132" s="22" t="str">
        <f aca="false">IF(OR(A132="",B132="",C132=""),"",COUNTIFS('Who Engaged'!$C$5:$C$1004,C132,'Who Engaged'!$O$5:$O$1004,"Yes",'Who Engaged'!$M$5:$M$1004,1))</f>
        <v/>
      </c>
      <c r="V132" s="22" t="str">
        <f aca="false">IF(OR(A132="",B132="",C132=""),"",COUNTIFS('Who Engaged'!$C$5:$C$1004,C132,'Who Engaged'!$O$5:$O$1004,"Yes",'Who Engaged'!$L$5:$L$1004,1))</f>
        <v/>
      </c>
      <c r="W132" s="25" t="str">
        <f aca="false" t="array" ref="W132:W132">IF(OR(A132="",B132="",C132=""),"",_xlfn.TEXTJOIN("; ",TRUE(),IF(('Who Engaged'!$C$5:$C$1004=C132)*('Who Engaged'!$O$5:$O$1004="Yes"),'Who Engaged'!$D$5:$D$1004&amp;" – "&amp;'Who Engaged'!$F$5:$F$1004&amp;IF('Who Engaged'!$L$5:$L$1004=1," (followed)",""),"")))</f>
        <v/>
      </c>
      <c r="X132" s="26"/>
      <c r="Y132" s="26"/>
      <c r="Z132" s="27"/>
      <c r="AA132" s="24" t="str">
        <f aca="false">IF(OR(A132="",B132="",C132=""),"","https://www.alphanodus.com/contact?utm_source="&amp;IF(B132="X","twitter",LOWER(B132))&amp;"&amp;utm_medium=social&amp;utm_campaign="&amp;IF(E132="","general",LOWER(SUBSTITUTE(SUBSTITUTE(E132," / ","-")," ","-")))&amp;"&amp;utm_content="&amp;LOWER(C132))</f>
        <v/>
      </c>
    </row>
    <row r="133" customFormat="false" ht="15" hidden="false" customHeight="false" outlineLevel="0" collapsed="false">
      <c r="A133" s="28"/>
      <c r="B133" s="27"/>
      <c r="C133" s="27"/>
      <c r="D133" s="26"/>
      <c r="E133" s="27"/>
      <c r="F133" s="27"/>
      <c r="G133" s="27"/>
      <c r="H133" s="21"/>
      <c r="I133" s="21"/>
      <c r="J133" s="21"/>
      <c r="K133" s="21"/>
      <c r="L133" s="21"/>
      <c r="M133" s="21"/>
      <c r="N133" s="21"/>
      <c r="O133" s="21"/>
      <c r="P133" s="22" t="str">
        <f aca="false">IF(OR(A133="",B133="",C133=""),"",IF(COUNT(J133:N133)=0,"",SUM(J133:N133)))</f>
        <v/>
      </c>
      <c r="Q133" s="22" t="str">
        <f aca="false">IF(OR(A133="",B133="",C133=""),"",SUMIFS('Who Engaged'!$H$5:$H$1004,'Who Engaged'!$C$5:$C$1004,C133,'Who Engaged'!$N$5:$N$1004,"Yes")+SUMIFS('Who Engaged'!$I$5:$I$1004,'Who Engaged'!$C$5:$C$1004,C133,'Who Engaged'!$N$5:$N$1004,"Yes")+SUMIFS('Who Engaged'!$J$5:$J$1004,'Who Engaged'!$C$5:$C$1004,C133,'Who Engaged'!$N$5:$N$1004,"Yes")+SUMIFS('Who Engaged'!$K$5:$K$1004,'Who Engaged'!$C$5:$C$1004,C133,'Who Engaged'!$N$5:$N$1004,"Yes"))</f>
        <v/>
      </c>
      <c r="R133" s="22" t="str">
        <f aca="false">IF(OR(OR(A133="",B133="",C133=""),P133=""),"",MAX(0,P133-N(Q133)))</f>
        <v/>
      </c>
      <c r="S133" s="23" t="str">
        <f aca="false">IF(OR(OR(A133="",B133="",C133=""),R133=""),"",IFERROR(R133/(IF(N(H133)&gt;0,H133,IF(N(I133)&gt;0,I133,IF(COUNTIFS($B$16:$B$215,B133,$H$16:$H$215,"&gt;0")+COUNTIFS($B$16:$B$215,B133,$I$16:$I$215,"&gt;0")&gt;0,"",INDEX($B$5:$B$7,MATCH(B133,$A$5:$A$7,0)))))),""))</f>
        <v/>
      </c>
      <c r="T133" s="24" t="str">
        <f aca="false">IF(OR(A133="",B133="",C133=""),"",IF(OR(S133="",COUNTIFS($B$16:$B$215,B133,$S$16:$S$215,"&gt;=0")&lt;2),"No Data Yet",IFERROR(IF(S133/AVERAGEIFS($S$16:$S$215,$B$16:$B$215,B133)&gt;=1.2,"Good",IF(S133/AVERAGEIFS($S$16:$S$215,$B$16:$B$215,B133)&gt;=0.8,"Average","Below Standard")),"Average")))</f>
        <v/>
      </c>
      <c r="U133" s="22" t="str">
        <f aca="false">IF(OR(A133="",B133="",C133=""),"",COUNTIFS('Who Engaged'!$C$5:$C$1004,C133,'Who Engaged'!$O$5:$O$1004,"Yes",'Who Engaged'!$M$5:$M$1004,1))</f>
        <v/>
      </c>
      <c r="V133" s="22" t="str">
        <f aca="false">IF(OR(A133="",B133="",C133=""),"",COUNTIFS('Who Engaged'!$C$5:$C$1004,C133,'Who Engaged'!$O$5:$O$1004,"Yes",'Who Engaged'!$L$5:$L$1004,1))</f>
        <v/>
      </c>
      <c r="W133" s="25" t="str">
        <f aca="false" t="array" ref="W133:W133">IF(OR(A133="",B133="",C133=""),"",_xlfn.TEXTJOIN("; ",TRUE(),IF(('Who Engaged'!$C$5:$C$1004=C133)*('Who Engaged'!$O$5:$O$1004="Yes"),'Who Engaged'!$D$5:$D$1004&amp;" – "&amp;'Who Engaged'!$F$5:$F$1004&amp;IF('Who Engaged'!$L$5:$L$1004=1," (followed)",""),"")))</f>
        <v/>
      </c>
      <c r="X133" s="26"/>
      <c r="Y133" s="26"/>
      <c r="Z133" s="27"/>
      <c r="AA133" s="24" t="str">
        <f aca="false">IF(OR(A133="",B133="",C133=""),"","https://www.alphanodus.com/contact?utm_source="&amp;IF(B133="X","twitter",LOWER(B133))&amp;"&amp;utm_medium=social&amp;utm_campaign="&amp;IF(E133="","general",LOWER(SUBSTITUTE(SUBSTITUTE(E133," / ","-")," ","-")))&amp;"&amp;utm_content="&amp;LOWER(C133))</f>
        <v/>
      </c>
    </row>
    <row r="134" customFormat="false" ht="15" hidden="false" customHeight="false" outlineLevel="0" collapsed="false">
      <c r="A134" s="28"/>
      <c r="B134" s="27"/>
      <c r="C134" s="27"/>
      <c r="D134" s="26"/>
      <c r="E134" s="27"/>
      <c r="F134" s="27"/>
      <c r="G134" s="27"/>
      <c r="H134" s="21"/>
      <c r="I134" s="21"/>
      <c r="J134" s="21"/>
      <c r="K134" s="21"/>
      <c r="L134" s="21"/>
      <c r="M134" s="21"/>
      <c r="N134" s="21"/>
      <c r="O134" s="21"/>
      <c r="P134" s="22" t="str">
        <f aca="false">IF(OR(A134="",B134="",C134=""),"",IF(COUNT(J134:N134)=0,"",SUM(J134:N134)))</f>
        <v/>
      </c>
      <c r="Q134" s="22" t="str">
        <f aca="false">IF(OR(A134="",B134="",C134=""),"",SUMIFS('Who Engaged'!$H$5:$H$1004,'Who Engaged'!$C$5:$C$1004,C134,'Who Engaged'!$N$5:$N$1004,"Yes")+SUMIFS('Who Engaged'!$I$5:$I$1004,'Who Engaged'!$C$5:$C$1004,C134,'Who Engaged'!$N$5:$N$1004,"Yes")+SUMIFS('Who Engaged'!$J$5:$J$1004,'Who Engaged'!$C$5:$C$1004,C134,'Who Engaged'!$N$5:$N$1004,"Yes")+SUMIFS('Who Engaged'!$K$5:$K$1004,'Who Engaged'!$C$5:$C$1004,C134,'Who Engaged'!$N$5:$N$1004,"Yes"))</f>
        <v/>
      </c>
      <c r="R134" s="22" t="str">
        <f aca="false">IF(OR(OR(A134="",B134="",C134=""),P134=""),"",MAX(0,P134-N(Q134)))</f>
        <v/>
      </c>
      <c r="S134" s="23" t="str">
        <f aca="false">IF(OR(OR(A134="",B134="",C134=""),R134=""),"",IFERROR(R134/(IF(N(H134)&gt;0,H134,IF(N(I134)&gt;0,I134,IF(COUNTIFS($B$16:$B$215,B134,$H$16:$H$215,"&gt;0")+COUNTIFS($B$16:$B$215,B134,$I$16:$I$215,"&gt;0")&gt;0,"",INDEX($B$5:$B$7,MATCH(B134,$A$5:$A$7,0)))))),""))</f>
        <v/>
      </c>
      <c r="T134" s="24" t="str">
        <f aca="false">IF(OR(A134="",B134="",C134=""),"",IF(OR(S134="",COUNTIFS($B$16:$B$215,B134,$S$16:$S$215,"&gt;=0")&lt;2),"No Data Yet",IFERROR(IF(S134/AVERAGEIFS($S$16:$S$215,$B$16:$B$215,B134)&gt;=1.2,"Good",IF(S134/AVERAGEIFS($S$16:$S$215,$B$16:$B$215,B134)&gt;=0.8,"Average","Below Standard")),"Average")))</f>
        <v/>
      </c>
      <c r="U134" s="22" t="str">
        <f aca="false">IF(OR(A134="",B134="",C134=""),"",COUNTIFS('Who Engaged'!$C$5:$C$1004,C134,'Who Engaged'!$O$5:$O$1004,"Yes",'Who Engaged'!$M$5:$M$1004,1))</f>
        <v/>
      </c>
      <c r="V134" s="22" t="str">
        <f aca="false">IF(OR(A134="",B134="",C134=""),"",COUNTIFS('Who Engaged'!$C$5:$C$1004,C134,'Who Engaged'!$O$5:$O$1004,"Yes",'Who Engaged'!$L$5:$L$1004,1))</f>
        <v/>
      </c>
      <c r="W134" s="25" t="str">
        <f aca="false" t="array" ref="W134:W134">IF(OR(A134="",B134="",C134=""),"",_xlfn.TEXTJOIN("; ",TRUE(),IF(('Who Engaged'!$C$5:$C$1004=C134)*('Who Engaged'!$O$5:$O$1004="Yes"),'Who Engaged'!$D$5:$D$1004&amp;" – "&amp;'Who Engaged'!$F$5:$F$1004&amp;IF('Who Engaged'!$L$5:$L$1004=1," (followed)",""),"")))</f>
        <v/>
      </c>
      <c r="X134" s="26"/>
      <c r="Y134" s="26"/>
      <c r="Z134" s="27"/>
      <c r="AA134" s="24" t="str">
        <f aca="false">IF(OR(A134="",B134="",C134=""),"","https://www.alphanodus.com/contact?utm_source="&amp;IF(B134="X","twitter",LOWER(B134))&amp;"&amp;utm_medium=social&amp;utm_campaign="&amp;IF(E134="","general",LOWER(SUBSTITUTE(SUBSTITUTE(E134," / ","-")," ","-")))&amp;"&amp;utm_content="&amp;LOWER(C134))</f>
        <v/>
      </c>
    </row>
    <row r="135" customFormat="false" ht="15" hidden="false" customHeight="false" outlineLevel="0" collapsed="false">
      <c r="A135" s="28"/>
      <c r="B135" s="27"/>
      <c r="C135" s="27"/>
      <c r="D135" s="26"/>
      <c r="E135" s="27"/>
      <c r="F135" s="27"/>
      <c r="G135" s="27"/>
      <c r="H135" s="21"/>
      <c r="I135" s="21"/>
      <c r="J135" s="21"/>
      <c r="K135" s="21"/>
      <c r="L135" s="21"/>
      <c r="M135" s="21"/>
      <c r="N135" s="21"/>
      <c r="O135" s="21"/>
      <c r="P135" s="22" t="str">
        <f aca="false">IF(OR(A135="",B135="",C135=""),"",IF(COUNT(J135:N135)=0,"",SUM(J135:N135)))</f>
        <v/>
      </c>
      <c r="Q135" s="22" t="str">
        <f aca="false">IF(OR(A135="",B135="",C135=""),"",SUMIFS('Who Engaged'!$H$5:$H$1004,'Who Engaged'!$C$5:$C$1004,C135,'Who Engaged'!$N$5:$N$1004,"Yes")+SUMIFS('Who Engaged'!$I$5:$I$1004,'Who Engaged'!$C$5:$C$1004,C135,'Who Engaged'!$N$5:$N$1004,"Yes")+SUMIFS('Who Engaged'!$J$5:$J$1004,'Who Engaged'!$C$5:$C$1004,C135,'Who Engaged'!$N$5:$N$1004,"Yes")+SUMIFS('Who Engaged'!$K$5:$K$1004,'Who Engaged'!$C$5:$C$1004,C135,'Who Engaged'!$N$5:$N$1004,"Yes"))</f>
        <v/>
      </c>
      <c r="R135" s="22" t="str">
        <f aca="false">IF(OR(OR(A135="",B135="",C135=""),P135=""),"",MAX(0,P135-N(Q135)))</f>
        <v/>
      </c>
      <c r="S135" s="23" t="str">
        <f aca="false">IF(OR(OR(A135="",B135="",C135=""),R135=""),"",IFERROR(R135/(IF(N(H135)&gt;0,H135,IF(N(I135)&gt;0,I135,IF(COUNTIFS($B$16:$B$215,B135,$H$16:$H$215,"&gt;0")+COUNTIFS($B$16:$B$215,B135,$I$16:$I$215,"&gt;0")&gt;0,"",INDEX($B$5:$B$7,MATCH(B135,$A$5:$A$7,0)))))),""))</f>
        <v/>
      </c>
      <c r="T135" s="24" t="str">
        <f aca="false">IF(OR(A135="",B135="",C135=""),"",IF(OR(S135="",COUNTIFS($B$16:$B$215,B135,$S$16:$S$215,"&gt;=0")&lt;2),"No Data Yet",IFERROR(IF(S135/AVERAGEIFS($S$16:$S$215,$B$16:$B$215,B135)&gt;=1.2,"Good",IF(S135/AVERAGEIFS($S$16:$S$215,$B$16:$B$215,B135)&gt;=0.8,"Average","Below Standard")),"Average")))</f>
        <v/>
      </c>
      <c r="U135" s="22" t="str">
        <f aca="false">IF(OR(A135="",B135="",C135=""),"",COUNTIFS('Who Engaged'!$C$5:$C$1004,C135,'Who Engaged'!$O$5:$O$1004,"Yes",'Who Engaged'!$M$5:$M$1004,1))</f>
        <v/>
      </c>
      <c r="V135" s="22" t="str">
        <f aca="false">IF(OR(A135="",B135="",C135=""),"",COUNTIFS('Who Engaged'!$C$5:$C$1004,C135,'Who Engaged'!$O$5:$O$1004,"Yes",'Who Engaged'!$L$5:$L$1004,1))</f>
        <v/>
      </c>
      <c r="W135" s="25" t="str">
        <f aca="false" t="array" ref="W135:W135">IF(OR(A135="",B135="",C135=""),"",_xlfn.TEXTJOIN("; ",TRUE(),IF(('Who Engaged'!$C$5:$C$1004=C135)*('Who Engaged'!$O$5:$O$1004="Yes"),'Who Engaged'!$D$5:$D$1004&amp;" – "&amp;'Who Engaged'!$F$5:$F$1004&amp;IF('Who Engaged'!$L$5:$L$1004=1," (followed)",""),"")))</f>
        <v/>
      </c>
      <c r="X135" s="26"/>
      <c r="Y135" s="26"/>
      <c r="Z135" s="27"/>
      <c r="AA135" s="24" t="str">
        <f aca="false">IF(OR(A135="",B135="",C135=""),"","https://www.alphanodus.com/contact?utm_source="&amp;IF(B135="X","twitter",LOWER(B135))&amp;"&amp;utm_medium=social&amp;utm_campaign="&amp;IF(E135="","general",LOWER(SUBSTITUTE(SUBSTITUTE(E135," / ","-")," ","-")))&amp;"&amp;utm_content="&amp;LOWER(C135))</f>
        <v/>
      </c>
    </row>
    <row r="136" customFormat="false" ht="15" hidden="false" customHeight="false" outlineLevel="0" collapsed="false">
      <c r="A136" s="28"/>
      <c r="B136" s="27"/>
      <c r="C136" s="27"/>
      <c r="D136" s="26"/>
      <c r="E136" s="27"/>
      <c r="F136" s="27"/>
      <c r="G136" s="27"/>
      <c r="H136" s="21"/>
      <c r="I136" s="21"/>
      <c r="J136" s="21"/>
      <c r="K136" s="21"/>
      <c r="L136" s="21"/>
      <c r="M136" s="21"/>
      <c r="N136" s="21"/>
      <c r="O136" s="21"/>
      <c r="P136" s="22" t="str">
        <f aca="false">IF(OR(A136="",B136="",C136=""),"",IF(COUNT(J136:N136)=0,"",SUM(J136:N136)))</f>
        <v/>
      </c>
      <c r="Q136" s="22" t="str">
        <f aca="false">IF(OR(A136="",B136="",C136=""),"",SUMIFS('Who Engaged'!$H$5:$H$1004,'Who Engaged'!$C$5:$C$1004,C136,'Who Engaged'!$N$5:$N$1004,"Yes")+SUMIFS('Who Engaged'!$I$5:$I$1004,'Who Engaged'!$C$5:$C$1004,C136,'Who Engaged'!$N$5:$N$1004,"Yes")+SUMIFS('Who Engaged'!$J$5:$J$1004,'Who Engaged'!$C$5:$C$1004,C136,'Who Engaged'!$N$5:$N$1004,"Yes")+SUMIFS('Who Engaged'!$K$5:$K$1004,'Who Engaged'!$C$5:$C$1004,C136,'Who Engaged'!$N$5:$N$1004,"Yes"))</f>
        <v/>
      </c>
      <c r="R136" s="22" t="str">
        <f aca="false">IF(OR(OR(A136="",B136="",C136=""),P136=""),"",MAX(0,P136-N(Q136)))</f>
        <v/>
      </c>
      <c r="S136" s="23" t="str">
        <f aca="false">IF(OR(OR(A136="",B136="",C136=""),R136=""),"",IFERROR(R136/(IF(N(H136)&gt;0,H136,IF(N(I136)&gt;0,I136,IF(COUNTIFS($B$16:$B$215,B136,$H$16:$H$215,"&gt;0")+COUNTIFS($B$16:$B$215,B136,$I$16:$I$215,"&gt;0")&gt;0,"",INDEX($B$5:$B$7,MATCH(B136,$A$5:$A$7,0)))))),""))</f>
        <v/>
      </c>
      <c r="T136" s="24" t="str">
        <f aca="false">IF(OR(A136="",B136="",C136=""),"",IF(OR(S136="",COUNTIFS($B$16:$B$215,B136,$S$16:$S$215,"&gt;=0")&lt;2),"No Data Yet",IFERROR(IF(S136/AVERAGEIFS($S$16:$S$215,$B$16:$B$215,B136)&gt;=1.2,"Good",IF(S136/AVERAGEIFS($S$16:$S$215,$B$16:$B$215,B136)&gt;=0.8,"Average","Below Standard")),"Average")))</f>
        <v/>
      </c>
      <c r="U136" s="22" t="str">
        <f aca="false">IF(OR(A136="",B136="",C136=""),"",COUNTIFS('Who Engaged'!$C$5:$C$1004,C136,'Who Engaged'!$O$5:$O$1004,"Yes",'Who Engaged'!$M$5:$M$1004,1))</f>
        <v/>
      </c>
      <c r="V136" s="22" t="str">
        <f aca="false">IF(OR(A136="",B136="",C136=""),"",COUNTIFS('Who Engaged'!$C$5:$C$1004,C136,'Who Engaged'!$O$5:$O$1004,"Yes",'Who Engaged'!$L$5:$L$1004,1))</f>
        <v/>
      </c>
      <c r="W136" s="25" t="str">
        <f aca="false" t="array" ref="W136:W136">IF(OR(A136="",B136="",C136=""),"",_xlfn.TEXTJOIN("; ",TRUE(),IF(('Who Engaged'!$C$5:$C$1004=C136)*('Who Engaged'!$O$5:$O$1004="Yes"),'Who Engaged'!$D$5:$D$1004&amp;" – "&amp;'Who Engaged'!$F$5:$F$1004&amp;IF('Who Engaged'!$L$5:$L$1004=1," (followed)",""),"")))</f>
        <v/>
      </c>
      <c r="X136" s="26"/>
      <c r="Y136" s="26"/>
      <c r="Z136" s="27"/>
      <c r="AA136" s="24" t="str">
        <f aca="false">IF(OR(A136="",B136="",C136=""),"","https://www.alphanodus.com/contact?utm_source="&amp;IF(B136="X","twitter",LOWER(B136))&amp;"&amp;utm_medium=social&amp;utm_campaign="&amp;IF(E136="","general",LOWER(SUBSTITUTE(SUBSTITUTE(E136," / ","-")," ","-")))&amp;"&amp;utm_content="&amp;LOWER(C136))</f>
        <v/>
      </c>
    </row>
    <row r="137" customFormat="false" ht="15" hidden="false" customHeight="false" outlineLevel="0" collapsed="false">
      <c r="A137" s="28"/>
      <c r="B137" s="27"/>
      <c r="C137" s="27"/>
      <c r="D137" s="26"/>
      <c r="E137" s="27"/>
      <c r="F137" s="27"/>
      <c r="G137" s="27"/>
      <c r="H137" s="21"/>
      <c r="I137" s="21"/>
      <c r="J137" s="21"/>
      <c r="K137" s="21"/>
      <c r="L137" s="21"/>
      <c r="M137" s="21"/>
      <c r="N137" s="21"/>
      <c r="O137" s="21"/>
      <c r="P137" s="22" t="str">
        <f aca="false">IF(OR(A137="",B137="",C137=""),"",IF(COUNT(J137:N137)=0,"",SUM(J137:N137)))</f>
        <v/>
      </c>
      <c r="Q137" s="22" t="str">
        <f aca="false">IF(OR(A137="",B137="",C137=""),"",SUMIFS('Who Engaged'!$H$5:$H$1004,'Who Engaged'!$C$5:$C$1004,C137,'Who Engaged'!$N$5:$N$1004,"Yes")+SUMIFS('Who Engaged'!$I$5:$I$1004,'Who Engaged'!$C$5:$C$1004,C137,'Who Engaged'!$N$5:$N$1004,"Yes")+SUMIFS('Who Engaged'!$J$5:$J$1004,'Who Engaged'!$C$5:$C$1004,C137,'Who Engaged'!$N$5:$N$1004,"Yes")+SUMIFS('Who Engaged'!$K$5:$K$1004,'Who Engaged'!$C$5:$C$1004,C137,'Who Engaged'!$N$5:$N$1004,"Yes"))</f>
        <v/>
      </c>
      <c r="R137" s="22" t="str">
        <f aca="false">IF(OR(OR(A137="",B137="",C137=""),P137=""),"",MAX(0,P137-N(Q137)))</f>
        <v/>
      </c>
      <c r="S137" s="23" t="str">
        <f aca="false">IF(OR(OR(A137="",B137="",C137=""),R137=""),"",IFERROR(R137/(IF(N(H137)&gt;0,H137,IF(N(I137)&gt;0,I137,IF(COUNTIFS($B$16:$B$215,B137,$H$16:$H$215,"&gt;0")+COUNTIFS($B$16:$B$215,B137,$I$16:$I$215,"&gt;0")&gt;0,"",INDEX($B$5:$B$7,MATCH(B137,$A$5:$A$7,0)))))),""))</f>
        <v/>
      </c>
      <c r="T137" s="24" t="str">
        <f aca="false">IF(OR(A137="",B137="",C137=""),"",IF(OR(S137="",COUNTIFS($B$16:$B$215,B137,$S$16:$S$215,"&gt;=0")&lt;2),"No Data Yet",IFERROR(IF(S137/AVERAGEIFS($S$16:$S$215,$B$16:$B$215,B137)&gt;=1.2,"Good",IF(S137/AVERAGEIFS($S$16:$S$215,$B$16:$B$215,B137)&gt;=0.8,"Average","Below Standard")),"Average")))</f>
        <v/>
      </c>
      <c r="U137" s="22" t="str">
        <f aca="false">IF(OR(A137="",B137="",C137=""),"",COUNTIFS('Who Engaged'!$C$5:$C$1004,C137,'Who Engaged'!$O$5:$O$1004,"Yes",'Who Engaged'!$M$5:$M$1004,1))</f>
        <v/>
      </c>
      <c r="V137" s="22" t="str">
        <f aca="false">IF(OR(A137="",B137="",C137=""),"",COUNTIFS('Who Engaged'!$C$5:$C$1004,C137,'Who Engaged'!$O$5:$O$1004,"Yes",'Who Engaged'!$L$5:$L$1004,1))</f>
        <v/>
      </c>
      <c r="W137" s="25" t="str">
        <f aca="false" t="array" ref="W137:W137">IF(OR(A137="",B137="",C137=""),"",_xlfn.TEXTJOIN("; ",TRUE(),IF(('Who Engaged'!$C$5:$C$1004=C137)*('Who Engaged'!$O$5:$O$1004="Yes"),'Who Engaged'!$D$5:$D$1004&amp;" – "&amp;'Who Engaged'!$F$5:$F$1004&amp;IF('Who Engaged'!$L$5:$L$1004=1," (followed)",""),"")))</f>
        <v/>
      </c>
      <c r="X137" s="26"/>
      <c r="Y137" s="26"/>
      <c r="Z137" s="27"/>
      <c r="AA137" s="24" t="str">
        <f aca="false">IF(OR(A137="",B137="",C137=""),"","https://www.alphanodus.com/contact?utm_source="&amp;IF(B137="X","twitter",LOWER(B137))&amp;"&amp;utm_medium=social&amp;utm_campaign="&amp;IF(E137="","general",LOWER(SUBSTITUTE(SUBSTITUTE(E137," / ","-")," ","-")))&amp;"&amp;utm_content="&amp;LOWER(C137))</f>
        <v/>
      </c>
    </row>
    <row r="138" customFormat="false" ht="15" hidden="false" customHeight="false" outlineLevel="0" collapsed="false">
      <c r="A138" s="28"/>
      <c r="B138" s="27"/>
      <c r="C138" s="27"/>
      <c r="D138" s="26"/>
      <c r="E138" s="27"/>
      <c r="F138" s="27"/>
      <c r="G138" s="27"/>
      <c r="H138" s="21"/>
      <c r="I138" s="21"/>
      <c r="J138" s="21"/>
      <c r="K138" s="21"/>
      <c r="L138" s="21"/>
      <c r="M138" s="21"/>
      <c r="N138" s="21"/>
      <c r="O138" s="21"/>
      <c r="P138" s="22" t="str">
        <f aca="false">IF(OR(A138="",B138="",C138=""),"",IF(COUNT(J138:N138)=0,"",SUM(J138:N138)))</f>
        <v/>
      </c>
      <c r="Q138" s="22" t="str">
        <f aca="false">IF(OR(A138="",B138="",C138=""),"",SUMIFS('Who Engaged'!$H$5:$H$1004,'Who Engaged'!$C$5:$C$1004,C138,'Who Engaged'!$N$5:$N$1004,"Yes")+SUMIFS('Who Engaged'!$I$5:$I$1004,'Who Engaged'!$C$5:$C$1004,C138,'Who Engaged'!$N$5:$N$1004,"Yes")+SUMIFS('Who Engaged'!$J$5:$J$1004,'Who Engaged'!$C$5:$C$1004,C138,'Who Engaged'!$N$5:$N$1004,"Yes")+SUMIFS('Who Engaged'!$K$5:$K$1004,'Who Engaged'!$C$5:$C$1004,C138,'Who Engaged'!$N$5:$N$1004,"Yes"))</f>
        <v/>
      </c>
      <c r="R138" s="22" t="str">
        <f aca="false">IF(OR(OR(A138="",B138="",C138=""),P138=""),"",MAX(0,P138-N(Q138)))</f>
        <v/>
      </c>
      <c r="S138" s="23" t="str">
        <f aca="false">IF(OR(OR(A138="",B138="",C138=""),R138=""),"",IFERROR(R138/(IF(N(H138)&gt;0,H138,IF(N(I138)&gt;0,I138,IF(COUNTIFS($B$16:$B$215,B138,$H$16:$H$215,"&gt;0")+COUNTIFS($B$16:$B$215,B138,$I$16:$I$215,"&gt;0")&gt;0,"",INDEX($B$5:$B$7,MATCH(B138,$A$5:$A$7,0)))))),""))</f>
        <v/>
      </c>
      <c r="T138" s="24" t="str">
        <f aca="false">IF(OR(A138="",B138="",C138=""),"",IF(OR(S138="",COUNTIFS($B$16:$B$215,B138,$S$16:$S$215,"&gt;=0")&lt;2),"No Data Yet",IFERROR(IF(S138/AVERAGEIFS($S$16:$S$215,$B$16:$B$215,B138)&gt;=1.2,"Good",IF(S138/AVERAGEIFS($S$16:$S$215,$B$16:$B$215,B138)&gt;=0.8,"Average","Below Standard")),"Average")))</f>
        <v/>
      </c>
      <c r="U138" s="22" t="str">
        <f aca="false">IF(OR(A138="",B138="",C138=""),"",COUNTIFS('Who Engaged'!$C$5:$C$1004,C138,'Who Engaged'!$O$5:$O$1004,"Yes",'Who Engaged'!$M$5:$M$1004,1))</f>
        <v/>
      </c>
      <c r="V138" s="22" t="str">
        <f aca="false">IF(OR(A138="",B138="",C138=""),"",COUNTIFS('Who Engaged'!$C$5:$C$1004,C138,'Who Engaged'!$O$5:$O$1004,"Yes",'Who Engaged'!$L$5:$L$1004,1))</f>
        <v/>
      </c>
      <c r="W138" s="25" t="str">
        <f aca="false" t="array" ref="W138:W138">IF(OR(A138="",B138="",C138=""),"",_xlfn.TEXTJOIN("; ",TRUE(),IF(('Who Engaged'!$C$5:$C$1004=C138)*('Who Engaged'!$O$5:$O$1004="Yes"),'Who Engaged'!$D$5:$D$1004&amp;" – "&amp;'Who Engaged'!$F$5:$F$1004&amp;IF('Who Engaged'!$L$5:$L$1004=1," (followed)",""),"")))</f>
        <v/>
      </c>
      <c r="X138" s="26"/>
      <c r="Y138" s="26"/>
      <c r="Z138" s="27"/>
      <c r="AA138" s="24" t="str">
        <f aca="false">IF(OR(A138="",B138="",C138=""),"","https://www.alphanodus.com/contact?utm_source="&amp;IF(B138="X","twitter",LOWER(B138))&amp;"&amp;utm_medium=social&amp;utm_campaign="&amp;IF(E138="","general",LOWER(SUBSTITUTE(SUBSTITUTE(E138," / ","-")," ","-")))&amp;"&amp;utm_content="&amp;LOWER(C138))</f>
        <v/>
      </c>
    </row>
    <row r="139" customFormat="false" ht="15" hidden="false" customHeight="false" outlineLevel="0" collapsed="false">
      <c r="A139" s="28"/>
      <c r="B139" s="27"/>
      <c r="C139" s="27"/>
      <c r="D139" s="26"/>
      <c r="E139" s="27"/>
      <c r="F139" s="27"/>
      <c r="G139" s="27"/>
      <c r="H139" s="21"/>
      <c r="I139" s="21"/>
      <c r="J139" s="21"/>
      <c r="K139" s="21"/>
      <c r="L139" s="21"/>
      <c r="M139" s="21"/>
      <c r="N139" s="21"/>
      <c r="O139" s="21"/>
      <c r="P139" s="22" t="str">
        <f aca="false">IF(OR(A139="",B139="",C139=""),"",IF(COUNT(J139:N139)=0,"",SUM(J139:N139)))</f>
        <v/>
      </c>
      <c r="Q139" s="22" t="str">
        <f aca="false">IF(OR(A139="",B139="",C139=""),"",SUMIFS('Who Engaged'!$H$5:$H$1004,'Who Engaged'!$C$5:$C$1004,C139,'Who Engaged'!$N$5:$N$1004,"Yes")+SUMIFS('Who Engaged'!$I$5:$I$1004,'Who Engaged'!$C$5:$C$1004,C139,'Who Engaged'!$N$5:$N$1004,"Yes")+SUMIFS('Who Engaged'!$J$5:$J$1004,'Who Engaged'!$C$5:$C$1004,C139,'Who Engaged'!$N$5:$N$1004,"Yes")+SUMIFS('Who Engaged'!$K$5:$K$1004,'Who Engaged'!$C$5:$C$1004,C139,'Who Engaged'!$N$5:$N$1004,"Yes"))</f>
        <v/>
      </c>
      <c r="R139" s="22" t="str">
        <f aca="false">IF(OR(OR(A139="",B139="",C139=""),P139=""),"",MAX(0,P139-N(Q139)))</f>
        <v/>
      </c>
      <c r="S139" s="23" t="str">
        <f aca="false">IF(OR(OR(A139="",B139="",C139=""),R139=""),"",IFERROR(R139/(IF(N(H139)&gt;0,H139,IF(N(I139)&gt;0,I139,IF(COUNTIFS($B$16:$B$215,B139,$H$16:$H$215,"&gt;0")+COUNTIFS($B$16:$B$215,B139,$I$16:$I$215,"&gt;0")&gt;0,"",INDEX($B$5:$B$7,MATCH(B139,$A$5:$A$7,0)))))),""))</f>
        <v/>
      </c>
      <c r="T139" s="24" t="str">
        <f aca="false">IF(OR(A139="",B139="",C139=""),"",IF(OR(S139="",COUNTIFS($B$16:$B$215,B139,$S$16:$S$215,"&gt;=0")&lt;2),"No Data Yet",IFERROR(IF(S139/AVERAGEIFS($S$16:$S$215,$B$16:$B$215,B139)&gt;=1.2,"Good",IF(S139/AVERAGEIFS($S$16:$S$215,$B$16:$B$215,B139)&gt;=0.8,"Average","Below Standard")),"Average")))</f>
        <v/>
      </c>
      <c r="U139" s="22" t="str">
        <f aca="false">IF(OR(A139="",B139="",C139=""),"",COUNTIFS('Who Engaged'!$C$5:$C$1004,C139,'Who Engaged'!$O$5:$O$1004,"Yes",'Who Engaged'!$M$5:$M$1004,1))</f>
        <v/>
      </c>
      <c r="V139" s="22" t="str">
        <f aca="false">IF(OR(A139="",B139="",C139=""),"",COUNTIFS('Who Engaged'!$C$5:$C$1004,C139,'Who Engaged'!$O$5:$O$1004,"Yes",'Who Engaged'!$L$5:$L$1004,1))</f>
        <v/>
      </c>
      <c r="W139" s="25" t="str">
        <f aca="false" t="array" ref="W139:W139">IF(OR(A139="",B139="",C139=""),"",_xlfn.TEXTJOIN("; ",TRUE(),IF(('Who Engaged'!$C$5:$C$1004=C139)*('Who Engaged'!$O$5:$O$1004="Yes"),'Who Engaged'!$D$5:$D$1004&amp;" – "&amp;'Who Engaged'!$F$5:$F$1004&amp;IF('Who Engaged'!$L$5:$L$1004=1," (followed)",""),"")))</f>
        <v/>
      </c>
      <c r="X139" s="26"/>
      <c r="Y139" s="26"/>
      <c r="Z139" s="27"/>
      <c r="AA139" s="24" t="str">
        <f aca="false">IF(OR(A139="",B139="",C139=""),"","https://www.alphanodus.com/contact?utm_source="&amp;IF(B139="X","twitter",LOWER(B139))&amp;"&amp;utm_medium=social&amp;utm_campaign="&amp;IF(E139="","general",LOWER(SUBSTITUTE(SUBSTITUTE(E139," / ","-")," ","-")))&amp;"&amp;utm_content="&amp;LOWER(C139))</f>
        <v/>
      </c>
    </row>
    <row r="140" customFormat="false" ht="15" hidden="false" customHeight="false" outlineLevel="0" collapsed="false">
      <c r="A140" s="28"/>
      <c r="B140" s="27"/>
      <c r="C140" s="27"/>
      <c r="D140" s="26"/>
      <c r="E140" s="27"/>
      <c r="F140" s="27"/>
      <c r="G140" s="27"/>
      <c r="H140" s="21"/>
      <c r="I140" s="21"/>
      <c r="J140" s="21"/>
      <c r="K140" s="21"/>
      <c r="L140" s="21"/>
      <c r="M140" s="21"/>
      <c r="N140" s="21"/>
      <c r="O140" s="21"/>
      <c r="P140" s="22" t="str">
        <f aca="false">IF(OR(A140="",B140="",C140=""),"",IF(COUNT(J140:N140)=0,"",SUM(J140:N140)))</f>
        <v/>
      </c>
      <c r="Q140" s="22" t="str">
        <f aca="false">IF(OR(A140="",B140="",C140=""),"",SUMIFS('Who Engaged'!$H$5:$H$1004,'Who Engaged'!$C$5:$C$1004,C140,'Who Engaged'!$N$5:$N$1004,"Yes")+SUMIFS('Who Engaged'!$I$5:$I$1004,'Who Engaged'!$C$5:$C$1004,C140,'Who Engaged'!$N$5:$N$1004,"Yes")+SUMIFS('Who Engaged'!$J$5:$J$1004,'Who Engaged'!$C$5:$C$1004,C140,'Who Engaged'!$N$5:$N$1004,"Yes")+SUMIFS('Who Engaged'!$K$5:$K$1004,'Who Engaged'!$C$5:$C$1004,C140,'Who Engaged'!$N$5:$N$1004,"Yes"))</f>
        <v/>
      </c>
      <c r="R140" s="22" t="str">
        <f aca="false">IF(OR(OR(A140="",B140="",C140=""),P140=""),"",MAX(0,P140-N(Q140)))</f>
        <v/>
      </c>
      <c r="S140" s="23" t="str">
        <f aca="false">IF(OR(OR(A140="",B140="",C140=""),R140=""),"",IFERROR(R140/(IF(N(H140)&gt;0,H140,IF(N(I140)&gt;0,I140,IF(COUNTIFS($B$16:$B$215,B140,$H$16:$H$215,"&gt;0")+COUNTIFS($B$16:$B$215,B140,$I$16:$I$215,"&gt;0")&gt;0,"",INDEX($B$5:$B$7,MATCH(B140,$A$5:$A$7,0)))))),""))</f>
        <v/>
      </c>
      <c r="T140" s="24" t="str">
        <f aca="false">IF(OR(A140="",B140="",C140=""),"",IF(OR(S140="",COUNTIFS($B$16:$B$215,B140,$S$16:$S$215,"&gt;=0")&lt;2),"No Data Yet",IFERROR(IF(S140/AVERAGEIFS($S$16:$S$215,$B$16:$B$215,B140)&gt;=1.2,"Good",IF(S140/AVERAGEIFS($S$16:$S$215,$B$16:$B$215,B140)&gt;=0.8,"Average","Below Standard")),"Average")))</f>
        <v/>
      </c>
      <c r="U140" s="22" t="str">
        <f aca="false">IF(OR(A140="",B140="",C140=""),"",COUNTIFS('Who Engaged'!$C$5:$C$1004,C140,'Who Engaged'!$O$5:$O$1004,"Yes",'Who Engaged'!$M$5:$M$1004,1))</f>
        <v/>
      </c>
      <c r="V140" s="22" t="str">
        <f aca="false">IF(OR(A140="",B140="",C140=""),"",COUNTIFS('Who Engaged'!$C$5:$C$1004,C140,'Who Engaged'!$O$5:$O$1004,"Yes",'Who Engaged'!$L$5:$L$1004,1))</f>
        <v/>
      </c>
      <c r="W140" s="25" t="str">
        <f aca="false" t="array" ref="W140:W140">IF(OR(A140="",B140="",C140=""),"",_xlfn.TEXTJOIN("; ",TRUE(),IF(('Who Engaged'!$C$5:$C$1004=C140)*('Who Engaged'!$O$5:$O$1004="Yes"),'Who Engaged'!$D$5:$D$1004&amp;" – "&amp;'Who Engaged'!$F$5:$F$1004&amp;IF('Who Engaged'!$L$5:$L$1004=1," (followed)",""),"")))</f>
        <v/>
      </c>
      <c r="X140" s="26"/>
      <c r="Y140" s="26"/>
      <c r="Z140" s="27"/>
      <c r="AA140" s="24" t="str">
        <f aca="false">IF(OR(A140="",B140="",C140=""),"","https://www.alphanodus.com/contact?utm_source="&amp;IF(B140="X","twitter",LOWER(B140))&amp;"&amp;utm_medium=social&amp;utm_campaign="&amp;IF(E140="","general",LOWER(SUBSTITUTE(SUBSTITUTE(E140," / ","-")," ","-")))&amp;"&amp;utm_content="&amp;LOWER(C140))</f>
        <v/>
      </c>
    </row>
    <row r="141" customFormat="false" ht="15" hidden="false" customHeight="false" outlineLevel="0" collapsed="false">
      <c r="A141" s="28"/>
      <c r="B141" s="27"/>
      <c r="C141" s="27"/>
      <c r="D141" s="26"/>
      <c r="E141" s="27"/>
      <c r="F141" s="27"/>
      <c r="G141" s="27"/>
      <c r="H141" s="21"/>
      <c r="I141" s="21"/>
      <c r="J141" s="21"/>
      <c r="K141" s="21"/>
      <c r="L141" s="21"/>
      <c r="M141" s="21"/>
      <c r="N141" s="21"/>
      <c r="O141" s="21"/>
      <c r="P141" s="22" t="str">
        <f aca="false">IF(OR(A141="",B141="",C141=""),"",IF(COUNT(J141:N141)=0,"",SUM(J141:N141)))</f>
        <v/>
      </c>
      <c r="Q141" s="22" t="str">
        <f aca="false">IF(OR(A141="",B141="",C141=""),"",SUMIFS('Who Engaged'!$H$5:$H$1004,'Who Engaged'!$C$5:$C$1004,C141,'Who Engaged'!$N$5:$N$1004,"Yes")+SUMIFS('Who Engaged'!$I$5:$I$1004,'Who Engaged'!$C$5:$C$1004,C141,'Who Engaged'!$N$5:$N$1004,"Yes")+SUMIFS('Who Engaged'!$J$5:$J$1004,'Who Engaged'!$C$5:$C$1004,C141,'Who Engaged'!$N$5:$N$1004,"Yes")+SUMIFS('Who Engaged'!$K$5:$K$1004,'Who Engaged'!$C$5:$C$1004,C141,'Who Engaged'!$N$5:$N$1004,"Yes"))</f>
        <v/>
      </c>
      <c r="R141" s="22" t="str">
        <f aca="false">IF(OR(OR(A141="",B141="",C141=""),P141=""),"",MAX(0,P141-N(Q141)))</f>
        <v/>
      </c>
      <c r="S141" s="23" t="str">
        <f aca="false">IF(OR(OR(A141="",B141="",C141=""),R141=""),"",IFERROR(R141/(IF(N(H141)&gt;0,H141,IF(N(I141)&gt;0,I141,IF(COUNTIFS($B$16:$B$215,B141,$H$16:$H$215,"&gt;0")+COUNTIFS($B$16:$B$215,B141,$I$16:$I$215,"&gt;0")&gt;0,"",INDEX($B$5:$B$7,MATCH(B141,$A$5:$A$7,0)))))),""))</f>
        <v/>
      </c>
      <c r="T141" s="24" t="str">
        <f aca="false">IF(OR(A141="",B141="",C141=""),"",IF(OR(S141="",COUNTIFS($B$16:$B$215,B141,$S$16:$S$215,"&gt;=0")&lt;2),"No Data Yet",IFERROR(IF(S141/AVERAGEIFS($S$16:$S$215,$B$16:$B$215,B141)&gt;=1.2,"Good",IF(S141/AVERAGEIFS($S$16:$S$215,$B$16:$B$215,B141)&gt;=0.8,"Average","Below Standard")),"Average")))</f>
        <v/>
      </c>
      <c r="U141" s="22" t="str">
        <f aca="false">IF(OR(A141="",B141="",C141=""),"",COUNTIFS('Who Engaged'!$C$5:$C$1004,C141,'Who Engaged'!$O$5:$O$1004,"Yes",'Who Engaged'!$M$5:$M$1004,1))</f>
        <v/>
      </c>
      <c r="V141" s="22" t="str">
        <f aca="false">IF(OR(A141="",B141="",C141=""),"",COUNTIFS('Who Engaged'!$C$5:$C$1004,C141,'Who Engaged'!$O$5:$O$1004,"Yes",'Who Engaged'!$L$5:$L$1004,1))</f>
        <v/>
      </c>
      <c r="W141" s="25" t="str">
        <f aca="false" t="array" ref="W141:W141">IF(OR(A141="",B141="",C141=""),"",_xlfn.TEXTJOIN("; ",TRUE(),IF(('Who Engaged'!$C$5:$C$1004=C141)*('Who Engaged'!$O$5:$O$1004="Yes"),'Who Engaged'!$D$5:$D$1004&amp;" – "&amp;'Who Engaged'!$F$5:$F$1004&amp;IF('Who Engaged'!$L$5:$L$1004=1," (followed)",""),"")))</f>
        <v/>
      </c>
      <c r="X141" s="26"/>
      <c r="Y141" s="26"/>
      <c r="Z141" s="27"/>
      <c r="AA141" s="24" t="str">
        <f aca="false">IF(OR(A141="",B141="",C141=""),"","https://www.alphanodus.com/contact?utm_source="&amp;IF(B141="X","twitter",LOWER(B141))&amp;"&amp;utm_medium=social&amp;utm_campaign="&amp;IF(E141="","general",LOWER(SUBSTITUTE(SUBSTITUTE(E141," / ","-")," ","-")))&amp;"&amp;utm_content="&amp;LOWER(C141))</f>
        <v/>
      </c>
    </row>
    <row r="142" customFormat="false" ht="15" hidden="false" customHeight="false" outlineLevel="0" collapsed="false">
      <c r="A142" s="28"/>
      <c r="B142" s="27"/>
      <c r="C142" s="27"/>
      <c r="D142" s="26"/>
      <c r="E142" s="27"/>
      <c r="F142" s="27"/>
      <c r="G142" s="27"/>
      <c r="H142" s="21"/>
      <c r="I142" s="21"/>
      <c r="J142" s="21"/>
      <c r="K142" s="21"/>
      <c r="L142" s="21"/>
      <c r="M142" s="21"/>
      <c r="N142" s="21"/>
      <c r="O142" s="21"/>
      <c r="P142" s="22" t="str">
        <f aca="false">IF(OR(A142="",B142="",C142=""),"",IF(COUNT(J142:N142)=0,"",SUM(J142:N142)))</f>
        <v/>
      </c>
      <c r="Q142" s="22" t="str">
        <f aca="false">IF(OR(A142="",B142="",C142=""),"",SUMIFS('Who Engaged'!$H$5:$H$1004,'Who Engaged'!$C$5:$C$1004,C142,'Who Engaged'!$N$5:$N$1004,"Yes")+SUMIFS('Who Engaged'!$I$5:$I$1004,'Who Engaged'!$C$5:$C$1004,C142,'Who Engaged'!$N$5:$N$1004,"Yes")+SUMIFS('Who Engaged'!$J$5:$J$1004,'Who Engaged'!$C$5:$C$1004,C142,'Who Engaged'!$N$5:$N$1004,"Yes")+SUMIFS('Who Engaged'!$K$5:$K$1004,'Who Engaged'!$C$5:$C$1004,C142,'Who Engaged'!$N$5:$N$1004,"Yes"))</f>
        <v/>
      </c>
      <c r="R142" s="22" t="str">
        <f aca="false">IF(OR(OR(A142="",B142="",C142=""),P142=""),"",MAX(0,P142-N(Q142)))</f>
        <v/>
      </c>
      <c r="S142" s="23" t="str">
        <f aca="false">IF(OR(OR(A142="",B142="",C142=""),R142=""),"",IFERROR(R142/(IF(N(H142)&gt;0,H142,IF(N(I142)&gt;0,I142,IF(COUNTIFS($B$16:$B$215,B142,$H$16:$H$215,"&gt;0")+COUNTIFS($B$16:$B$215,B142,$I$16:$I$215,"&gt;0")&gt;0,"",INDEX($B$5:$B$7,MATCH(B142,$A$5:$A$7,0)))))),""))</f>
        <v/>
      </c>
      <c r="T142" s="24" t="str">
        <f aca="false">IF(OR(A142="",B142="",C142=""),"",IF(OR(S142="",COUNTIFS($B$16:$B$215,B142,$S$16:$S$215,"&gt;=0")&lt;2),"No Data Yet",IFERROR(IF(S142/AVERAGEIFS($S$16:$S$215,$B$16:$B$215,B142)&gt;=1.2,"Good",IF(S142/AVERAGEIFS($S$16:$S$215,$B$16:$B$215,B142)&gt;=0.8,"Average","Below Standard")),"Average")))</f>
        <v/>
      </c>
      <c r="U142" s="22" t="str">
        <f aca="false">IF(OR(A142="",B142="",C142=""),"",COUNTIFS('Who Engaged'!$C$5:$C$1004,C142,'Who Engaged'!$O$5:$O$1004,"Yes",'Who Engaged'!$M$5:$M$1004,1))</f>
        <v/>
      </c>
      <c r="V142" s="22" t="str">
        <f aca="false">IF(OR(A142="",B142="",C142=""),"",COUNTIFS('Who Engaged'!$C$5:$C$1004,C142,'Who Engaged'!$O$5:$O$1004,"Yes",'Who Engaged'!$L$5:$L$1004,1))</f>
        <v/>
      </c>
      <c r="W142" s="25" t="str">
        <f aca="false" t="array" ref="W142:W142">IF(OR(A142="",B142="",C142=""),"",_xlfn.TEXTJOIN("; ",TRUE(),IF(('Who Engaged'!$C$5:$C$1004=C142)*('Who Engaged'!$O$5:$O$1004="Yes"),'Who Engaged'!$D$5:$D$1004&amp;" – "&amp;'Who Engaged'!$F$5:$F$1004&amp;IF('Who Engaged'!$L$5:$L$1004=1," (followed)",""),"")))</f>
        <v/>
      </c>
      <c r="X142" s="26"/>
      <c r="Y142" s="26"/>
      <c r="Z142" s="27"/>
      <c r="AA142" s="24" t="str">
        <f aca="false">IF(OR(A142="",B142="",C142=""),"","https://www.alphanodus.com/contact?utm_source="&amp;IF(B142="X","twitter",LOWER(B142))&amp;"&amp;utm_medium=social&amp;utm_campaign="&amp;IF(E142="","general",LOWER(SUBSTITUTE(SUBSTITUTE(E142," / ","-")," ","-")))&amp;"&amp;utm_content="&amp;LOWER(C142))</f>
        <v/>
      </c>
    </row>
    <row r="143" customFormat="false" ht="15" hidden="false" customHeight="false" outlineLevel="0" collapsed="false">
      <c r="A143" s="28"/>
      <c r="B143" s="27"/>
      <c r="C143" s="27"/>
      <c r="D143" s="26"/>
      <c r="E143" s="27"/>
      <c r="F143" s="27"/>
      <c r="G143" s="27"/>
      <c r="H143" s="21"/>
      <c r="I143" s="21"/>
      <c r="J143" s="21"/>
      <c r="K143" s="21"/>
      <c r="L143" s="21"/>
      <c r="M143" s="21"/>
      <c r="N143" s="21"/>
      <c r="O143" s="21"/>
      <c r="P143" s="22" t="str">
        <f aca="false">IF(OR(A143="",B143="",C143=""),"",IF(COUNT(J143:N143)=0,"",SUM(J143:N143)))</f>
        <v/>
      </c>
      <c r="Q143" s="22" t="str">
        <f aca="false">IF(OR(A143="",B143="",C143=""),"",SUMIFS('Who Engaged'!$H$5:$H$1004,'Who Engaged'!$C$5:$C$1004,C143,'Who Engaged'!$N$5:$N$1004,"Yes")+SUMIFS('Who Engaged'!$I$5:$I$1004,'Who Engaged'!$C$5:$C$1004,C143,'Who Engaged'!$N$5:$N$1004,"Yes")+SUMIFS('Who Engaged'!$J$5:$J$1004,'Who Engaged'!$C$5:$C$1004,C143,'Who Engaged'!$N$5:$N$1004,"Yes")+SUMIFS('Who Engaged'!$K$5:$K$1004,'Who Engaged'!$C$5:$C$1004,C143,'Who Engaged'!$N$5:$N$1004,"Yes"))</f>
        <v/>
      </c>
      <c r="R143" s="22" t="str">
        <f aca="false">IF(OR(OR(A143="",B143="",C143=""),P143=""),"",MAX(0,P143-N(Q143)))</f>
        <v/>
      </c>
      <c r="S143" s="23" t="str">
        <f aca="false">IF(OR(OR(A143="",B143="",C143=""),R143=""),"",IFERROR(R143/(IF(N(H143)&gt;0,H143,IF(N(I143)&gt;0,I143,IF(COUNTIFS($B$16:$B$215,B143,$H$16:$H$215,"&gt;0")+COUNTIFS($B$16:$B$215,B143,$I$16:$I$215,"&gt;0")&gt;0,"",INDEX($B$5:$B$7,MATCH(B143,$A$5:$A$7,0)))))),""))</f>
        <v/>
      </c>
      <c r="T143" s="24" t="str">
        <f aca="false">IF(OR(A143="",B143="",C143=""),"",IF(OR(S143="",COUNTIFS($B$16:$B$215,B143,$S$16:$S$215,"&gt;=0")&lt;2),"No Data Yet",IFERROR(IF(S143/AVERAGEIFS($S$16:$S$215,$B$16:$B$215,B143)&gt;=1.2,"Good",IF(S143/AVERAGEIFS($S$16:$S$215,$B$16:$B$215,B143)&gt;=0.8,"Average","Below Standard")),"Average")))</f>
        <v/>
      </c>
      <c r="U143" s="22" t="str">
        <f aca="false">IF(OR(A143="",B143="",C143=""),"",COUNTIFS('Who Engaged'!$C$5:$C$1004,C143,'Who Engaged'!$O$5:$O$1004,"Yes",'Who Engaged'!$M$5:$M$1004,1))</f>
        <v/>
      </c>
      <c r="V143" s="22" t="str">
        <f aca="false">IF(OR(A143="",B143="",C143=""),"",COUNTIFS('Who Engaged'!$C$5:$C$1004,C143,'Who Engaged'!$O$5:$O$1004,"Yes",'Who Engaged'!$L$5:$L$1004,1))</f>
        <v/>
      </c>
      <c r="W143" s="25" t="str">
        <f aca="false" t="array" ref="W143:W143">IF(OR(A143="",B143="",C143=""),"",_xlfn.TEXTJOIN("; ",TRUE(),IF(('Who Engaged'!$C$5:$C$1004=C143)*('Who Engaged'!$O$5:$O$1004="Yes"),'Who Engaged'!$D$5:$D$1004&amp;" – "&amp;'Who Engaged'!$F$5:$F$1004&amp;IF('Who Engaged'!$L$5:$L$1004=1," (followed)",""),"")))</f>
        <v/>
      </c>
      <c r="X143" s="26"/>
      <c r="Y143" s="26"/>
      <c r="Z143" s="27"/>
      <c r="AA143" s="24" t="str">
        <f aca="false">IF(OR(A143="",B143="",C143=""),"","https://www.alphanodus.com/contact?utm_source="&amp;IF(B143="X","twitter",LOWER(B143))&amp;"&amp;utm_medium=social&amp;utm_campaign="&amp;IF(E143="","general",LOWER(SUBSTITUTE(SUBSTITUTE(E143," / ","-")," ","-")))&amp;"&amp;utm_content="&amp;LOWER(C143))</f>
        <v/>
      </c>
    </row>
    <row r="144" customFormat="false" ht="15" hidden="false" customHeight="false" outlineLevel="0" collapsed="false">
      <c r="A144" s="28"/>
      <c r="B144" s="27"/>
      <c r="C144" s="27"/>
      <c r="D144" s="26"/>
      <c r="E144" s="27"/>
      <c r="F144" s="27"/>
      <c r="G144" s="27"/>
      <c r="H144" s="21"/>
      <c r="I144" s="21"/>
      <c r="J144" s="21"/>
      <c r="K144" s="21"/>
      <c r="L144" s="21"/>
      <c r="M144" s="21"/>
      <c r="N144" s="21"/>
      <c r="O144" s="21"/>
      <c r="P144" s="22" t="str">
        <f aca="false">IF(OR(A144="",B144="",C144=""),"",IF(COUNT(J144:N144)=0,"",SUM(J144:N144)))</f>
        <v/>
      </c>
      <c r="Q144" s="22" t="str">
        <f aca="false">IF(OR(A144="",B144="",C144=""),"",SUMIFS('Who Engaged'!$H$5:$H$1004,'Who Engaged'!$C$5:$C$1004,C144,'Who Engaged'!$N$5:$N$1004,"Yes")+SUMIFS('Who Engaged'!$I$5:$I$1004,'Who Engaged'!$C$5:$C$1004,C144,'Who Engaged'!$N$5:$N$1004,"Yes")+SUMIFS('Who Engaged'!$J$5:$J$1004,'Who Engaged'!$C$5:$C$1004,C144,'Who Engaged'!$N$5:$N$1004,"Yes")+SUMIFS('Who Engaged'!$K$5:$K$1004,'Who Engaged'!$C$5:$C$1004,C144,'Who Engaged'!$N$5:$N$1004,"Yes"))</f>
        <v/>
      </c>
      <c r="R144" s="22" t="str">
        <f aca="false">IF(OR(OR(A144="",B144="",C144=""),P144=""),"",MAX(0,P144-N(Q144)))</f>
        <v/>
      </c>
      <c r="S144" s="23" t="str">
        <f aca="false">IF(OR(OR(A144="",B144="",C144=""),R144=""),"",IFERROR(R144/(IF(N(H144)&gt;0,H144,IF(N(I144)&gt;0,I144,IF(COUNTIFS($B$16:$B$215,B144,$H$16:$H$215,"&gt;0")+COUNTIFS($B$16:$B$215,B144,$I$16:$I$215,"&gt;0")&gt;0,"",INDEX($B$5:$B$7,MATCH(B144,$A$5:$A$7,0)))))),""))</f>
        <v/>
      </c>
      <c r="T144" s="24" t="str">
        <f aca="false">IF(OR(A144="",B144="",C144=""),"",IF(OR(S144="",COUNTIFS($B$16:$B$215,B144,$S$16:$S$215,"&gt;=0")&lt;2),"No Data Yet",IFERROR(IF(S144/AVERAGEIFS($S$16:$S$215,$B$16:$B$215,B144)&gt;=1.2,"Good",IF(S144/AVERAGEIFS($S$16:$S$215,$B$16:$B$215,B144)&gt;=0.8,"Average","Below Standard")),"Average")))</f>
        <v/>
      </c>
      <c r="U144" s="22" t="str">
        <f aca="false">IF(OR(A144="",B144="",C144=""),"",COUNTIFS('Who Engaged'!$C$5:$C$1004,C144,'Who Engaged'!$O$5:$O$1004,"Yes",'Who Engaged'!$M$5:$M$1004,1))</f>
        <v/>
      </c>
      <c r="V144" s="22" t="str">
        <f aca="false">IF(OR(A144="",B144="",C144=""),"",COUNTIFS('Who Engaged'!$C$5:$C$1004,C144,'Who Engaged'!$O$5:$O$1004,"Yes",'Who Engaged'!$L$5:$L$1004,1))</f>
        <v/>
      </c>
      <c r="W144" s="25" t="str">
        <f aca="false" t="array" ref="W144:W144">IF(OR(A144="",B144="",C144=""),"",_xlfn.TEXTJOIN("; ",TRUE(),IF(('Who Engaged'!$C$5:$C$1004=C144)*('Who Engaged'!$O$5:$O$1004="Yes"),'Who Engaged'!$D$5:$D$1004&amp;" – "&amp;'Who Engaged'!$F$5:$F$1004&amp;IF('Who Engaged'!$L$5:$L$1004=1," (followed)",""),"")))</f>
        <v/>
      </c>
      <c r="X144" s="26"/>
      <c r="Y144" s="26"/>
      <c r="Z144" s="27"/>
      <c r="AA144" s="24" t="str">
        <f aca="false">IF(OR(A144="",B144="",C144=""),"","https://www.alphanodus.com/contact?utm_source="&amp;IF(B144="X","twitter",LOWER(B144))&amp;"&amp;utm_medium=social&amp;utm_campaign="&amp;IF(E144="","general",LOWER(SUBSTITUTE(SUBSTITUTE(E144," / ","-")," ","-")))&amp;"&amp;utm_content="&amp;LOWER(C144))</f>
        <v/>
      </c>
    </row>
    <row r="145" customFormat="false" ht="15" hidden="false" customHeight="false" outlineLevel="0" collapsed="false">
      <c r="A145" s="28"/>
      <c r="B145" s="27"/>
      <c r="C145" s="27"/>
      <c r="D145" s="26"/>
      <c r="E145" s="27"/>
      <c r="F145" s="27"/>
      <c r="G145" s="27"/>
      <c r="H145" s="21"/>
      <c r="I145" s="21"/>
      <c r="J145" s="21"/>
      <c r="K145" s="21"/>
      <c r="L145" s="21"/>
      <c r="M145" s="21"/>
      <c r="N145" s="21"/>
      <c r="O145" s="21"/>
      <c r="P145" s="22" t="str">
        <f aca="false">IF(OR(A145="",B145="",C145=""),"",IF(COUNT(J145:N145)=0,"",SUM(J145:N145)))</f>
        <v/>
      </c>
      <c r="Q145" s="22" t="str">
        <f aca="false">IF(OR(A145="",B145="",C145=""),"",SUMIFS('Who Engaged'!$H$5:$H$1004,'Who Engaged'!$C$5:$C$1004,C145,'Who Engaged'!$N$5:$N$1004,"Yes")+SUMIFS('Who Engaged'!$I$5:$I$1004,'Who Engaged'!$C$5:$C$1004,C145,'Who Engaged'!$N$5:$N$1004,"Yes")+SUMIFS('Who Engaged'!$J$5:$J$1004,'Who Engaged'!$C$5:$C$1004,C145,'Who Engaged'!$N$5:$N$1004,"Yes")+SUMIFS('Who Engaged'!$K$5:$K$1004,'Who Engaged'!$C$5:$C$1004,C145,'Who Engaged'!$N$5:$N$1004,"Yes"))</f>
        <v/>
      </c>
      <c r="R145" s="22" t="str">
        <f aca="false">IF(OR(OR(A145="",B145="",C145=""),P145=""),"",MAX(0,P145-N(Q145)))</f>
        <v/>
      </c>
      <c r="S145" s="23" t="str">
        <f aca="false">IF(OR(OR(A145="",B145="",C145=""),R145=""),"",IFERROR(R145/(IF(N(H145)&gt;0,H145,IF(N(I145)&gt;0,I145,IF(COUNTIFS($B$16:$B$215,B145,$H$16:$H$215,"&gt;0")+COUNTIFS($B$16:$B$215,B145,$I$16:$I$215,"&gt;0")&gt;0,"",INDEX($B$5:$B$7,MATCH(B145,$A$5:$A$7,0)))))),""))</f>
        <v/>
      </c>
      <c r="T145" s="24" t="str">
        <f aca="false">IF(OR(A145="",B145="",C145=""),"",IF(OR(S145="",COUNTIFS($B$16:$B$215,B145,$S$16:$S$215,"&gt;=0")&lt;2),"No Data Yet",IFERROR(IF(S145/AVERAGEIFS($S$16:$S$215,$B$16:$B$215,B145)&gt;=1.2,"Good",IF(S145/AVERAGEIFS($S$16:$S$215,$B$16:$B$215,B145)&gt;=0.8,"Average","Below Standard")),"Average")))</f>
        <v/>
      </c>
      <c r="U145" s="22" t="str">
        <f aca="false">IF(OR(A145="",B145="",C145=""),"",COUNTIFS('Who Engaged'!$C$5:$C$1004,C145,'Who Engaged'!$O$5:$O$1004,"Yes",'Who Engaged'!$M$5:$M$1004,1))</f>
        <v/>
      </c>
      <c r="V145" s="22" t="str">
        <f aca="false">IF(OR(A145="",B145="",C145=""),"",COUNTIFS('Who Engaged'!$C$5:$C$1004,C145,'Who Engaged'!$O$5:$O$1004,"Yes",'Who Engaged'!$L$5:$L$1004,1))</f>
        <v/>
      </c>
      <c r="W145" s="25" t="str">
        <f aca="false" t="array" ref="W145:W145">IF(OR(A145="",B145="",C145=""),"",_xlfn.TEXTJOIN("; ",TRUE(),IF(('Who Engaged'!$C$5:$C$1004=C145)*('Who Engaged'!$O$5:$O$1004="Yes"),'Who Engaged'!$D$5:$D$1004&amp;" – "&amp;'Who Engaged'!$F$5:$F$1004&amp;IF('Who Engaged'!$L$5:$L$1004=1," (followed)",""),"")))</f>
        <v/>
      </c>
      <c r="X145" s="26"/>
      <c r="Y145" s="26"/>
      <c r="Z145" s="27"/>
      <c r="AA145" s="24" t="str">
        <f aca="false">IF(OR(A145="",B145="",C145=""),"","https://www.alphanodus.com/contact?utm_source="&amp;IF(B145="X","twitter",LOWER(B145))&amp;"&amp;utm_medium=social&amp;utm_campaign="&amp;IF(E145="","general",LOWER(SUBSTITUTE(SUBSTITUTE(E145," / ","-")," ","-")))&amp;"&amp;utm_content="&amp;LOWER(C145))</f>
        <v/>
      </c>
    </row>
    <row r="146" customFormat="false" ht="15" hidden="false" customHeight="false" outlineLevel="0" collapsed="false">
      <c r="A146" s="28"/>
      <c r="B146" s="27"/>
      <c r="C146" s="27"/>
      <c r="D146" s="26"/>
      <c r="E146" s="27"/>
      <c r="F146" s="27"/>
      <c r="G146" s="27"/>
      <c r="H146" s="21"/>
      <c r="I146" s="21"/>
      <c r="J146" s="21"/>
      <c r="K146" s="21"/>
      <c r="L146" s="21"/>
      <c r="M146" s="21"/>
      <c r="N146" s="21"/>
      <c r="O146" s="21"/>
      <c r="P146" s="22" t="str">
        <f aca="false">IF(OR(A146="",B146="",C146=""),"",IF(COUNT(J146:N146)=0,"",SUM(J146:N146)))</f>
        <v/>
      </c>
      <c r="Q146" s="22" t="str">
        <f aca="false">IF(OR(A146="",B146="",C146=""),"",SUMIFS('Who Engaged'!$H$5:$H$1004,'Who Engaged'!$C$5:$C$1004,C146,'Who Engaged'!$N$5:$N$1004,"Yes")+SUMIFS('Who Engaged'!$I$5:$I$1004,'Who Engaged'!$C$5:$C$1004,C146,'Who Engaged'!$N$5:$N$1004,"Yes")+SUMIFS('Who Engaged'!$J$5:$J$1004,'Who Engaged'!$C$5:$C$1004,C146,'Who Engaged'!$N$5:$N$1004,"Yes")+SUMIFS('Who Engaged'!$K$5:$K$1004,'Who Engaged'!$C$5:$C$1004,C146,'Who Engaged'!$N$5:$N$1004,"Yes"))</f>
        <v/>
      </c>
      <c r="R146" s="22" t="str">
        <f aca="false">IF(OR(OR(A146="",B146="",C146=""),P146=""),"",MAX(0,P146-N(Q146)))</f>
        <v/>
      </c>
      <c r="S146" s="23" t="str">
        <f aca="false">IF(OR(OR(A146="",B146="",C146=""),R146=""),"",IFERROR(R146/(IF(N(H146)&gt;0,H146,IF(N(I146)&gt;0,I146,IF(COUNTIFS($B$16:$B$215,B146,$H$16:$H$215,"&gt;0")+COUNTIFS($B$16:$B$215,B146,$I$16:$I$215,"&gt;0")&gt;0,"",INDEX($B$5:$B$7,MATCH(B146,$A$5:$A$7,0)))))),""))</f>
        <v/>
      </c>
      <c r="T146" s="24" t="str">
        <f aca="false">IF(OR(A146="",B146="",C146=""),"",IF(OR(S146="",COUNTIFS($B$16:$B$215,B146,$S$16:$S$215,"&gt;=0")&lt;2),"No Data Yet",IFERROR(IF(S146/AVERAGEIFS($S$16:$S$215,$B$16:$B$215,B146)&gt;=1.2,"Good",IF(S146/AVERAGEIFS($S$16:$S$215,$B$16:$B$215,B146)&gt;=0.8,"Average","Below Standard")),"Average")))</f>
        <v/>
      </c>
      <c r="U146" s="22" t="str">
        <f aca="false">IF(OR(A146="",B146="",C146=""),"",COUNTIFS('Who Engaged'!$C$5:$C$1004,C146,'Who Engaged'!$O$5:$O$1004,"Yes",'Who Engaged'!$M$5:$M$1004,1))</f>
        <v/>
      </c>
      <c r="V146" s="22" t="str">
        <f aca="false">IF(OR(A146="",B146="",C146=""),"",COUNTIFS('Who Engaged'!$C$5:$C$1004,C146,'Who Engaged'!$O$5:$O$1004,"Yes",'Who Engaged'!$L$5:$L$1004,1))</f>
        <v/>
      </c>
      <c r="W146" s="25" t="str">
        <f aca="false" t="array" ref="W146:W146">IF(OR(A146="",B146="",C146=""),"",_xlfn.TEXTJOIN("; ",TRUE(),IF(('Who Engaged'!$C$5:$C$1004=C146)*('Who Engaged'!$O$5:$O$1004="Yes"),'Who Engaged'!$D$5:$D$1004&amp;" – "&amp;'Who Engaged'!$F$5:$F$1004&amp;IF('Who Engaged'!$L$5:$L$1004=1," (followed)",""),"")))</f>
        <v/>
      </c>
      <c r="X146" s="26"/>
      <c r="Y146" s="26"/>
      <c r="Z146" s="27"/>
      <c r="AA146" s="24" t="str">
        <f aca="false">IF(OR(A146="",B146="",C146=""),"","https://www.alphanodus.com/contact?utm_source="&amp;IF(B146="X","twitter",LOWER(B146))&amp;"&amp;utm_medium=social&amp;utm_campaign="&amp;IF(E146="","general",LOWER(SUBSTITUTE(SUBSTITUTE(E146," / ","-")," ","-")))&amp;"&amp;utm_content="&amp;LOWER(C146))</f>
        <v/>
      </c>
    </row>
    <row r="147" customFormat="false" ht="15" hidden="false" customHeight="false" outlineLevel="0" collapsed="false">
      <c r="A147" s="28"/>
      <c r="B147" s="27"/>
      <c r="C147" s="27"/>
      <c r="D147" s="26"/>
      <c r="E147" s="27"/>
      <c r="F147" s="27"/>
      <c r="G147" s="27"/>
      <c r="H147" s="21"/>
      <c r="I147" s="21"/>
      <c r="J147" s="21"/>
      <c r="K147" s="21"/>
      <c r="L147" s="21"/>
      <c r="M147" s="21"/>
      <c r="N147" s="21"/>
      <c r="O147" s="21"/>
      <c r="P147" s="22" t="str">
        <f aca="false">IF(OR(A147="",B147="",C147=""),"",IF(COUNT(J147:N147)=0,"",SUM(J147:N147)))</f>
        <v/>
      </c>
      <c r="Q147" s="22" t="str">
        <f aca="false">IF(OR(A147="",B147="",C147=""),"",SUMIFS('Who Engaged'!$H$5:$H$1004,'Who Engaged'!$C$5:$C$1004,C147,'Who Engaged'!$N$5:$N$1004,"Yes")+SUMIFS('Who Engaged'!$I$5:$I$1004,'Who Engaged'!$C$5:$C$1004,C147,'Who Engaged'!$N$5:$N$1004,"Yes")+SUMIFS('Who Engaged'!$J$5:$J$1004,'Who Engaged'!$C$5:$C$1004,C147,'Who Engaged'!$N$5:$N$1004,"Yes")+SUMIFS('Who Engaged'!$K$5:$K$1004,'Who Engaged'!$C$5:$C$1004,C147,'Who Engaged'!$N$5:$N$1004,"Yes"))</f>
        <v/>
      </c>
      <c r="R147" s="22" t="str">
        <f aca="false">IF(OR(OR(A147="",B147="",C147=""),P147=""),"",MAX(0,P147-N(Q147)))</f>
        <v/>
      </c>
      <c r="S147" s="23" t="str">
        <f aca="false">IF(OR(OR(A147="",B147="",C147=""),R147=""),"",IFERROR(R147/(IF(N(H147)&gt;0,H147,IF(N(I147)&gt;0,I147,IF(COUNTIFS($B$16:$B$215,B147,$H$16:$H$215,"&gt;0")+COUNTIFS($B$16:$B$215,B147,$I$16:$I$215,"&gt;0")&gt;0,"",INDEX($B$5:$B$7,MATCH(B147,$A$5:$A$7,0)))))),""))</f>
        <v/>
      </c>
      <c r="T147" s="24" t="str">
        <f aca="false">IF(OR(A147="",B147="",C147=""),"",IF(OR(S147="",COUNTIFS($B$16:$B$215,B147,$S$16:$S$215,"&gt;=0")&lt;2),"No Data Yet",IFERROR(IF(S147/AVERAGEIFS($S$16:$S$215,$B$16:$B$215,B147)&gt;=1.2,"Good",IF(S147/AVERAGEIFS($S$16:$S$215,$B$16:$B$215,B147)&gt;=0.8,"Average","Below Standard")),"Average")))</f>
        <v/>
      </c>
      <c r="U147" s="22" t="str">
        <f aca="false">IF(OR(A147="",B147="",C147=""),"",COUNTIFS('Who Engaged'!$C$5:$C$1004,C147,'Who Engaged'!$O$5:$O$1004,"Yes",'Who Engaged'!$M$5:$M$1004,1))</f>
        <v/>
      </c>
      <c r="V147" s="22" t="str">
        <f aca="false">IF(OR(A147="",B147="",C147=""),"",COUNTIFS('Who Engaged'!$C$5:$C$1004,C147,'Who Engaged'!$O$5:$O$1004,"Yes",'Who Engaged'!$L$5:$L$1004,1))</f>
        <v/>
      </c>
      <c r="W147" s="25" t="str">
        <f aca="false" t="array" ref="W147:W147">IF(OR(A147="",B147="",C147=""),"",_xlfn.TEXTJOIN("; ",TRUE(),IF(('Who Engaged'!$C$5:$C$1004=C147)*('Who Engaged'!$O$5:$O$1004="Yes"),'Who Engaged'!$D$5:$D$1004&amp;" – "&amp;'Who Engaged'!$F$5:$F$1004&amp;IF('Who Engaged'!$L$5:$L$1004=1," (followed)",""),"")))</f>
        <v/>
      </c>
      <c r="X147" s="26"/>
      <c r="Y147" s="26"/>
      <c r="Z147" s="27"/>
      <c r="AA147" s="24" t="str">
        <f aca="false">IF(OR(A147="",B147="",C147=""),"","https://www.alphanodus.com/contact?utm_source="&amp;IF(B147="X","twitter",LOWER(B147))&amp;"&amp;utm_medium=social&amp;utm_campaign="&amp;IF(E147="","general",LOWER(SUBSTITUTE(SUBSTITUTE(E147," / ","-")," ","-")))&amp;"&amp;utm_content="&amp;LOWER(C147))</f>
        <v/>
      </c>
    </row>
    <row r="148" customFormat="false" ht="15" hidden="false" customHeight="false" outlineLevel="0" collapsed="false">
      <c r="A148" s="28"/>
      <c r="B148" s="27"/>
      <c r="C148" s="27"/>
      <c r="D148" s="26"/>
      <c r="E148" s="27"/>
      <c r="F148" s="27"/>
      <c r="G148" s="27"/>
      <c r="H148" s="21"/>
      <c r="I148" s="21"/>
      <c r="J148" s="21"/>
      <c r="K148" s="21"/>
      <c r="L148" s="21"/>
      <c r="M148" s="21"/>
      <c r="N148" s="21"/>
      <c r="O148" s="21"/>
      <c r="P148" s="22" t="str">
        <f aca="false">IF(OR(A148="",B148="",C148=""),"",IF(COUNT(J148:N148)=0,"",SUM(J148:N148)))</f>
        <v/>
      </c>
      <c r="Q148" s="22" t="str">
        <f aca="false">IF(OR(A148="",B148="",C148=""),"",SUMIFS('Who Engaged'!$H$5:$H$1004,'Who Engaged'!$C$5:$C$1004,C148,'Who Engaged'!$N$5:$N$1004,"Yes")+SUMIFS('Who Engaged'!$I$5:$I$1004,'Who Engaged'!$C$5:$C$1004,C148,'Who Engaged'!$N$5:$N$1004,"Yes")+SUMIFS('Who Engaged'!$J$5:$J$1004,'Who Engaged'!$C$5:$C$1004,C148,'Who Engaged'!$N$5:$N$1004,"Yes")+SUMIFS('Who Engaged'!$K$5:$K$1004,'Who Engaged'!$C$5:$C$1004,C148,'Who Engaged'!$N$5:$N$1004,"Yes"))</f>
        <v/>
      </c>
      <c r="R148" s="22" t="str">
        <f aca="false">IF(OR(OR(A148="",B148="",C148=""),P148=""),"",MAX(0,P148-N(Q148)))</f>
        <v/>
      </c>
      <c r="S148" s="23" t="str">
        <f aca="false">IF(OR(OR(A148="",B148="",C148=""),R148=""),"",IFERROR(R148/(IF(N(H148)&gt;0,H148,IF(N(I148)&gt;0,I148,IF(COUNTIFS($B$16:$B$215,B148,$H$16:$H$215,"&gt;0")+COUNTIFS($B$16:$B$215,B148,$I$16:$I$215,"&gt;0")&gt;0,"",INDEX($B$5:$B$7,MATCH(B148,$A$5:$A$7,0)))))),""))</f>
        <v/>
      </c>
      <c r="T148" s="24" t="str">
        <f aca="false">IF(OR(A148="",B148="",C148=""),"",IF(OR(S148="",COUNTIFS($B$16:$B$215,B148,$S$16:$S$215,"&gt;=0")&lt;2),"No Data Yet",IFERROR(IF(S148/AVERAGEIFS($S$16:$S$215,$B$16:$B$215,B148)&gt;=1.2,"Good",IF(S148/AVERAGEIFS($S$16:$S$215,$B$16:$B$215,B148)&gt;=0.8,"Average","Below Standard")),"Average")))</f>
        <v/>
      </c>
      <c r="U148" s="22" t="str">
        <f aca="false">IF(OR(A148="",B148="",C148=""),"",COUNTIFS('Who Engaged'!$C$5:$C$1004,C148,'Who Engaged'!$O$5:$O$1004,"Yes",'Who Engaged'!$M$5:$M$1004,1))</f>
        <v/>
      </c>
      <c r="V148" s="22" t="str">
        <f aca="false">IF(OR(A148="",B148="",C148=""),"",COUNTIFS('Who Engaged'!$C$5:$C$1004,C148,'Who Engaged'!$O$5:$O$1004,"Yes",'Who Engaged'!$L$5:$L$1004,1))</f>
        <v/>
      </c>
      <c r="W148" s="25" t="str">
        <f aca="false" t="array" ref="W148:W148">IF(OR(A148="",B148="",C148=""),"",_xlfn.TEXTJOIN("; ",TRUE(),IF(('Who Engaged'!$C$5:$C$1004=C148)*('Who Engaged'!$O$5:$O$1004="Yes"),'Who Engaged'!$D$5:$D$1004&amp;" – "&amp;'Who Engaged'!$F$5:$F$1004&amp;IF('Who Engaged'!$L$5:$L$1004=1," (followed)",""),"")))</f>
        <v/>
      </c>
      <c r="X148" s="26"/>
      <c r="Y148" s="26"/>
      <c r="Z148" s="27"/>
      <c r="AA148" s="24" t="str">
        <f aca="false">IF(OR(A148="",B148="",C148=""),"","https://www.alphanodus.com/contact?utm_source="&amp;IF(B148="X","twitter",LOWER(B148))&amp;"&amp;utm_medium=social&amp;utm_campaign="&amp;IF(E148="","general",LOWER(SUBSTITUTE(SUBSTITUTE(E148," / ","-")," ","-")))&amp;"&amp;utm_content="&amp;LOWER(C148))</f>
        <v/>
      </c>
    </row>
    <row r="149" customFormat="false" ht="15" hidden="false" customHeight="false" outlineLevel="0" collapsed="false">
      <c r="A149" s="28"/>
      <c r="B149" s="27"/>
      <c r="C149" s="27"/>
      <c r="D149" s="26"/>
      <c r="E149" s="27"/>
      <c r="F149" s="27"/>
      <c r="G149" s="27"/>
      <c r="H149" s="21"/>
      <c r="I149" s="21"/>
      <c r="J149" s="21"/>
      <c r="K149" s="21"/>
      <c r="L149" s="21"/>
      <c r="M149" s="21"/>
      <c r="N149" s="21"/>
      <c r="O149" s="21"/>
      <c r="P149" s="22" t="str">
        <f aca="false">IF(OR(A149="",B149="",C149=""),"",IF(COUNT(J149:N149)=0,"",SUM(J149:N149)))</f>
        <v/>
      </c>
      <c r="Q149" s="22" t="str">
        <f aca="false">IF(OR(A149="",B149="",C149=""),"",SUMIFS('Who Engaged'!$H$5:$H$1004,'Who Engaged'!$C$5:$C$1004,C149,'Who Engaged'!$N$5:$N$1004,"Yes")+SUMIFS('Who Engaged'!$I$5:$I$1004,'Who Engaged'!$C$5:$C$1004,C149,'Who Engaged'!$N$5:$N$1004,"Yes")+SUMIFS('Who Engaged'!$J$5:$J$1004,'Who Engaged'!$C$5:$C$1004,C149,'Who Engaged'!$N$5:$N$1004,"Yes")+SUMIFS('Who Engaged'!$K$5:$K$1004,'Who Engaged'!$C$5:$C$1004,C149,'Who Engaged'!$N$5:$N$1004,"Yes"))</f>
        <v/>
      </c>
      <c r="R149" s="22" t="str">
        <f aca="false">IF(OR(OR(A149="",B149="",C149=""),P149=""),"",MAX(0,P149-N(Q149)))</f>
        <v/>
      </c>
      <c r="S149" s="23" t="str">
        <f aca="false">IF(OR(OR(A149="",B149="",C149=""),R149=""),"",IFERROR(R149/(IF(N(H149)&gt;0,H149,IF(N(I149)&gt;0,I149,IF(COUNTIFS($B$16:$B$215,B149,$H$16:$H$215,"&gt;0")+COUNTIFS($B$16:$B$215,B149,$I$16:$I$215,"&gt;0")&gt;0,"",INDEX($B$5:$B$7,MATCH(B149,$A$5:$A$7,0)))))),""))</f>
        <v/>
      </c>
      <c r="T149" s="24" t="str">
        <f aca="false">IF(OR(A149="",B149="",C149=""),"",IF(OR(S149="",COUNTIFS($B$16:$B$215,B149,$S$16:$S$215,"&gt;=0")&lt;2),"No Data Yet",IFERROR(IF(S149/AVERAGEIFS($S$16:$S$215,$B$16:$B$215,B149)&gt;=1.2,"Good",IF(S149/AVERAGEIFS($S$16:$S$215,$B$16:$B$215,B149)&gt;=0.8,"Average","Below Standard")),"Average")))</f>
        <v/>
      </c>
      <c r="U149" s="22" t="str">
        <f aca="false">IF(OR(A149="",B149="",C149=""),"",COUNTIFS('Who Engaged'!$C$5:$C$1004,C149,'Who Engaged'!$O$5:$O$1004,"Yes",'Who Engaged'!$M$5:$M$1004,1))</f>
        <v/>
      </c>
      <c r="V149" s="22" t="str">
        <f aca="false">IF(OR(A149="",B149="",C149=""),"",COUNTIFS('Who Engaged'!$C$5:$C$1004,C149,'Who Engaged'!$O$5:$O$1004,"Yes",'Who Engaged'!$L$5:$L$1004,1))</f>
        <v/>
      </c>
      <c r="W149" s="25" t="str">
        <f aca="false" t="array" ref="W149:W149">IF(OR(A149="",B149="",C149=""),"",_xlfn.TEXTJOIN("; ",TRUE(),IF(('Who Engaged'!$C$5:$C$1004=C149)*('Who Engaged'!$O$5:$O$1004="Yes"),'Who Engaged'!$D$5:$D$1004&amp;" – "&amp;'Who Engaged'!$F$5:$F$1004&amp;IF('Who Engaged'!$L$5:$L$1004=1," (followed)",""),"")))</f>
        <v/>
      </c>
      <c r="X149" s="26"/>
      <c r="Y149" s="26"/>
      <c r="Z149" s="27"/>
      <c r="AA149" s="24" t="str">
        <f aca="false">IF(OR(A149="",B149="",C149=""),"","https://www.alphanodus.com/contact?utm_source="&amp;IF(B149="X","twitter",LOWER(B149))&amp;"&amp;utm_medium=social&amp;utm_campaign="&amp;IF(E149="","general",LOWER(SUBSTITUTE(SUBSTITUTE(E149," / ","-")," ","-")))&amp;"&amp;utm_content="&amp;LOWER(C149))</f>
        <v/>
      </c>
    </row>
    <row r="150" customFormat="false" ht="15" hidden="false" customHeight="false" outlineLevel="0" collapsed="false">
      <c r="A150" s="28"/>
      <c r="B150" s="27"/>
      <c r="C150" s="27"/>
      <c r="D150" s="26"/>
      <c r="E150" s="27"/>
      <c r="F150" s="27"/>
      <c r="G150" s="27"/>
      <c r="H150" s="21"/>
      <c r="I150" s="21"/>
      <c r="J150" s="21"/>
      <c r="K150" s="21"/>
      <c r="L150" s="21"/>
      <c r="M150" s="21"/>
      <c r="N150" s="21"/>
      <c r="O150" s="21"/>
      <c r="P150" s="22" t="str">
        <f aca="false">IF(OR(A150="",B150="",C150=""),"",IF(COUNT(J150:N150)=0,"",SUM(J150:N150)))</f>
        <v/>
      </c>
      <c r="Q150" s="22" t="str">
        <f aca="false">IF(OR(A150="",B150="",C150=""),"",SUMIFS('Who Engaged'!$H$5:$H$1004,'Who Engaged'!$C$5:$C$1004,C150,'Who Engaged'!$N$5:$N$1004,"Yes")+SUMIFS('Who Engaged'!$I$5:$I$1004,'Who Engaged'!$C$5:$C$1004,C150,'Who Engaged'!$N$5:$N$1004,"Yes")+SUMIFS('Who Engaged'!$J$5:$J$1004,'Who Engaged'!$C$5:$C$1004,C150,'Who Engaged'!$N$5:$N$1004,"Yes")+SUMIFS('Who Engaged'!$K$5:$K$1004,'Who Engaged'!$C$5:$C$1004,C150,'Who Engaged'!$N$5:$N$1004,"Yes"))</f>
        <v/>
      </c>
      <c r="R150" s="22" t="str">
        <f aca="false">IF(OR(OR(A150="",B150="",C150=""),P150=""),"",MAX(0,P150-N(Q150)))</f>
        <v/>
      </c>
      <c r="S150" s="23" t="str">
        <f aca="false">IF(OR(OR(A150="",B150="",C150=""),R150=""),"",IFERROR(R150/(IF(N(H150)&gt;0,H150,IF(N(I150)&gt;0,I150,IF(COUNTIFS($B$16:$B$215,B150,$H$16:$H$215,"&gt;0")+COUNTIFS($B$16:$B$215,B150,$I$16:$I$215,"&gt;0")&gt;0,"",INDEX($B$5:$B$7,MATCH(B150,$A$5:$A$7,0)))))),""))</f>
        <v/>
      </c>
      <c r="T150" s="24" t="str">
        <f aca="false">IF(OR(A150="",B150="",C150=""),"",IF(OR(S150="",COUNTIFS($B$16:$B$215,B150,$S$16:$S$215,"&gt;=0")&lt;2),"No Data Yet",IFERROR(IF(S150/AVERAGEIFS($S$16:$S$215,$B$16:$B$215,B150)&gt;=1.2,"Good",IF(S150/AVERAGEIFS($S$16:$S$215,$B$16:$B$215,B150)&gt;=0.8,"Average","Below Standard")),"Average")))</f>
        <v/>
      </c>
      <c r="U150" s="22" t="str">
        <f aca="false">IF(OR(A150="",B150="",C150=""),"",COUNTIFS('Who Engaged'!$C$5:$C$1004,C150,'Who Engaged'!$O$5:$O$1004,"Yes",'Who Engaged'!$M$5:$M$1004,1))</f>
        <v/>
      </c>
      <c r="V150" s="22" t="str">
        <f aca="false">IF(OR(A150="",B150="",C150=""),"",COUNTIFS('Who Engaged'!$C$5:$C$1004,C150,'Who Engaged'!$O$5:$O$1004,"Yes",'Who Engaged'!$L$5:$L$1004,1))</f>
        <v/>
      </c>
      <c r="W150" s="25" t="str">
        <f aca="false" t="array" ref="W150:W150">IF(OR(A150="",B150="",C150=""),"",_xlfn.TEXTJOIN("; ",TRUE(),IF(('Who Engaged'!$C$5:$C$1004=C150)*('Who Engaged'!$O$5:$O$1004="Yes"),'Who Engaged'!$D$5:$D$1004&amp;" – "&amp;'Who Engaged'!$F$5:$F$1004&amp;IF('Who Engaged'!$L$5:$L$1004=1," (followed)",""),"")))</f>
        <v/>
      </c>
      <c r="X150" s="26"/>
      <c r="Y150" s="26"/>
      <c r="Z150" s="27"/>
      <c r="AA150" s="24" t="str">
        <f aca="false">IF(OR(A150="",B150="",C150=""),"","https://www.alphanodus.com/contact?utm_source="&amp;IF(B150="X","twitter",LOWER(B150))&amp;"&amp;utm_medium=social&amp;utm_campaign="&amp;IF(E150="","general",LOWER(SUBSTITUTE(SUBSTITUTE(E150," / ","-")," ","-")))&amp;"&amp;utm_content="&amp;LOWER(C150))</f>
        <v/>
      </c>
    </row>
    <row r="151" customFormat="false" ht="15" hidden="false" customHeight="false" outlineLevel="0" collapsed="false">
      <c r="A151" s="28"/>
      <c r="B151" s="27"/>
      <c r="C151" s="27"/>
      <c r="D151" s="26"/>
      <c r="E151" s="27"/>
      <c r="F151" s="27"/>
      <c r="G151" s="27"/>
      <c r="H151" s="21"/>
      <c r="I151" s="21"/>
      <c r="J151" s="21"/>
      <c r="K151" s="21"/>
      <c r="L151" s="21"/>
      <c r="M151" s="21"/>
      <c r="N151" s="21"/>
      <c r="O151" s="21"/>
      <c r="P151" s="22" t="str">
        <f aca="false">IF(OR(A151="",B151="",C151=""),"",IF(COUNT(J151:N151)=0,"",SUM(J151:N151)))</f>
        <v/>
      </c>
      <c r="Q151" s="22" t="str">
        <f aca="false">IF(OR(A151="",B151="",C151=""),"",SUMIFS('Who Engaged'!$H$5:$H$1004,'Who Engaged'!$C$5:$C$1004,C151,'Who Engaged'!$N$5:$N$1004,"Yes")+SUMIFS('Who Engaged'!$I$5:$I$1004,'Who Engaged'!$C$5:$C$1004,C151,'Who Engaged'!$N$5:$N$1004,"Yes")+SUMIFS('Who Engaged'!$J$5:$J$1004,'Who Engaged'!$C$5:$C$1004,C151,'Who Engaged'!$N$5:$N$1004,"Yes")+SUMIFS('Who Engaged'!$K$5:$K$1004,'Who Engaged'!$C$5:$C$1004,C151,'Who Engaged'!$N$5:$N$1004,"Yes"))</f>
        <v/>
      </c>
      <c r="R151" s="22" t="str">
        <f aca="false">IF(OR(OR(A151="",B151="",C151=""),P151=""),"",MAX(0,P151-N(Q151)))</f>
        <v/>
      </c>
      <c r="S151" s="23" t="str">
        <f aca="false">IF(OR(OR(A151="",B151="",C151=""),R151=""),"",IFERROR(R151/(IF(N(H151)&gt;0,H151,IF(N(I151)&gt;0,I151,IF(COUNTIFS($B$16:$B$215,B151,$H$16:$H$215,"&gt;0")+COUNTIFS($B$16:$B$215,B151,$I$16:$I$215,"&gt;0")&gt;0,"",INDEX($B$5:$B$7,MATCH(B151,$A$5:$A$7,0)))))),""))</f>
        <v/>
      </c>
      <c r="T151" s="24" t="str">
        <f aca="false">IF(OR(A151="",B151="",C151=""),"",IF(OR(S151="",COUNTIFS($B$16:$B$215,B151,$S$16:$S$215,"&gt;=0")&lt;2),"No Data Yet",IFERROR(IF(S151/AVERAGEIFS($S$16:$S$215,$B$16:$B$215,B151)&gt;=1.2,"Good",IF(S151/AVERAGEIFS($S$16:$S$215,$B$16:$B$215,B151)&gt;=0.8,"Average","Below Standard")),"Average")))</f>
        <v/>
      </c>
      <c r="U151" s="22" t="str">
        <f aca="false">IF(OR(A151="",B151="",C151=""),"",COUNTIFS('Who Engaged'!$C$5:$C$1004,C151,'Who Engaged'!$O$5:$O$1004,"Yes",'Who Engaged'!$M$5:$M$1004,1))</f>
        <v/>
      </c>
      <c r="V151" s="22" t="str">
        <f aca="false">IF(OR(A151="",B151="",C151=""),"",COUNTIFS('Who Engaged'!$C$5:$C$1004,C151,'Who Engaged'!$O$5:$O$1004,"Yes",'Who Engaged'!$L$5:$L$1004,1))</f>
        <v/>
      </c>
      <c r="W151" s="25" t="str">
        <f aca="false" t="array" ref="W151:W151">IF(OR(A151="",B151="",C151=""),"",_xlfn.TEXTJOIN("; ",TRUE(),IF(('Who Engaged'!$C$5:$C$1004=C151)*('Who Engaged'!$O$5:$O$1004="Yes"),'Who Engaged'!$D$5:$D$1004&amp;" – "&amp;'Who Engaged'!$F$5:$F$1004&amp;IF('Who Engaged'!$L$5:$L$1004=1," (followed)",""),"")))</f>
        <v/>
      </c>
      <c r="X151" s="26"/>
      <c r="Y151" s="26"/>
      <c r="Z151" s="27"/>
      <c r="AA151" s="24" t="str">
        <f aca="false">IF(OR(A151="",B151="",C151=""),"","https://www.alphanodus.com/contact?utm_source="&amp;IF(B151="X","twitter",LOWER(B151))&amp;"&amp;utm_medium=social&amp;utm_campaign="&amp;IF(E151="","general",LOWER(SUBSTITUTE(SUBSTITUTE(E151," / ","-")," ","-")))&amp;"&amp;utm_content="&amp;LOWER(C151))</f>
        <v/>
      </c>
    </row>
    <row r="152" customFormat="false" ht="15" hidden="false" customHeight="false" outlineLevel="0" collapsed="false">
      <c r="A152" s="28"/>
      <c r="B152" s="27"/>
      <c r="C152" s="27"/>
      <c r="D152" s="26"/>
      <c r="E152" s="27"/>
      <c r="F152" s="27"/>
      <c r="G152" s="27"/>
      <c r="H152" s="21"/>
      <c r="I152" s="21"/>
      <c r="J152" s="21"/>
      <c r="K152" s="21"/>
      <c r="L152" s="21"/>
      <c r="M152" s="21"/>
      <c r="N152" s="21"/>
      <c r="O152" s="21"/>
      <c r="P152" s="22" t="str">
        <f aca="false">IF(OR(A152="",B152="",C152=""),"",IF(COUNT(J152:N152)=0,"",SUM(J152:N152)))</f>
        <v/>
      </c>
      <c r="Q152" s="22" t="str">
        <f aca="false">IF(OR(A152="",B152="",C152=""),"",SUMIFS('Who Engaged'!$H$5:$H$1004,'Who Engaged'!$C$5:$C$1004,C152,'Who Engaged'!$N$5:$N$1004,"Yes")+SUMIFS('Who Engaged'!$I$5:$I$1004,'Who Engaged'!$C$5:$C$1004,C152,'Who Engaged'!$N$5:$N$1004,"Yes")+SUMIFS('Who Engaged'!$J$5:$J$1004,'Who Engaged'!$C$5:$C$1004,C152,'Who Engaged'!$N$5:$N$1004,"Yes")+SUMIFS('Who Engaged'!$K$5:$K$1004,'Who Engaged'!$C$5:$C$1004,C152,'Who Engaged'!$N$5:$N$1004,"Yes"))</f>
        <v/>
      </c>
      <c r="R152" s="22" t="str">
        <f aca="false">IF(OR(OR(A152="",B152="",C152=""),P152=""),"",MAX(0,P152-N(Q152)))</f>
        <v/>
      </c>
      <c r="S152" s="23" t="str">
        <f aca="false">IF(OR(OR(A152="",B152="",C152=""),R152=""),"",IFERROR(R152/(IF(N(H152)&gt;0,H152,IF(N(I152)&gt;0,I152,IF(COUNTIFS($B$16:$B$215,B152,$H$16:$H$215,"&gt;0")+COUNTIFS($B$16:$B$215,B152,$I$16:$I$215,"&gt;0")&gt;0,"",INDEX($B$5:$B$7,MATCH(B152,$A$5:$A$7,0)))))),""))</f>
        <v/>
      </c>
      <c r="T152" s="24" t="str">
        <f aca="false">IF(OR(A152="",B152="",C152=""),"",IF(OR(S152="",COUNTIFS($B$16:$B$215,B152,$S$16:$S$215,"&gt;=0")&lt;2),"No Data Yet",IFERROR(IF(S152/AVERAGEIFS($S$16:$S$215,$B$16:$B$215,B152)&gt;=1.2,"Good",IF(S152/AVERAGEIFS($S$16:$S$215,$B$16:$B$215,B152)&gt;=0.8,"Average","Below Standard")),"Average")))</f>
        <v/>
      </c>
      <c r="U152" s="22" t="str">
        <f aca="false">IF(OR(A152="",B152="",C152=""),"",COUNTIFS('Who Engaged'!$C$5:$C$1004,C152,'Who Engaged'!$O$5:$O$1004,"Yes",'Who Engaged'!$M$5:$M$1004,1))</f>
        <v/>
      </c>
      <c r="V152" s="22" t="str">
        <f aca="false">IF(OR(A152="",B152="",C152=""),"",COUNTIFS('Who Engaged'!$C$5:$C$1004,C152,'Who Engaged'!$O$5:$O$1004,"Yes",'Who Engaged'!$L$5:$L$1004,1))</f>
        <v/>
      </c>
      <c r="W152" s="25" t="str">
        <f aca="false" t="array" ref="W152:W152">IF(OR(A152="",B152="",C152=""),"",_xlfn.TEXTJOIN("; ",TRUE(),IF(('Who Engaged'!$C$5:$C$1004=C152)*('Who Engaged'!$O$5:$O$1004="Yes"),'Who Engaged'!$D$5:$D$1004&amp;" – "&amp;'Who Engaged'!$F$5:$F$1004&amp;IF('Who Engaged'!$L$5:$L$1004=1," (followed)",""),"")))</f>
        <v/>
      </c>
      <c r="X152" s="26"/>
      <c r="Y152" s="26"/>
      <c r="Z152" s="27"/>
      <c r="AA152" s="24" t="str">
        <f aca="false">IF(OR(A152="",B152="",C152=""),"","https://www.alphanodus.com/contact?utm_source="&amp;IF(B152="X","twitter",LOWER(B152))&amp;"&amp;utm_medium=social&amp;utm_campaign="&amp;IF(E152="","general",LOWER(SUBSTITUTE(SUBSTITUTE(E152," / ","-")," ","-")))&amp;"&amp;utm_content="&amp;LOWER(C152))</f>
        <v/>
      </c>
    </row>
    <row r="153" customFormat="false" ht="15" hidden="false" customHeight="false" outlineLevel="0" collapsed="false">
      <c r="A153" s="28"/>
      <c r="B153" s="27"/>
      <c r="C153" s="27"/>
      <c r="D153" s="26"/>
      <c r="E153" s="27"/>
      <c r="F153" s="27"/>
      <c r="G153" s="27"/>
      <c r="H153" s="21"/>
      <c r="I153" s="21"/>
      <c r="J153" s="21"/>
      <c r="K153" s="21"/>
      <c r="L153" s="21"/>
      <c r="M153" s="21"/>
      <c r="N153" s="21"/>
      <c r="O153" s="21"/>
      <c r="P153" s="22" t="str">
        <f aca="false">IF(OR(A153="",B153="",C153=""),"",IF(COUNT(J153:N153)=0,"",SUM(J153:N153)))</f>
        <v/>
      </c>
      <c r="Q153" s="22" t="str">
        <f aca="false">IF(OR(A153="",B153="",C153=""),"",SUMIFS('Who Engaged'!$H$5:$H$1004,'Who Engaged'!$C$5:$C$1004,C153,'Who Engaged'!$N$5:$N$1004,"Yes")+SUMIFS('Who Engaged'!$I$5:$I$1004,'Who Engaged'!$C$5:$C$1004,C153,'Who Engaged'!$N$5:$N$1004,"Yes")+SUMIFS('Who Engaged'!$J$5:$J$1004,'Who Engaged'!$C$5:$C$1004,C153,'Who Engaged'!$N$5:$N$1004,"Yes")+SUMIFS('Who Engaged'!$K$5:$K$1004,'Who Engaged'!$C$5:$C$1004,C153,'Who Engaged'!$N$5:$N$1004,"Yes"))</f>
        <v/>
      </c>
      <c r="R153" s="22" t="str">
        <f aca="false">IF(OR(OR(A153="",B153="",C153=""),P153=""),"",MAX(0,P153-N(Q153)))</f>
        <v/>
      </c>
      <c r="S153" s="23" t="str">
        <f aca="false">IF(OR(OR(A153="",B153="",C153=""),R153=""),"",IFERROR(R153/(IF(N(H153)&gt;0,H153,IF(N(I153)&gt;0,I153,IF(COUNTIFS($B$16:$B$215,B153,$H$16:$H$215,"&gt;0")+COUNTIFS($B$16:$B$215,B153,$I$16:$I$215,"&gt;0")&gt;0,"",INDEX($B$5:$B$7,MATCH(B153,$A$5:$A$7,0)))))),""))</f>
        <v/>
      </c>
      <c r="T153" s="24" t="str">
        <f aca="false">IF(OR(A153="",B153="",C153=""),"",IF(OR(S153="",COUNTIFS($B$16:$B$215,B153,$S$16:$S$215,"&gt;=0")&lt;2),"No Data Yet",IFERROR(IF(S153/AVERAGEIFS($S$16:$S$215,$B$16:$B$215,B153)&gt;=1.2,"Good",IF(S153/AVERAGEIFS($S$16:$S$215,$B$16:$B$215,B153)&gt;=0.8,"Average","Below Standard")),"Average")))</f>
        <v/>
      </c>
      <c r="U153" s="22" t="str">
        <f aca="false">IF(OR(A153="",B153="",C153=""),"",COUNTIFS('Who Engaged'!$C$5:$C$1004,C153,'Who Engaged'!$O$5:$O$1004,"Yes",'Who Engaged'!$M$5:$M$1004,1))</f>
        <v/>
      </c>
      <c r="V153" s="22" t="str">
        <f aca="false">IF(OR(A153="",B153="",C153=""),"",COUNTIFS('Who Engaged'!$C$5:$C$1004,C153,'Who Engaged'!$O$5:$O$1004,"Yes",'Who Engaged'!$L$5:$L$1004,1))</f>
        <v/>
      </c>
      <c r="W153" s="25" t="str">
        <f aca="false" t="array" ref="W153:W153">IF(OR(A153="",B153="",C153=""),"",_xlfn.TEXTJOIN("; ",TRUE(),IF(('Who Engaged'!$C$5:$C$1004=C153)*('Who Engaged'!$O$5:$O$1004="Yes"),'Who Engaged'!$D$5:$D$1004&amp;" – "&amp;'Who Engaged'!$F$5:$F$1004&amp;IF('Who Engaged'!$L$5:$L$1004=1," (followed)",""),"")))</f>
        <v/>
      </c>
      <c r="X153" s="26"/>
      <c r="Y153" s="26"/>
      <c r="Z153" s="27"/>
      <c r="AA153" s="24" t="str">
        <f aca="false">IF(OR(A153="",B153="",C153=""),"","https://www.alphanodus.com/contact?utm_source="&amp;IF(B153="X","twitter",LOWER(B153))&amp;"&amp;utm_medium=social&amp;utm_campaign="&amp;IF(E153="","general",LOWER(SUBSTITUTE(SUBSTITUTE(E153," / ","-")," ","-")))&amp;"&amp;utm_content="&amp;LOWER(C153))</f>
        <v/>
      </c>
    </row>
    <row r="154" customFormat="false" ht="15" hidden="false" customHeight="false" outlineLevel="0" collapsed="false">
      <c r="A154" s="28"/>
      <c r="B154" s="27"/>
      <c r="C154" s="27"/>
      <c r="D154" s="26"/>
      <c r="E154" s="27"/>
      <c r="F154" s="27"/>
      <c r="G154" s="27"/>
      <c r="H154" s="21"/>
      <c r="I154" s="21"/>
      <c r="J154" s="21"/>
      <c r="K154" s="21"/>
      <c r="L154" s="21"/>
      <c r="M154" s="21"/>
      <c r="N154" s="21"/>
      <c r="O154" s="21"/>
      <c r="P154" s="22" t="str">
        <f aca="false">IF(OR(A154="",B154="",C154=""),"",IF(COUNT(J154:N154)=0,"",SUM(J154:N154)))</f>
        <v/>
      </c>
      <c r="Q154" s="22" t="str">
        <f aca="false">IF(OR(A154="",B154="",C154=""),"",SUMIFS('Who Engaged'!$H$5:$H$1004,'Who Engaged'!$C$5:$C$1004,C154,'Who Engaged'!$N$5:$N$1004,"Yes")+SUMIFS('Who Engaged'!$I$5:$I$1004,'Who Engaged'!$C$5:$C$1004,C154,'Who Engaged'!$N$5:$N$1004,"Yes")+SUMIFS('Who Engaged'!$J$5:$J$1004,'Who Engaged'!$C$5:$C$1004,C154,'Who Engaged'!$N$5:$N$1004,"Yes")+SUMIFS('Who Engaged'!$K$5:$K$1004,'Who Engaged'!$C$5:$C$1004,C154,'Who Engaged'!$N$5:$N$1004,"Yes"))</f>
        <v/>
      </c>
      <c r="R154" s="22" t="str">
        <f aca="false">IF(OR(OR(A154="",B154="",C154=""),P154=""),"",MAX(0,P154-N(Q154)))</f>
        <v/>
      </c>
      <c r="S154" s="23" t="str">
        <f aca="false">IF(OR(OR(A154="",B154="",C154=""),R154=""),"",IFERROR(R154/(IF(N(H154)&gt;0,H154,IF(N(I154)&gt;0,I154,IF(COUNTIFS($B$16:$B$215,B154,$H$16:$H$215,"&gt;0")+COUNTIFS($B$16:$B$215,B154,$I$16:$I$215,"&gt;0")&gt;0,"",INDEX($B$5:$B$7,MATCH(B154,$A$5:$A$7,0)))))),""))</f>
        <v/>
      </c>
      <c r="T154" s="24" t="str">
        <f aca="false">IF(OR(A154="",B154="",C154=""),"",IF(OR(S154="",COUNTIFS($B$16:$B$215,B154,$S$16:$S$215,"&gt;=0")&lt;2),"No Data Yet",IFERROR(IF(S154/AVERAGEIFS($S$16:$S$215,$B$16:$B$215,B154)&gt;=1.2,"Good",IF(S154/AVERAGEIFS($S$16:$S$215,$B$16:$B$215,B154)&gt;=0.8,"Average","Below Standard")),"Average")))</f>
        <v/>
      </c>
      <c r="U154" s="22" t="str">
        <f aca="false">IF(OR(A154="",B154="",C154=""),"",COUNTIFS('Who Engaged'!$C$5:$C$1004,C154,'Who Engaged'!$O$5:$O$1004,"Yes",'Who Engaged'!$M$5:$M$1004,1))</f>
        <v/>
      </c>
      <c r="V154" s="22" t="str">
        <f aca="false">IF(OR(A154="",B154="",C154=""),"",COUNTIFS('Who Engaged'!$C$5:$C$1004,C154,'Who Engaged'!$O$5:$O$1004,"Yes",'Who Engaged'!$L$5:$L$1004,1))</f>
        <v/>
      </c>
      <c r="W154" s="25" t="str">
        <f aca="false" t="array" ref="W154:W154">IF(OR(A154="",B154="",C154=""),"",_xlfn.TEXTJOIN("; ",TRUE(),IF(('Who Engaged'!$C$5:$C$1004=C154)*('Who Engaged'!$O$5:$O$1004="Yes"),'Who Engaged'!$D$5:$D$1004&amp;" – "&amp;'Who Engaged'!$F$5:$F$1004&amp;IF('Who Engaged'!$L$5:$L$1004=1," (followed)",""),"")))</f>
        <v/>
      </c>
      <c r="X154" s="26"/>
      <c r="Y154" s="26"/>
      <c r="Z154" s="27"/>
      <c r="AA154" s="24" t="str">
        <f aca="false">IF(OR(A154="",B154="",C154=""),"","https://www.alphanodus.com/contact?utm_source="&amp;IF(B154="X","twitter",LOWER(B154))&amp;"&amp;utm_medium=social&amp;utm_campaign="&amp;IF(E154="","general",LOWER(SUBSTITUTE(SUBSTITUTE(E154," / ","-")," ","-")))&amp;"&amp;utm_content="&amp;LOWER(C154))</f>
        <v/>
      </c>
    </row>
    <row r="155" customFormat="false" ht="15" hidden="false" customHeight="false" outlineLevel="0" collapsed="false">
      <c r="A155" s="28"/>
      <c r="B155" s="27"/>
      <c r="C155" s="27"/>
      <c r="D155" s="26"/>
      <c r="E155" s="27"/>
      <c r="F155" s="27"/>
      <c r="G155" s="27"/>
      <c r="H155" s="21"/>
      <c r="I155" s="21"/>
      <c r="J155" s="21"/>
      <c r="K155" s="21"/>
      <c r="L155" s="21"/>
      <c r="M155" s="21"/>
      <c r="N155" s="21"/>
      <c r="O155" s="21"/>
      <c r="P155" s="22" t="str">
        <f aca="false">IF(OR(A155="",B155="",C155=""),"",IF(COUNT(J155:N155)=0,"",SUM(J155:N155)))</f>
        <v/>
      </c>
      <c r="Q155" s="22" t="str">
        <f aca="false">IF(OR(A155="",B155="",C155=""),"",SUMIFS('Who Engaged'!$H$5:$H$1004,'Who Engaged'!$C$5:$C$1004,C155,'Who Engaged'!$N$5:$N$1004,"Yes")+SUMIFS('Who Engaged'!$I$5:$I$1004,'Who Engaged'!$C$5:$C$1004,C155,'Who Engaged'!$N$5:$N$1004,"Yes")+SUMIFS('Who Engaged'!$J$5:$J$1004,'Who Engaged'!$C$5:$C$1004,C155,'Who Engaged'!$N$5:$N$1004,"Yes")+SUMIFS('Who Engaged'!$K$5:$K$1004,'Who Engaged'!$C$5:$C$1004,C155,'Who Engaged'!$N$5:$N$1004,"Yes"))</f>
        <v/>
      </c>
      <c r="R155" s="22" t="str">
        <f aca="false">IF(OR(OR(A155="",B155="",C155=""),P155=""),"",MAX(0,P155-N(Q155)))</f>
        <v/>
      </c>
      <c r="S155" s="23" t="str">
        <f aca="false">IF(OR(OR(A155="",B155="",C155=""),R155=""),"",IFERROR(R155/(IF(N(H155)&gt;0,H155,IF(N(I155)&gt;0,I155,IF(COUNTIFS($B$16:$B$215,B155,$H$16:$H$215,"&gt;0")+COUNTIFS($B$16:$B$215,B155,$I$16:$I$215,"&gt;0")&gt;0,"",INDEX($B$5:$B$7,MATCH(B155,$A$5:$A$7,0)))))),""))</f>
        <v/>
      </c>
      <c r="T155" s="24" t="str">
        <f aca="false">IF(OR(A155="",B155="",C155=""),"",IF(OR(S155="",COUNTIFS($B$16:$B$215,B155,$S$16:$S$215,"&gt;=0")&lt;2),"No Data Yet",IFERROR(IF(S155/AVERAGEIFS($S$16:$S$215,$B$16:$B$215,B155)&gt;=1.2,"Good",IF(S155/AVERAGEIFS($S$16:$S$215,$B$16:$B$215,B155)&gt;=0.8,"Average","Below Standard")),"Average")))</f>
        <v/>
      </c>
      <c r="U155" s="22" t="str">
        <f aca="false">IF(OR(A155="",B155="",C155=""),"",COUNTIFS('Who Engaged'!$C$5:$C$1004,C155,'Who Engaged'!$O$5:$O$1004,"Yes",'Who Engaged'!$M$5:$M$1004,1))</f>
        <v/>
      </c>
      <c r="V155" s="22" t="str">
        <f aca="false">IF(OR(A155="",B155="",C155=""),"",COUNTIFS('Who Engaged'!$C$5:$C$1004,C155,'Who Engaged'!$O$5:$O$1004,"Yes",'Who Engaged'!$L$5:$L$1004,1))</f>
        <v/>
      </c>
      <c r="W155" s="25" t="str">
        <f aca="false" t="array" ref="W155:W155">IF(OR(A155="",B155="",C155=""),"",_xlfn.TEXTJOIN("; ",TRUE(),IF(('Who Engaged'!$C$5:$C$1004=C155)*('Who Engaged'!$O$5:$O$1004="Yes"),'Who Engaged'!$D$5:$D$1004&amp;" – "&amp;'Who Engaged'!$F$5:$F$1004&amp;IF('Who Engaged'!$L$5:$L$1004=1," (followed)",""),"")))</f>
        <v/>
      </c>
      <c r="X155" s="26"/>
      <c r="Y155" s="26"/>
      <c r="Z155" s="27"/>
      <c r="AA155" s="24" t="str">
        <f aca="false">IF(OR(A155="",B155="",C155=""),"","https://www.alphanodus.com/contact?utm_source="&amp;IF(B155="X","twitter",LOWER(B155))&amp;"&amp;utm_medium=social&amp;utm_campaign="&amp;IF(E155="","general",LOWER(SUBSTITUTE(SUBSTITUTE(E155," / ","-")," ","-")))&amp;"&amp;utm_content="&amp;LOWER(C155))</f>
        <v/>
      </c>
    </row>
    <row r="156" customFormat="false" ht="15" hidden="false" customHeight="false" outlineLevel="0" collapsed="false">
      <c r="A156" s="28"/>
      <c r="B156" s="27"/>
      <c r="C156" s="27"/>
      <c r="D156" s="26"/>
      <c r="E156" s="27"/>
      <c r="F156" s="27"/>
      <c r="G156" s="27"/>
      <c r="H156" s="21"/>
      <c r="I156" s="21"/>
      <c r="J156" s="21"/>
      <c r="K156" s="21"/>
      <c r="L156" s="21"/>
      <c r="M156" s="21"/>
      <c r="N156" s="21"/>
      <c r="O156" s="21"/>
      <c r="P156" s="22" t="str">
        <f aca="false">IF(OR(A156="",B156="",C156=""),"",IF(COUNT(J156:N156)=0,"",SUM(J156:N156)))</f>
        <v/>
      </c>
      <c r="Q156" s="22" t="str">
        <f aca="false">IF(OR(A156="",B156="",C156=""),"",SUMIFS('Who Engaged'!$H$5:$H$1004,'Who Engaged'!$C$5:$C$1004,C156,'Who Engaged'!$N$5:$N$1004,"Yes")+SUMIFS('Who Engaged'!$I$5:$I$1004,'Who Engaged'!$C$5:$C$1004,C156,'Who Engaged'!$N$5:$N$1004,"Yes")+SUMIFS('Who Engaged'!$J$5:$J$1004,'Who Engaged'!$C$5:$C$1004,C156,'Who Engaged'!$N$5:$N$1004,"Yes")+SUMIFS('Who Engaged'!$K$5:$K$1004,'Who Engaged'!$C$5:$C$1004,C156,'Who Engaged'!$N$5:$N$1004,"Yes"))</f>
        <v/>
      </c>
      <c r="R156" s="22" t="str">
        <f aca="false">IF(OR(OR(A156="",B156="",C156=""),P156=""),"",MAX(0,P156-N(Q156)))</f>
        <v/>
      </c>
      <c r="S156" s="23" t="str">
        <f aca="false">IF(OR(OR(A156="",B156="",C156=""),R156=""),"",IFERROR(R156/(IF(N(H156)&gt;0,H156,IF(N(I156)&gt;0,I156,IF(COUNTIFS($B$16:$B$215,B156,$H$16:$H$215,"&gt;0")+COUNTIFS($B$16:$B$215,B156,$I$16:$I$215,"&gt;0")&gt;0,"",INDEX($B$5:$B$7,MATCH(B156,$A$5:$A$7,0)))))),""))</f>
        <v/>
      </c>
      <c r="T156" s="24" t="str">
        <f aca="false">IF(OR(A156="",B156="",C156=""),"",IF(OR(S156="",COUNTIFS($B$16:$B$215,B156,$S$16:$S$215,"&gt;=0")&lt;2),"No Data Yet",IFERROR(IF(S156/AVERAGEIFS($S$16:$S$215,$B$16:$B$215,B156)&gt;=1.2,"Good",IF(S156/AVERAGEIFS($S$16:$S$215,$B$16:$B$215,B156)&gt;=0.8,"Average","Below Standard")),"Average")))</f>
        <v/>
      </c>
      <c r="U156" s="22" t="str">
        <f aca="false">IF(OR(A156="",B156="",C156=""),"",COUNTIFS('Who Engaged'!$C$5:$C$1004,C156,'Who Engaged'!$O$5:$O$1004,"Yes",'Who Engaged'!$M$5:$M$1004,1))</f>
        <v/>
      </c>
      <c r="V156" s="22" t="str">
        <f aca="false">IF(OR(A156="",B156="",C156=""),"",COUNTIFS('Who Engaged'!$C$5:$C$1004,C156,'Who Engaged'!$O$5:$O$1004,"Yes",'Who Engaged'!$L$5:$L$1004,1))</f>
        <v/>
      </c>
      <c r="W156" s="25" t="str">
        <f aca="false" t="array" ref="W156:W156">IF(OR(A156="",B156="",C156=""),"",_xlfn.TEXTJOIN("; ",TRUE(),IF(('Who Engaged'!$C$5:$C$1004=C156)*('Who Engaged'!$O$5:$O$1004="Yes"),'Who Engaged'!$D$5:$D$1004&amp;" – "&amp;'Who Engaged'!$F$5:$F$1004&amp;IF('Who Engaged'!$L$5:$L$1004=1," (followed)",""),"")))</f>
        <v/>
      </c>
      <c r="X156" s="26"/>
      <c r="Y156" s="26"/>
      <c r="Z156" s="27"/>
      <c r="AA156" s="24" t="str">
        <f aca="false">IF(OR(A156="",B156="",C156=""),"","https://www.alphanodus.com/contact?utm_source="&amp;IF(B156="X","twitter",LOWER(B156))&amp;"&amp;utm_medium=social&amp;utm_campaign="&amp;IF(E156="","general",LOWER(SUBSTITUTE(SUBSTITUTE(E156," / ","-")," ","-")))&amp;"&amp;utm_content="&amp;LOWER(C156))</f>
        <v/>
      </c>
    </row>
    <row r="157" customFormat="false" ht="15" hidden="false" customHeight="false" outlineLevel="0" collapsed="false">
      <c r="A157" s="28"/>
      <c r="B157" s="27"/>
      <c r="C157" s="27"/>
      <c r="D157" s="26"/>
      <c r="E157" s="27"/>
      <c r="F157" s="27"/>
      <c r="G157" s="27"/>
      <c r="H157" s="21"/>
      <c r="I157" s="21"/>
      <c r="J157" s="21"/>
      <c r="K157" s="21"/>
      <c r="L157" s="21"/>
      <c r="M157" s="21"/>
      <c r="N157" s="21"/>
      <c r="O157" s="21"/>
      <c r="P157" s="22" t="str">
        <f aca="false">IF(OR(A157="",B157="",C157=""),"",IF(COUNT(J157:N157)=0,"",SUM(J157:N157)))</f>
        <v/>
      </c>
      <c r="Q157" s="22" t="str">
        <f aca="false">IF(OR(A157="",B157="",C157=""),"",SUMIFS('Who Engaged'!$H$5:$H$1004,'Who Engaged'!$C$5:$C$1004,C157,'Who Engaged'!$N$5:$N$1004,"Yes")+SUMIFS('Who Engaged'!$I$5:$I$1004,'Who Engaged'!$C$5:$C$1004,C157,'Who Engaged'!$N$5:$N$1004,"Yes")+SUMIFS('Who Engaged'!$J$5:$J$1004,'Who Engaged'!$C$5:$C$1004,C157,'Who Engaged'!$N$5:$N$1004,"Yes")+SUMIFS('Who Engaged'!$K$5:$K$1004,'Who Engaged'!$C$5:$C$1004,C157,'Who Engaged'!$N$5:$N$1004,"Yes"))</f>
        <v/>
      </c>
      <c r="R157" s="22" t="str">
        <f aca="false">IF(OR(OR(A157="",B157="",C157=""),P157=""),"",MAX(0,P157-N(Q157)))</f>
        <v/>
      </c>
      <c r="S157" s="23" t="str">
        <f aca="false">IF(OR(OR(A157="",B157="",C157=""),R157=""),"",IFERROR(R157/(IF(N(H157)&gt;0,H157,IF(N(I157)&gt;0,I157,IF(COUNTIFS($B$16:$B$215,B157,$H$16:$H$215,"&gt;0")+COUNTIFS($B$16:$B$215,B157,$I$16:$I$215,"&gt;0")&gt;0,"",INDEX($B$5:$B$7,MATCH(B157,$A$5:$A$7,0)))))),""))</f>
        <v/>
      </c>
      <c r="T157" s="24" t="str">
        <f aca="false">IF(OR(A157="",B157="",C157=""),"",IF(OR(S157="",COUNTIFS($B$16:$B$215,B157,$S$16:$S$215,"&gt;=0")&lt;2),"No Data Yet",IFERROR(IF(S157/AVERAGEIFS($S$16:$S$215,$B$16:$B$215,B157)&gt;=1.2,"Good",IF(S157/AVERAGEIFS($S$16:$S$215,$B$16:$B$215,B157)&gt;=0.8,"Average","Below Standard")),"Average")))</f>
        <v/>
      </c>
      <c r="U157" s="22" t="str">
        <f aca="false">IF(OR(A157="",B157="",C157=""),"",COUNTIFS('Who Engaged'!$C$5:$C$1004,C157,'Who Engaged'!$O$5:$O$1004,"Yes",'Who Engaged'!$M$5:$M$1004,1))</f>
        <v/>
      </c>
      <c r="V157" s="22" t="str">
        <f aca="false">IF(OR(A157="",B157="",C157=""),"",COUNTIFS('Who Engaged'!$C$5:$C$1004,C157,'Who Engaged'!$O$5:$O$1004,"Yes",'Who Engaged'!$L$5:$L$1004,1))</f>
        <v/>
      </c>
      <c r="W157" s="25" t="str">
        <f aca="false" t="array" ref="W157:W157">IF(OR(A157="",B157="",C157=""),"",_xlfn.TEXTJOIN("; ",TRUE(),IF(('Who Engaged'!$C$5:$C$1004=C157)*('Who Engaged'!$O$5:$O$1004="Yes"),'Who Engaged'!$D$5:$D$1004&amp;" – "&amp;'Who Engaged'!$F$5:$F$1004&amp;IF('Who Engaged'!$L$5:$L$1004=1," (followed)",""),"")))</f>
        <v/>
      </c>
      <c r="X157" s="26"/>
      <c r="Y157" s="26"/>
      <c r="Z157" s="27"/>
      <c r="AA157" s="24" t="str">
        <f aca="false">IF(OR(A157="",B157="",C157=""),"","https://www.alphanodus.com/contact?utm_source="&amp;IF(B157="X","twitter",LOWER(B157))&amp;"&amp;utm_medium=social&amp;utm_campaign="&amp;IF(E157="","general",LOWER(SUBSTITUTE(SUBSTITUTE(E157," / ","-")," ","-")))&amp;"&amp;utm_content="&amp;LOWER(C157))</f>
        <v/>
      </c>
    </row>
    <row r="158" customFormat="false" ht="15" hidden="false" customHeight="false" outlineLevel="0" collapsed="false">
      <c r="A158" s="28"/>
      <c r="B158" s="27"/>
      <c r="C158" s="27"/>
      <c r="D158" s="26"/>
      <c r="E158" s="27"/>
      <c r="F158" s="27"/>
      <c r="G158" s="27"/>
      <c r="H158" s="21"/>
      <c r="I158" s="21"/>
      <c r="J158" s="21"/>
      <c r="K158" s="21"/>
      <c r="L158" s="21"/>
      <c r="M158" s="21"/>
      <c r="N158" s="21"/>
      <c r="O158" s="21"/>
      <c r="P158" s="22" t="str">
        <f aca="false">IF(OR(A158="",B158="",C158=""),"",IF(COUNT(J158:N158)=0,"",SUM(J158:N158)))</f>
        <v/>
      </c>
      <c r="Q158" s="22" t="str">
        <f aca="false">IF(OR(A158="",B158="",C158=""),"",SUMIFS('Who Engaged'!$H$5:$H$1004,'Who Engaged'!$C$5:$C$1004,C158,'Who Engaged'!$N$5:$N$1004,"Yes")+SUMIFS('Who Engaged'!$I$5:$I$1004,'Who Engaged'!$C$5:$C$1004,C158,'Who Engaged'!$N$5:$N$1004,"Yes")+SUMIFS('Who Engaged'!$J$5:$J$1004,'Who Engaged'!$C$5:$C$1004,C158,'Who Engaged'!$N$5:$N$1004,"Yes")+SUMIFS('Who Engaged'!$K$5:$K$1004,'Who Engaged'!$C$5:$C$1004,C158,'Who Engaged'!$N$5:$N$1004,"Yes"))</f>
        <v/>
      </c>
      <c r="R158" s="22" t="str">
        <f aca="false">IF(OR(OR(A158="",B158="",C158=""),P158=""),"",MAX(0,P158-N(Q158)))</f>
        <v/>
      </c>
      <c r="S158" s="23" t="str">
        <f aca="false">IF(OR(OR(A158="",B158="",C158=""),R158=""),"",IFERROR(R158/(IF(N(H158)&gt;0,H158,IF(N(I158)&gt;0,I158,IF(COUNTIFS($B$16:$B$215,B158,$H$16:$H$215,"&gt;0")+COUNTIFS($B$16:$B$215,B158,$I$16:$I$215,"&gt;0")&gt;0,"",INDEX($B$5:$B$7,MATCH(B158,$A$5:$A$7,0)))))),""))</f>
        <v/>
      </c>
      <c r="T158" s="24" t="str">
        <f aca="false">IF(OR(A158="",B158="",C158=""),"",IF(OR(S158="",COUNTIFS($B$16:$B$215,B158,$S$16:$S$215,"&gt;=0")&lt;2),"No Data Yet",IFERROR(IF(S158/AVERAGEIFS($S$16:$S$215,$B$16:$B$215,B158)&gt;=1.2,"Good",IF(S158/AVERAGEIFS($S$16:$S$215,$B$16:$B$215,B158)&gt;=0.8,"Average","Below Standard")),"Average")))</f>
        <v/>
      </c>
      <c r="U158" s="22" t="str">
        <f aca="false">IF(OR(A158="",B158="",C158=""),"",COUNTIFS('Who Engaged'!$C$5:$C$1004,C158,'Who Engaged'!$O$5:$O$1004,"Yes",'Who Engaged'!$M$5:$M$1004,1))</f>
        <v/>
      </c>
      <c r="V158" s="22" t="str">
        <f aca="false">IF(OR(A158="",B158="",C158=""),"",COUNTIFS('Who Engaged'!$C$5:$C$1004,C158,'Who Engaged'!$O$5:$O$1004,"Yes",'Who Engaged'!$L$5:$L$1004,1))</f>
        <v/>
      </c>
      <c r="W158" s="25" t="str">
        <f aca="false" t="array" ref="W158:W158">IF(OR(A158="",B158="",C158=""),"",_xlfn.TEXTJOIN("; ",TRUE(),IF(('Who Engaged'!$C$5:$C$1004=C158)*('Who Engaged'!$O$5:$O$1004="Yes"),'Who Engaged'!$D$5:$D$1004&amp;" – "&amp;'Who Engaged'!$F$5:$F$1004&amp;IF('Who Engaged'!$L$5:$L$1004=1," (followed)",""),"")))</f>
        <v/>
      </c>
      <c r="X158" s="26"/>
      <c r="Y158" s="26"/>
      <c r="Z158" s="27"/>
      <c r="AA158" s="24" t="str">
        <f aca="false">IF(OR(A158="",B158="",C158=""),"","https://www.alphanodus.com/contact?utm_source="&amp;IF(B158="X","twitter",LOWER(B158))&amp;"&amp;utm_medium=social&amp;utm_campaign="&amp;IF(E158="","general",LOWER(SUBSTITUTE(SUBSTITUTE(E158," / ","-")," ","-")))&amp;"&amp;utm_content="&amp;LOWER(C158))</f>
        <v/>
      </c>
    </row>
    <row r="159" customFormat="false" ht="15" hidden="false" customHeight="false" outlineLevel="0" collapsed="false">
      <c r="A159" s="28"/>
      <c r="B159" s="27"/>
      <c r="C159" s="27"/>
      <c r="D159" s="26"/>
      <c r="E159" s="27"/>
      <c r="F159" s="27"/>
      <c r="G159" s="27"/>
      <c r="H159" s="21"/>
      <c r="I159" s="21"/>
      <c r="J159" s="21"/>
      <c r="K159" s="21"/>
      <c r="L159" s="21"/>
      <c r="M159" s="21"/>
      <c r="N159" s="21"/>
      <c r="O159" s="21"/>
      <c r="P159" s="22" t="str">
        <f aca="false">IF(OR(A159="",B159="",C159=""),"",IF(COUNT(J159:N159)=0,"",SUM(J159:N159)))</f>
        <v/>
      </c>
      <c r="Q159" s="22" t="str">
        <f aca="false">IF(OR(A159="",B159="",C159=""),"",SUMIFS('Who Engaged'!$H$5:$H$1004,'Who Engaged'!$C$5:$C$1004,C159,'Who Engaged'!$N$5:$N$1004,"Yes")+SUMIFS('Who Engaged'!$I$5:$I$1004,'Who Engaged'!$C$5:$C$1004,C159,'Who Engaged'!$N$5:$N$1004,"Yes")+SUMIFS('Who Engaged'!$J$5:$J$1004,'Who Engaged'!$C$5:$C$1004,C159,'Who Engaged'!$N$5:$N$1004,"Yes")+SUMIFS('Who Engaged'!$K$5:$K$1004,'Who Engaged'!$C$5:$C$1004,C159,'Who Engaged'!$N$5:$N$1004,"Yes"))</f>
        <v/>
      </c>
      <c r="R159" s="22" t="str">
        <f aca="false">IF(OR(OR(A159="",B159="",C159=""),P159=""),"",MAX(0,P159-N(Q159)))</f>
        <v/>
      </c>
      <c r="S159" s="23" t="str">
        <f aca="false">IF(OR(OR(A159="",B159="",C159=""),R159=""),"",IFERROR(R159/(IF(N(H159)&gt;0,H159,IF(N(I159)&gt;0,I159,IF(COUNTIFS($B$16:$B$215,B159,$H$16:$H$215,"&gt;0")+COUNTIFS($B$16:$B$215,B159,$I$16:$I$215,"&gt;0")&gt;0,"",INDEX($B$5:$B$7,MATCH(B159,$A$5:$A$7,0)))))),""))</f>
        <v/>
      </c>
      <c r="T159" s="24" t="str">
        <f aca="false">IF(OR(A159="",B159="",C159=""),"",IF(OR(S159="",COUNTIFS($B$16:$B$215,B159,$S$16:$S$215,"&gt;=0")&lt;2),"No Data Yet",IFERROR(IF(S159/AVERAGEIFS($S$16:$S$215,$B$16:$B$215,B159)&gt;=1.2,"Good",IF(S159/AVERAGEIFS($S$16:$S$215,$B$16:$B$215,B159)&gt;=0.8,"Average","Below Standard")),"Average")))</f>
        <v/>
      </c>
      <c r="U159" s="22" t="str">
        <f aca="false">IF(OR(A159="",B159="",C159=""),"",COUNTIFS('Who Engaged'!$C$5:$C$1004,C159,'Who Engaged'!$O$5:$O$1004,"Yes",'Who Engaged'!$M$5:$M$1004,1))</f>
        <v/>
      </c>
      <c r="V159" s="22" t="str">
        <f aca="false">IF(OR(A159="",B159="",C159=""),"",COUNTIFS('Who Engaged'!$C$5:$C$1004,C159,'Who Engaged'!$O$5:$O$1004,"Yes",'Who Engaged'!$L$5:$L$1004,1))</f>
        <v/>
      </c>
      <c r="W159" s="25" t="str">
        <f aca="false" t="array" ref="W159:W159">IF(OR(A159="",B159="",C159=""),"",_xlfn.TEXTJOIN("; ",TRUE(),IF(('Who Engaged'!$C$5:$C$1004=C159)*('Who Engaged'!$O$5:$O$1004="Yes"),'Who Engaged'!$D$5:$D$1004&amp;" – "&amp;'Who Engaged'!$F$5:$F$1004&amp;IF('Who Engaged'!$L$5:$L$1004=1," (followed)",""),"")))</f>
        <v/>
      </c>
      <c r="X159" s="26"/>
      <c r="Y159" s="26"/>
      <c r="Z159" s="27"/>
      <c r="AA159" s="24" t="str">
        <f aca="false">IF(OR(A159="",B159="",C159=""),"","https://www.alphanodus.com/contact?utm_source="&amp;IF(B159="X","twitter",LOWER(B159))&amp;"&amp;utm_medium=social&amp;utm_campaign="&amp;IF(E159="","general",LOWER(SUBSTITUTE(SUBSTITUTE(E159," / ","-")," ","-")))&amp;"&amp;utm_content="&amp;LOWER(C159))</f>
        <v/>
      </c>
    </row>
    <row r="160" customFormat="false" ht="15" hidden="false" customHeight="false" outlineLevel="0" collapsed="false">
      <c r="A160" s="28"/>
      <c r="B160" s="27"/>
      <c r="C160" s="27"/>
      <c r="D160" s="26"/>
      <c r="E160" s="27"/>
      <c r="F160" s="27"/>
      <c r="G160" s="27"/>
      <c r="H160" s="21"/>
      <c r="I160" s="21"/>
      <c r="J160" s="21"/>
      <c r="K160" s="21"/>
      <c r="L160" s="21"/>
      <c r="M160" s="21"/>
      <c r="N160" s="21"/>
      <c r="O160" s="21"/>
      <c r="P160" s="22" t="str">
        <f aca="false">IF(OR(A160="",B160="",C160=""),"",IF(COUNT(J160:N160)=0,"",SUM(J160:N160)))</f>
        <v/>
      </c>
      <c r="Q160" s="22" t="str">
        <f aca="false">IF(OR(A160="",B160="",C160=""),"",SUMIFS('Who Engaged'!$H$5:$H$1004,'Who Engaged'!$C$5:$C$1004,C160,'Who Engaged'!$N$5:$N$1004,"Yes")+SUMIFS('Who Engaged'!$I$5:$I$1004,'Who Engaged'!$C$5:$C$1004,C160,'Who Engaged'!$N$5:$N$1004,"Yes")+SUMIFS('Who Engaged'!$J$5:$J$1004,'Who Engaged'!$C$5:$C$1004,C160,'Who Engaged'!$N$5:$N$1004,"Yes")+SUMIFS('Who Engaged'!$K$5:$K$1004,'Who Engaged'!$C$5:$C$1004,C160,'Who Engaged'!$N$5:$N$1004,"Yes"))</f>
        <v/>
      </c>
      <c r="R160" s="22" t="str">
        <f aca="false">IF(OR(OR(A160="",B160="",C160=""),P160=""),"",MAX(0,P160-N(Q160)))</f>
        <v/>
      </c>
      <c r="S160" s="23" t="str">
        <f aca="false">IF(OR(OR(A160="",B160="",C160=""),R160=""),"",IFERROR(R160/(IF(N(H160)&gt;0,H160,IF(N(I160)&gt;0,I160,IF(COUNTIFS($B$16:$B$215,B160,$H$16:$H$215,"&gt;0")+COUNTIFS($B$16:$B$215,B160,$I$16:$I$215,"&gt;0")&gt;0,"",INDEX($B$5:$B$7,MATCH(B160,$A$5:$A$7,0)))))),""))</f>
        <v/>
      </c>
      <c r="T160" s="24" t="str">
        <f aca="false">IF(OR(A160="",B160="",C160=""),"",IF(OR(S160="",COUNTIFS($B$16:$B$215,B160,$S$16:$S$215,"&gt;=0")&lt;2),"No Data Yet",IFERROR(IF(S160/AVERAGEIFS($S$16:$S$215,$B$16:$B$215,B160)&gt;=1.2,"Good",IF(S160/AVERAGEIFS($S$16:$S$215,$B$16:$B$215,B160)&gt;=0.8,"Average","Below Standard")),"Average")))</f>
        <v/>
      </c>
      <c r="U160" s="22" t="str">
        <f aca="false">IF(OR(A160="",B160="",C160=""),"",COUNTIFS('Who Engaged'!$C$5:$C$1004,C160,'Who Engaged'!$O$5:$O$1004,"Yes",'Who Engaged'!$M$5:$M$1004,1))</f>
        <v/>
      </c>
      <c r="V160" s="22" t="str">
        <f aca="false">IF(OR(A160="",B160="",C160=""),"",COUNTIFS('Who Engaged'!$C$5:$C$1004,C160,'Who Engaged'!$O$5:$O$1004,"Yes",'Who Engaged'!$L$5:$L$1004,1))</f>
        <v/>
      </c>
      <c r="W160" s="25" t="str">
        <f aca="false" t="array" ref="W160:W160">IF(OR(A160="",B160="",C160=""),"",_xlfn.TEXTJOIN("; ",TRUE(),IF(('Who Engaged'!$C$5:$C$1004=C160)*('Who Engaged'!$O$5:$O$1004="Yes"),'Who Engaged'!$D$5:$D$1004&amp;" – "&amp;'Who Engaged'!$F$5:$F$1004&amp;IF('Who Engaged'!$L$5:$L$1004=1," (followed)",""),"")))</f>
        <v/>
      </c>
      <c r="X160" s="26"/>
      <c r="Y160" s="26"/>
      <c r="Z160" s="27"/>
      <c r="AA160" s="24" t="str">
        <f aca="false">IF(OR(A160="",B160="",C160=""),"","https://www.alphanodus.com/contact?utm_source="&amp;IF(B160="X","twitter",LOWER(B160))&amp;"&amp;utm_medium=social&amp;utm_campaign="&amp;IF(E160="","general",LOWER(SUBSTITUTE(SUBSTITUTE(E160," / ","-")," ","-")))&amp;"&amp;utm_content="&amp;LOWER(C160))</f>
        <v/>
      </c>
    </row>
    <row r="161" customFormat="false" ht="15" hidden="false" customHeight="false" outlineLevel="0" collapsed="false">
      <c r="A161" s="28"/>
      <c r="B161" s="27"/>
      <c r="C161" s="27"/>
      <c r="D161" s="26"/>
      <c r="E161" s="27"/>
      <c r="F161" s="27"/>
      <c r="G161" s="27"/>
      <c r="H161" s="21"/>
      <c r="I161" s="21"/>
      <c r="J161" s="21"/>
      <c r="K161" s="21"/>
      <c r="L161" s="21"/>
      <c r="M161" s="21"/>
      <c r="N161" s="21"/>
      <c r="O161" s="21"/>
      <c r="P161" s="22" t="str">
        <f aca="false">IF(OR(A161="",B161="",C161=""),"",IF(COUNT(J161:N161)=0,"",SUM(J161:N161)))</f>
        <v/>
      </c>
      <c r="Q161" s="22" t="str">
        <f aca="false">IF(OR(A161="",B161="",C161=""),"",SUMIFS('Who Engaged'!$H$5:$H$1004,'Who Engaged'!$C$5:$C$1004,C161,'Who Engaged'!$N$5:$N$1004,"Yes")+SUMIFS('Who Engaged'!$I$5:$I$1004,'Who Engaged'!$C$5:$C$1004,C161,'Who Engaged'!$N$5:$N$1004,"Yes")+SUMIFS('Who Engaged'!$J$5:$J$1004,'Who Engaged'!$C$5:$C$1004,C161,'Who Engaged'!$N$5:$N$1004,"Yes")+SUMIFS('Who Engaged'!$K$5:$K$1004,'Who Engaged'!$C$5:$C$1004,C161,'Who Engaged'!$N$5:$N$1004,"Yes"))</f>
        <v/>
      </c>
      <c r="R161" s="22" t="str">
        <f aca="false">IF(OR(OR(A161="",B161="",C161=""),P161=""),"",MAX(0,P161-N(Q161)))</f>
        <v/>
      </c>
      <c r="S161" s="23" t="str">
        <f aca="false">IF(OR(OR(A161="",B161="",C161=""),R161=""),"",IFERROR(R161/(IF(N(H161)&gt;0,H161,IF(N(I161)&gt;0,I161,IF(COUNTIFS($B$16:$B$215,B161,$H$16:$H$215,"&gt;0")+COUNTIFS($B$16:$B$215,B161,$I$16:$I$215,"&gt;0")&gt;0,"",INDEX($B$5:$B$7,MATCH(B161,$A$5:$A$7,0)))))),""))</f>
        <v/>
      </c>
      <c r="T161" s="24" t="str">
        <f aca="false">IF(OR(A161="",B161="",C161=""),"",IF(OR(S161="",COUNTIFS($B$16:$B$215,B161,$S$16:$S$215,"&gt;=0")&lt;2),"No Data Yet",IFERROR(IF(S161/AVERAGEIFS($S$16:$S$215,$B$16:$B$215,B161)&gt;=1.2,"Good",IF(S161/AVERAGEIFS($S$16:$S$215,$B$16:$B$215,B161)&gt;=0.8,"Average","Below Standard")),"Average")))</f>
        <v/>
      </c>
      <c r="U161" s="22" t="str">
        <f aca="false">IF(OR(A161="",B161="",C161=""),"",COUNTIFS('Who Engaged'!$C$5:$C$1004,C161,'Who Engaged'!$O$5:$O$1004,"Yes",'Who Engaged'!$M$5:$M$1004,1))</f>
        <v/>
      </c>
      <c r="V161" s="22" t="str">
        <f aca="false">IF(OR(A161="",B161="",C161=""),"",COUNTIFS('Who Engaged'!$C$5:$C$1004,C161,'Who Engaged'!$O$5:$O$1004,"Yes",'Who Engaged'!$L$5:$L$1004,1))</f>
        <v/>
      </c>
      <c r="W161" s="25" t="str">
        <f aca="false" t="array" ref="W161:W161">IF(OR(A161="",B161="",C161=""),"",_xlfn.TEXTJOIN("; ",TRUE(),IF(('Who Engaged'!$C$5:$C$1004=C161)*('Who Engaged'!$O$5:$O$1004="Yes"),'Who Engaged'!$D$5:$D$1004&amp;" – "&amp;'Who Engaged'!$F$5:$F$1004&amp;IF('Who Engaged'!$L$5:$L$1004=1," (followed)",""),"")))</f>
        <v/>
      </c>
      <c r="X161" s="26"/>
      <c r="Y161" s="26"/>
      <c r="Z161" s="27"/>
      <c r="AA161" s="24" t="str">
        <f aca="false">IF(OR(A161="",B161="",C161=""),"","https://www.alphanodus.com/contact?utm_source="&amp;IF(B161="X","twitter",LOWER(B161))&amp;"&amp;utm_medium=social&amp;utm_campaign="&amp;IF(E161="","general",LOWER(SUBSTITUTE(SUBSTITUTE(E161," / ","-")," ","-")))&amp;"&amp;utm_content="&amp;LOWER(C161))</f>
        <v/>
      </c>
    </row>
    <row r="162" customFormat="false" ht="15" hidden="false" customHeight="false" outlineLevel="0" collapsed="false">
      <c r="A162" s="28"/>
      <c r="B162" s="27"/>
      <c r="C162" s="27"/>
      <c r="D162" s="26"/>
      <c r="E162" s="27"/>
      <c r="F162" s="27"/>
      <c r="G162" s="27"/>
      <c r="H162" s="21"/>
      <c r="I162" s="21"/>
      <c r="J162" s="21"/>
      <c r="K162" s="21"/>
      <c r="L162" s="21"/>
      <c r="M162" s="21"/>
      <c r="N162" s="21"/>
      <c r="O162" s="21"/>
      <c r="P162" s="22" t="str">
        <f aca="false">IF(OR(A162="",B162="",C162=""),"",IF(COUNT(J162:N162)=0,"",SUM(J162:N162)))</f>
        <v/>
      </c>
      <c r="Q162" s="22" t="str">
        <f aca="false">IF(OR(A162="",B162="",C162=""),"",SUMIFS('Who Engaged'!$H$5:$H$1004,'Who Engaged'!$C$5:$C$1004,C162,'Who Engaged'!$N$5:$N$1004,"Yes")+SUMIFS('Who Engaged'!$I$5:$I$1004,'Who Engaged'!$C$5:$C$1004,C162,'Who Engaged'!$N$5:$N$1004,"Yes")+SUMIFS('Who Engaged'!$J$5:$J$1004,'Who Engaged'!$C$5:$C$1004,C162,'Who Engaged'!$N$5:$N$1004,"Yes")+SUMIFS('Who Engaged'!$K$5:$K$1004,'Who Engaged'!$C$5:$C$1004,C162,'Who Engaged'!$N$5:$N$1004,"Yes"))</f>
        <v/>
      </c>
      <c r="R162" s="22" t="str">
        <f aca="false">IF(OR(OR(A162="",B162="",C162=""),P162=""),"",MAX(0,P162-N(Q162)))</f>
        <v/>
      </c>
      <c r="S162" s="23" t="str">
        <f aca="false">IF(OR(OR(A162="",B162="",C162=""),R162=""),"",IFERROR(R162/(IF(N(H162)&gt;0,H162,IF(N(I162)&gt;0,I162,IF(COUNTIFS($B$16:$B$215,B162,$H$16:$H$215,"&gt;0")+COUNTIFS($B$16:$B$215,B162,$I$16:$I$215,"&gt;0")&gt;0,"",INDEX($B$5:$B$7,MATCH(B162,$A$5:$A$7,0)))))),""))</f>
        <v/>
      </c>
      <c r="T162" s="24" t="str">
        <f aca="false">IF(OR(A162="",B162="",C162=""),"",IF(OR(S162="",COUNTIFS($B$16:$B$215,B162,$S$16:$S$215,"&gt;=0")&lt;2),"No Data Yet",IFERROR(IF(S162/AVERAGEIFS($S$16:$S$215,$B$16:$B$215,B162)&gt;=1.2,"Good",IF(S162/AVERAGEIFS($S$16:$S$215,$B$16:$B$215,B162)&gt;=0.8,"Average","Below Standard")),"Average")))</f>
        <v/>
      </c>
      <c r="U162" s="22" t="str">
        <f aca="false">IF(OR(A162="",B162="",C162=""),"",COUNTIFS('Who Engaged'!$C$5:$C$1004,C162,'Who Engaged'!$O$5:$O$1004,"Yes",'Who Engaged'!$M$5:$M$1004,1))</f>
        <v/>
      </c>
      <c r="V162" s="22" t="str">
        <f aca="false">IF(OR(A162="",B162="",C162=""),"",COUNTIFS('Who Engaged'!$C$5:$C$1004,C162,'Who Engaged'!$O$5:$O$1004,"Yes",'Who Engaged'!$L$5:$L$1004,1))</f>
        <v/>
      </c>
      <c r="W162" s="25" t="str">
        <f aca="false" t="array" ref="W162:W162">IF(OR(A162="",B162="",C162=""),"",_xlfn.TEXTJOIN("; ",TRUE(),IF(('Who Engaged'!$C$5:$C$1004=C162)*('Who Engaged'!$O$5:$O$1004="Yes"),'Who Engaged'!$D$5:$D$1004&amp;" – "&amp;'Who Engaged'!$F$5:$F$1004&amp;IF('Who Engaged'!$L$5:$L$1004=1," (followed)",""),"")))</f>
        <v/>
      </c>
      <c r="X162" s="26"/>
      <c r="Y162" s="26"/>
      <c r="Z162" s="27"/>
      <c r="AA162" s="24" t="str">
        <f aca="false">IF(OR(A162="",B162="",C162=""),"","https://www.alphanodus.com/contact?utm_source="&amp;IF(B162="X","twitter",LOWER(B162))&amp;"&amp;utm_medium=social&amp;utm_campaign="&amp;IF(E162="","general",LOWER(SUBSTITUTE(SUBSTITUTE(E162," / ","-")," ","-")))&amp;"&amp;utm_content="&amp;LOWER(C162))</f>
        <v/>
      </c>
    </row>
    <row r="163" customFormat="false" ht="15" hidden="false" customHeight="false" outlineLevel="0" collapsed="false">
      <c r="A163" s="28"/>
      <c r="B163" s="27"/>
      <c r="C163" s="27"/>
      <c r="D163" s="26"/>
      <c r="E163" s="27"/>
      <c r="F163" s="27"/>
      <c r="G163" s="27"/>
      <c r="H163" s="21"/>
      <c r="I163" s="21"/>
      <c r="J163" s="21"/>
      <c r="K163" s="21"/>
      <c r="L163" s="21"/>
      <c r="M163" s="21"/>
      <c r="N163" s="21"/>
      <c r="O163" s="21"/>
      <c r="P163" s="22" t="str">
        <f aca="false">IF(OR(A163="",B163="",C163=""),"",IF(COUNT(J163:N163)=0,"",SUM(J163:N163)))</f>
        <v/>
      </c>
      <c r="Q163" s="22" t="str">
        <f aca="false">IF(OR(A163="",B163="",C163=""),"",SUMIFS('Who Engaged'!$H$5:$H$1004,'Who Engaged'!$C$5:$C$1004,C163,'Who Engaged'!$N$5:$N$1004,"Yes")+SUMIFS('Who Engaged'!$I$5:$I$1004,'Who Engaged'!$C$5:$C$1004,C163,'Who Engaged'!$N$5:$N$1004,"Yes")+SUMIFS('Who Engaged'!$J$5:$J$1004,'Who Engaged'!$C$5:$C$1004,C163,'Who Engaged'!$N$5:$N$1004,"Yes")+SUMIFS('Who Engaged'!$K$5:$K$1004,'Who Engaged'!$C$5:$C$1004,C163,'Who Engaged'!$N$5:$N$1004,"Yes"))</f>
        <v/>
      </c>
      <c r="R163" s="22" t="str">
        <f aca="false">IF(OR(OR(A163="",B163="",C163=""),P163=""),"",MAX(0,P163-N(Q163)))</f>
        <v/>
      </c>
      <c r="S163" s="23" t="str">
        <f aca="false">IF(OR(OR(A163="",B163="",C163=""),R163=""),"",IFERROR(R163/(IF(N(H163)&gt;0,H163,IF(N(I163)&gt;0,I163,IF(COUNTIFS($B$16:$B$215,B163,$H$16:$H$215,"&gt;0")+COUNTIFS($B$16:$B$215,B163,$I$16:$I$215,"&gt;0")&gt;0,"",INDEX($B$5:$B$7,MATCH(B163,$A$5:$A$7,0)))))),""))</f>
        <v/>
      </c>
      <c r="T163" s="24" t="str">
        <f aca="false">IF(OR(A163="",B163="",C163=""),"",IF(OR(S163="",COUNTIFS($B$16:$B$215,B163,$S$16:$S$215,"&gt;=0")&lt;2),"No Data Yet",IFERROR(IF(S163/AVERAGEIFS($S$16:$S$215,$B$16:$B$215,B163)&gt;=1.2,"Good",IF(S163/AVERAGEIFS($S$16:$S$215,$B$16:$B$215,B163)&gt;=0.8,"Average","Below Standard")),"Average")))</f>
        <v/>
      </c>
      <c r="U163" s="22" t="str">
        <f aca="false">IF(OR(A163="",B163="",C163=""),"",COUNTIFS('Who Engaged'!$C$5:$C$1004,C163,'Who Engaged'!$O$5:$O$1004,"Yes",'Who Engaged'!$M$5:$M$1004,1))</f>
        <v/>
      </c>
      <c r="V163" s="22" t="str">
        <f aca="false">IF(OR(A163="",B163="",C163=""),"",COUNTIFS('Who Engaged'!$C$5:$C$1004,C163,'Who Engaged'!$O$5:$O$1004,"Yes",'Who Engaged'!$L$5:$L$1004,1))</f>
        <v/>
      </c>
      <c r="W163" s="25" t="str">
        <f aca="false" t="array" ref="W163:W163">IF(OR(A163="",B163="",C163=""),"",_xlfn.TEXTJOIN("; ",TRUE(),IF(('Who Engaged'!$C$5:$C$1004=C163)*('Who Engaged'!$O$5:$O$1004="Yes"),'Who Engaged'!$D$5:$D$1004&amp;" – "&amp;'Who Engaged'!$F$5:$F$1004&amp;IF('Who Engaged'!$L$5:$L$1004=1," (followed)",""),"")))</f>
        <v/>
      </c>
      <c r="X163" s="26"/>
      <c r="Y163" s="26"/>
      <c r="Z163" s="27"/>
      <c r="AA163" s="24" t="str">
        <f aca="false">IF(OR(A163="",B163="",C163=""),"","https://www.alphanodus.com/contact?utm_source="&amp;IF(B163="X","twitter",LOWER(B163))&amp;"&amp;utm_medium=social&amp;utm_campaign="&amp;IF(E163="","general",LOWER(SUBSTITUTE(SUBSTITUTE(E163," / ","-")," ","-")))&amp;"&amp;utm_content="&amp;LOWER(C163))</f>
        <v/>
      </c>
    </row>
    <row r="164" customFormat="false" ht="15" hidden="false" customHeight="false" outlineLevel="0" collapsed="false">
      <c r="A164" s="28"/>
      <c r="B164" s="27"/>
      <c r="C164" s="27"/>
      <c r="D164" s="26"/>
      <c r="E164" s="27"/>
      <c r="F164" s="27"/>
      <c r="G164" s="27"/>
      <c r="H164" s="21"/>
      <c r="I164" s="21"/>
      <c r="J164" s="21"/>
      <c r="K164" s="21"/>
      <c r="L164" s="21"/>
      <c r="M164" s="21"/>
      <c r="N164" s="21"/>
      <c r="O164" s="21"/>
      <c r="P164" s="22" t="str">
        <f aca="false">IF(OR(A164="",B164="",C164=""),"",IF(COUNT(J164:N164)=0,"",SUM(J164:N164)))</f>
        <v/>
      </c>
      <c r="Q164" s="22" t="str">
        <f aca="false">IF(OR(A164="",B164="",C164=""),"",SUMIFS('Who Engaged'!$H$5:$H$1004,'Who Engaged'!$C$5:$C$1004,C164,'Who Engaged'!$N$5:$N$1004,"Yes")+SUMIFS('Who Engaged'!$I$5:$I$1004,'Who Engaged'!$C$5:$C$1004,C164,'Who Engaged'!$N$5:$N$1004,"Yes")+SUMIFS('Who Engaged'!$J$5:$J$1004,'Who Engaged'!$C$5:$C$1004,C164,'Who Engaged'!$N$5:$N$1004,"Yes")+SUMIFS('Who Engaged'!$K$5:$K$1004,'Who Engaged'!$C$5:$C$1004,C164,'Who Engaged'!$N$5:$N$1004,"Yes"))</f>
        <v/>
      </c>
      <c r="R164" s="22" t="str">
        <f aca="false">IF(OR(OR(A164="",B164="",C164=""),P164=""),"",MAX(0,P164-N(Q164)))</f>
        <v/>
      </c>
      <c r="S164" s="23" t="str">
        <f aca="false">IF(OR(OR(A164="",B164="",C164=""),R164=""),"",IFERROR(R164/(IF(N(H164)&gt;0,H164,IF(N(I164)&gt;0,I164,IF(COUNTIFS($B$16:$B$215,B164,$H$16:$H$215,"&gt;0")+COUNTIFS($B$16:$B$215,B164,$I$16:$I$215,"&gt;0")&gt;0,"",INDEX($B$5:$B$7,MATCH(B164,$A$5:$A$7,0)))))),""))</f>
        <v/>
      </c>
      <c r="T164" s="24" t="str">
        <f aca="false">IF(OR(A164="",B164="",C164=""),"",IF(OR(S164="",COUNTIFS($B$16:$B$215,B164,$S$16:$S$215,"&gt;=0")&lt;2),"No Data Yet",IFERROR(IF(S164/AVERAGEIFS($S$16:$S$215,$B$16:$B$215,B164)&gt;=1.2,"Good",IF(S164/AVERAGEIFS($S$16:$S$215,$B$16:$B$215,B164)&gt;=0.8,"Average","Below Standard")),"Average")))</f>
        <v/>
      </c>
      <c r="U164" s="22" t="str">
        <f aca="false">IF(OR(A164="",B164="",C164=""),"",COUNTIFS('Who Engaged'!$C$5:$C$1004,C164,'Who Engaged'!$O$5:$O$1004,"Yes",'Who Engaged'!$M$5:$M$1004,1))</f>
        <v/>
      </c>
      <c r="V164" s="22" t="str">
        <f aca="false">IF(OR(A164="",B164="",C164=""),"",COUNTIFS('Who Engaged'!$C$5:$C$1004,C164,'Who Engaged'!$O$5:$O$1004,"Yes",'Who Engaged'!$L$5:$L$1004,1))</f>
        <v/>
      </c>
      <c r="W164" s="25" t="str">
        <f aca="false" t="array" ref="W164:W164">IF(OR(A164="",B164="",C164=""),"",_xlfn.TEXTJOIN("; ",TRUE(),IF(('Who Engaged'!$C$5:$C$1004=C164)*('Who Engaged'!$O$5:$O$1004="Yes"),'Who Engaged'!$D$5:$D$1004&amp;" – "&amp;'Who Engaged'!$F$5:$F$1004&amp;IF('Who Engaged'!$L$5:$L$1004=1," (followed)",""),"")))</f>
        <v/>
      </c>
      <c r="X164" s="26"/>
      <c r="Y164" s="26"/>
      <c r="Z164" s="27"/>
      <c r="AA164" s="24" t="str">
        <f aca="false">IF(OR(A164="",B164="",C164=""),"","https://www.alphanodus.com/contact?utm_source="&amp;IF(B164="X","twitter",LOWER(B164))&amp;"&amp;utm_medium=social&amp;utm_campaign="&amp;IF(E164="","general",LOWER(SUBSTITUTE(SUBSTITUTE(E164," / ","-")," ","-")))&amp;"&amp;utm_content="&amp;LOWER(C164))</f>
        <v/>
      </c>
    </row>
    <row r="165" customFormat="false" ht="15" hidden="false" customHeight="false" outlineLevel="0" collapsed="false">
      <c r="A165" s="28"/>
      <c r="B165" s="27"/>
      <c r="C165" s="27"/>
      <c r="D165" s="26"/>
      <c r="E165" s="27"/>
      <c r="F165" s="27"/>
      <c r="G165" s="27"/>
      <c r="H165" s="21"/>
      <c r="I165" s="21"/>
      <c r="J165" s="21"/>
      <c r="K165" s="21"/>
      <c r="L165" s="21"/>
      <c r="M165" s="21"/>
      <c r="N165" s="21"/>
      <c r="O165" s="21"/>
      <c r="P165" s="22" t="str">
        <f aca="false">IF(OR(A165="",B165="",C165=""),"",IF(COUNT(J165:N165)=0,"",SUM(J165:N165)))</f>
        <v/>
      </c>
      <c r="Q165" s="22" t="str">
        <f aca="false">IF(OR(A165="",B165="",C165=""),"",SUMIFS('Who Engaged'!$H$5:$H$1004,'Who Engaged'!$C$5:$C$1004,C165,'Who Engaged'!$N$5:$N$1004,"Yes")+SUMIFS('Who Engaged'!$I$5:$I$1004,'Who Engaged'!$C$5:$C$1004,C165,'Who Engaged'!$N$5:$N$1004,"Yes")+SUMIFS('Who Engaged'!$J$5:$J$1004,'Who Engaged'!$C$5:$C$1004,C165,'Who Engaged'!$N$5:$N$1004,"Yes")+SUMIFS('Who Engaged'!$K$5:$K$1004,'Who Engaged'!$C$5:$C$1004,C165,'Who Engaged'!$N$5:$N$1004,"Yes"))</f>
        <v/>
      </c>
      <c r="R165" s="22" t="str">
        <f aca="false">IF(OR(OR(A165="",B165="",C165=""),P165=""),"",MAX(0,P165-N(Q165)))</f>
        <v/>
      </c>
      <c r="S165" s="23" t="str">
        <f aca="false">IF(OR(OR(A165="",B165="",C165=""),R165=""),"",IFERROR(R165/(IF(N(H165)&gt;0,H165,IF(N(I165)&gt;0,I165,IF(COUNTIFS($B$16:$B$215,B165,$H$16:$H$215,"&gt;0")+COUNTIFS($B$16:$B$215,B165,$I$16:$I$215,"&gt;0")&gt;0,"",INDEX($B$5:$B$7,MATCH(B165,$A$5:$A$7,0)))))),""))</f>
        <v/>
      </c>
      <c r="T165" s="24" t="str">
        <f aca="false">IF(OR(A165="",B165="",C165=""),"",IF(OR(S165="",COUNTIFS($B$16:$B$215,B165,$S$16:$S$215,"&gt;=0")&lt;2),"No Data Yet",IFERROR(IF(S165/AVERAGEIFS($S$16:$S$215,$B$16:$B$215,B165)&gt;=1.2,"Good",IF(S165/AVERAGEIFS($S$16:$S$215,$B$16:$B$215,B165)&gt;=0.8,"Average","Below Standard")),"Average")))</f>
        <v/>
      </c>
      <c r="U165" s="22" t="str">
        <f aca="false">IF(OR(A165="",B165="",C165=""),"",COUNTIFS('Who Engaged'!$C$5:$C$1004,C165,'Who Engaged'!$O$5:$O$1004,"Yes",'Who Engaged'!$M$5:$M$1004,1))</f>
        <v/>
      </c>
      <c r="V165" s="22" t="str">
        <f aca="false">IF(OR(A165="",B165="",C165=""),"",COUNTIFS('Who Engaged'!$C$5:$C$1004,C165,'Who Engaged'!$O$5:$O$1004,"Yes",'Who Engaged'!$L$5:$L$1004,1))</f>
        <v/>
      </c>
      <c r="W165" s="25" t="str">
        <f aca="false" t="array" ref="W165:W165">IF(OR(A165="",B165="",C165=""),"",_xlfn.TEXTJOIN("; ",TRUE(),IF(('Who Engaged'!$C$5:$C$1004=C165)*('Who Engaged'!$O$5:$O$1004="Yes"),'Who Engaged'!$D$5:$D$1004&amp;" – "&amp;'Who Engaged'!$F$5:$F$1004&amp;IF('Who Engaged'!$L$5:$L$1004=1," (followed)",""),"")))</f>
        <v/>
      </c>
      <c r="X165" s="26"/>
      <c r="Y165" s="26"/>
      <c r="Z165" s="27"/>
      <c r="AA165" s="24" t="str">
        <f aca="false">IF(OR(A165="",B165="",C165=""),"","https://www.alphanodus.com/contact?utm_source="&amp;IF(B165="X","twitter",LOWER(B165))&amp;"&amp;utm_medium=social&amp;utm_campaign="&amp;IF(E165="","general",LOWER(SUBSTITUTE(SUBSTITUTE(E165," / ","-")," ","-")))&amp;"&amp;utm_content="&amp;LOWER(C165))</f>
        <v/>
      </c>
    </row>
    <row r="166" customFormat="false" ht="15" hidden="false" customHeight="false" outlineLevel="0" collapsed="false">
      <c r="A166" s="28"/>
      <c r="B166" s="27"/>
      <c r="C166" s="27"/>
      <c r="D166" s="26"/>
      <c r="E166" s="27"/>
      <c r="F166" s="27"/>
      <c r="G166" s="27"/>
      <c r="H166" s="21"/>
      <c r="I166" s="21"/>
      <c r="J166" s="21"/>
      <c r="K166" s="21"/>
      <c r="L166" s="21"/>
      <c r="M166" s="21"/>
      <c r="N166" s="21"/>
      <c r="O166" s="21"/>
      <c r="P166" s="22" t="str">
        <f aca="false">IF(OR(A166="",B166="",C166=""),"",IF(COUNT(J166:N166)=0,"",SUM(J166:N166)))</f>
        <v/>
      </c>
      <c r="Q166" s="22" t="str">
        <f aca="false">IF(OR(A166="",B166="",C166=""),"",SUMIFS('Who Engaged'!$H$5:$H$1004,'Who Engaged'!$C$5:$C$1004,C166,'Who Engaged'!$N$5:$N$1004,"Yes")+SUMIFS('Who Engaged'!$I$5:$I$1004,'Who Engaged'!$C$5:$C$1004,C166,'Who Engaged'!$N$5:$N$1004,"Yes")+SUMIFS('Who Engaged'!$J$5:$J$1004,'Who Engaged'!$C$5:$C$1004,C166,'Who Engaged'!$N$5:$N$1004,"Yes")+SUMIFS('Who Engaged'!$K$5:$K$1004,'Who Engaged'!$C$5:$C$1004,C166,'Who Engaged'!$N$5:$N$1004,"Yes"))</f>
        <v/>
      </c>
      <c r="R166" s="22" t="str">
        <f aca="false">IF(OR(OR(A166="",B166="",C166=""),P166=""),"",MAX(0,P166-N(Q166)))</f>
        <v/>
      </c>
      <c r="S166" s="23" t="str">
        <f aca="false">IF(OR(OR(A166="",B166="",C166=""),R166=""),"",IFERROR(R166/(IF(N(H166)&gt;0,H166,IF(N(I166)&gt;0,I166,IF(COUNTIFS($B$16:$B$215,B166,$H$16:$H$215,"&gt;0")+COUNTIFS($B$16:$B$215,B166,$I$16:$I$215,"&gt;0")&gt;0,"",INDEX($B$5:$B$7,MATCH(B166,$A$5:$A$7,0)))))),""))</f>
        <v/>
      </c>
      <c r="T166" s="24" t="str">
        <f aca="false">IF(OR(A166="",B166="",C166=""),"",IF(OR(S166="",COUNTIFS($B$16:$B$215,B166,$S$16:$S$215,"&gt;=0")&lt;2),"No Data Yet",IFERROR(IF(S166/AVERAGEIFS($S$16:$S$215,$B$16:$B$215,B166)&gt;=1.2,"Good",IF(S166/AVERAGEIFS($S$16:$S$215,$B$16:$B$215,B166)&gt;=0.8,"Average","Below Standard")),"Average")))</f>
        <v/>
      </c>
      <c r="U166" s="22" t="str">
        <f aca="false">IF(OR(A166="",B166="",C166=""),"",COUNTIFS('Who Engaged'!$C$5:$C$1004,C166,'Who Engaged'!$O$5:$O$1004,"Yes",'Who Engaged'!$M$5:$M$1004,1))</f>
        <v/>
      </c>
      <c r="V166" s="22" t="str">
        <f aca="false">IF(OR(A166="",B166="",C166=""),"",COUNTIFS('Who Engaged'!$C$5:$C$1004,C166,'Who Engaged'!$O$5:$O$1004,"Yes",'Who Engaged'!$L$5:$L$1004,1))</f>
        <v/>
      </c>
      <c r="W166" s="25" t="str">
        <f aca="false" t="array" ref="W166:W166">IF(OR(A166="",B166="",C166=""),"",_xlfn.TEXTJOIN("; ",TRUE(),IF(('Who Engaged'!$C$5:$C$1004=C166)*('Who Engaged'!$O$5:$O$1004="Yes"),'Who Engaged'!$D$5:$D$1004&amp;" – "&amp;'Who Engaged'!$F$5:$F$1004&amp;IF('Who Engaged'!$L$5:$L$1004=1," (followed)",""),"")))</f>
        <v/>
      </c>
      <c r="X166" s="26"/>
      <c r="Y166" s="26"/>
      <c r="Z166" s="27"/>
      <c r="AA166" s="24" t="str">
        <f aca="false">IF(OR(A166="",B166="",C166=""),"","https://www.alphanodus.com/contact?utm_source="&amp;IF(B166="X","twitter",LOWER(B166))&amp;"&amp;utm_medium=social&amp;utm_campaign="&amp;IF(E166="","general",LOWER(SUBSTITUTE(SUBSTITUTE(E166," / ","-")," ","-")))&amp;"&amp;utm_content="&amp;LOWER(C166))</f>
        <v/>
      </c>
    </row>
    <row r="167" customFormat="false" ht="15" hidden="false" customHeight="false" outlineLevel="0" collapsed="false">
      <c r="A167" s="28"/>
      <c r="B167" s="27"/>
      <c r="C167" s="27"/>
      <c r="D167" s="26"/>
      <c r="E167" s="27"/>
      <c r="F167" s="27"/>
      <c r="G167" s="27"/>
      <c r="H167" s="21"/>
      <c r="I167" s="21"/>
      <c r="J167" s="21"/>
      <c r="K167" s="21"/>
      <c r="L167" s="21"/>
      <c r="M167" s="21"/>
      <c r="N167" s="21"/>
      <c r="O167" s="21"/>
      <c r="P167" s="22" t="str">
        <f aca="false">IF(OR(A167="",B167="",C167=""),"",IF(COUNT(J167:N167)=0,"",SUM(J167:N167)))</f>
        <v/>
      </c>
      <c r="Q167" s="22" t="str">
        <f aca="false">IF(OR(A167="",B167="",C167=""),"",SUMIFS('Who Engaged'!$H$5:$H$1004,'Who Engaged'!$C$5:$C$1004,C167,'Who Engaged'!$N$5:$N$1004,"Yes")+SUMIFS('Who Engaged'!$I$5:$I$1004,'Who Engaged'!$C$5:$C$1004,C167,'Who Engaged'!$N$5:$N$1004,"Yes")+SUMIFS('Who Engaged'!$J$5:$J$1004,'Who Engaged'!$C$5:$C$1004,C167,'Who Engaged'!$N$5:$N$1004,"Yes")+SUMIFS('Who Engaged'!$K$5:$K$1004,'Who Engaged'!$C$5:$C$1004,C167,'Who Engaged'!$N$5:$N$1004,"Yes"))</f>
        <v/>
      </c>
      <c r="R167" s="22" t="str">
        <f aca="false">IF(OR(OR(A167="",B167="",C167=""),P167=""),"",MAX(0,P167-N(Q167)))</f>
        <v/>
      </c>
      <c r="S167" s="23" t="str">
        <f aca="false">IF(OR(OR(A167="",B167="",C167=""),R167=""),"",IFERROR(R167/(IF(N(H167)&gt;0,H167,IF(N(I167)&gt;0,I167,IF(COUNTIFS($B$16:$B$215,B167,$H$16:$H$215,"&gt;0")+COUNTIFS($B$16:$B$215,B167,$I$16:$I$215,"&gt;0")&gt;0,"",INDEX($B$5:$B$7,MATCH(B167,$A$5:$A$7,0)))))),""))</f>
        <v/>
      </c>
      <c r="T167" s="24" t="str">
        <f aca="false">IF(OR(A167="",B167="",C167=""),"",IF(OR(S167="",COUNTIFS($B$16:$B$215,B167,$S$16:$S$215,"&gt;=0")&lt;2),"No Data Yet",IFERROR(IF(S167/AVERAGEIFS($S$16:$S$215,$B$16:$B$215,B167)&gt;=1.2,"Good",IF(S167/AVERAGEIFS($S$16:$S$215,$B$16:$B$215,B167)&gt;=0.8,"Average","Below Standard")),"Average")))</f>
        <v/>
      </c>
      <c r="U167" s="22" t="str">
        <f aca="false">IF(OR(A167="",B167="",C167=""),"",COUNTIFS('Who Engaged'!$C$5:$C$1004,C167,'Who Engaged'!$O$5:$O$1004,"Yes",'Who Engaged'!$M$5:$M$1004,1))</f>
        <v/>
      </c>
      <c r="V167" s="22" t="str">
        <f aca="false">IF(OR(A167="",B167="",C167=""),"",COUNTIFS('Who Engaged'!$C$5:$C$1004,C167,'Who Engaged'!$O$5:$O$1004,"Yes",'Who Engaged'!$L$5:$L$1004,1))</f>
        <v/>
      </c>
      <c r="W167" s="25" t="str">
        <f aca="false" t="array" ref="W167:W167">IF(OR(A167="",B167="",C167=""),"",_xlfn.TEXTJOIN("; ",TRUE(),IF(('Who Engaged'!$C$5:$C$1004=C167)*('Who Engaged'!$O$5:$O$1004="Yes"),'Who Engaged'!$D$5:$D$1004&amp;" – "&amp;'Who Engaged'!$F$5:$F$1004&amp;IF('Who Engaged'!$L$5:$L$1004=1," (followed)",""),"")))</f>
        <v/>
      </c>
      <c r="X167" s="26"/>
      <c r="Y167" s="26"/>
      <c r="Z167" s="27"/>
      <c r="AA167" s="24" t="str">
        <f aca="false">IF(OR(A167="",B167="",C167=""),"","https://www.alphanodus.com/contact?utm_source="&amp;IF(B167="X","twitter",LOWER(B167))&amp;"&amp;utm_medium=social&amp;utm_campaign="&amp;IF(E167="","general",LOWER(SUBSTITUTE(SUBSTITUTE(E167," / ","-")," ","-")))&amp;"&amp;utm_content="&amp;LOWER(C167))</f>
        <v/>
      </c>
    </row>
    <row r="168" customFormat="false" ht="15" hidden="false" customHeight="false" outlineLevel="0" collapsed="false">
      <c r="A168" s="28"/>
      <c r="B168" s="27"/>
      <c r="C168" s="27"/>
      <c r="D168" s="26"/>
      <c r="E168" s="27"/>
      <c r="F168" s="27"/>
      <c r="G168" s="27"/>
      <c r="H168" s="21"/>
      <c r="I168" s="21"/>
      <c r="J168" s="21"/>
      <c r="K168" s="21"/>
      <c r="L168" s="21"/>
      <c r="M168" s="21"/>
      <c r="N168" s="21"/>
      <c r="O168" s="21"/>
      <c r="P168" s="22" t="str">
        <f aca="false">IF(OR(A168="",B168="",C168=""),"",IF(COUNT(J168:N168)=0,"",SUM(J168:N168)))</f>
        <v/>
      </c>
      <c r="Q168" s="22" t="str">
        <f aca="false">IF(OR(A168="",B168="",C168=""),"",SUMIFS('Who Engaged'!$H$5:$H$1004,'Who Engaged'!$C$5:$C$1004,C168,'Who Engaged'!$N$5:$N$1004,"Yes")+SUMIFS('Who Engaged'!$I$5:$I$1004,'Who Engaged'!$C$5:$C$1004,C168,'Who Engaged'!$N$5:$N$1004,"Yes")+SUMIFS('Who Engaged'!$J$5:$J$1004,'Who Engaged'!$C$5:$C$1004,C168,'Who Engaged'!$N$5:$N$1004,"Yes")+SUMIFS('Who Engaged'!$K$5:$K$1004,'Who Engaged'!$C$5:$C$1004,C168,'Who Engaged'!$N$5:$N$1004,"Yes"))</f>
        <v/>
      </c>
      <c r="R168" s="22" t="str">
        <f aca="false">IF(OR(OR(A168="",B168="",C168=""),P168=""),"",MAX(0,P168-N(Q168)))</f>
        <v/>
      </c>
      <c r="S168" s="23" t="str">
        <f aca="false">IF(OR(OR(A168="",B168="",C168=""),R168=""),"",IFERROR(R168/(IF(N(H168)&gt;0,H168,IF(N(I168)&gt;0,I168,IF(COUNTIFS($B$16:$B$215,B168,$H$16:$H$215,"&gt;0")+COUNTIFS($B$16:$B$215,B168,$I$16:$I$215,"&gt;0")&gt;0,"",INDEX($B$5:$B$7,MATCH(B168,$A$5:$A$7,0)))))),""))</f>
        <v/>
      </c>
      <c r="T168" s="24" t="str">
        <f aca="false">IF(OR(A168="",B168="",C168=""),"",IF(OR(S168="",COUNTIFS($B$16:$B$215,B168,$S$16:$S$215,"&gt;=0")&lt;2),"No Data Yet",IFERROR(IF(S168/AVERAGEIFS($S$16:$S$215,$B$16:$B$215,B168)&gt;=1.2,"Good",IF(S168/AVERAGEIFS($S$16:$S$215,$B$16:$B$215,B168)&gt;=0.8,"Average","Below Standard")),"Average")))</f>
        <v/>
      </c>
      <c r="U168" s="22" t="str">
        <f aca="false">IF(OR(A168="",B168="",C168=""),"",COUNTIFS('Who Engaged'!$C$5:$C$1004,C168,'Who Engaged'!$O$5:$O$1004,"Yes",'Who Engaged'!$M$5:$M$1004,1))</f>
        <v/>
      </c>
      <c r="V168" s="22" t="str">
        <f aca="false">IF(OR(A168="",B168="",C168=""),"",COUNTIFS('Who Engaged'!$C$5:$C$1004,C168,'Who Engaged'!$O$5:$O$1004,"Yes",'Who Engaged'!$L$5:$L$1004,1))</f>
        <v/>
      </c>
      <c r="W168" s="25" t="str">
        <f aca="false" t="array" ref="W168:W168">IF(OR(A168="",B168="",C168=""),"",_xlfn.TEXTJOIN("; ",TRUE(),IF(('Who Engaged'!$C$5:$C$1004=C168)*('Who Engaged'!$O$5:$O$1004="Yes"),'Who Engaged'!$D$5:$D$1004&amp;" – "&amp;'Who Engaged'!$F$5:$F$1004&amp;IF('Who Engaged'!$L$5:$L$1004=1," (followed)",""),"")))</f>
        <v/>
      </c>
      <c r="X168" s="26"/>
      <c r="Y168" s="26"/>
      <c r="Z168" s="27"/>
      <c r="AA168" s="24" t="str">
        <f aca="false">IF(OR(A168="",B168="",C168=""),"","https://www.alphanodus.com/contact?utm_source="&amp;IF(B168="X","twitter",LOWER(B168))&amp;"&amp;utm_medium=social&amp;utm_campaign="&amp;IF(E168="","general",LOWER(SUBSTITUTE(SUBSTITUTE(E168," / ","-")," ","-")))&amp;"&amp;utm_content="&amp;LOWER(C168))</f>
        <v/>
      </c>
    </row>
    <row r="169" customFormat="false" ht="15" hidden="false" customHeight="false" outlineLevel="0" collapsed="false">
      <c r="A169" s="28"/>
      <c r="B169" s="27"/>
      <c r="C169" s="27"/>
      <c r="D169" s="26"/>
      <c r="E169" s="27"/>
      <c r="F169" s="27"/>
      <c r="G169" s="27"/>
      <c r="H169" s="21"/>
      <c r="I169" s="21"/>
      <c r="J169" s="21"/>
      <c r="K169" s="21"/>
      <c r="L169" s="21"/>
      <c r="M169" s="21"/>
      <c r="N169" s="21"/>
      <c r="O169" s="21"/>
      <c r="P169" s="22" t="str">
        <f aca="false">IF(OR(A169="",B169="",C169=""),"",IF(COUNT(J169:N169)=0,"",SUM(J169:N169)))</f>
        <v/>
      </c>
      <c r="Q169" s="22" t="str">
        <f aca="false">IF(OR(A169="",B169="",C169=""),"",SUMIFS('Who Engaged'!$H$5:$H$1004,'Who Engaged'!$C$5:$C$1004,C169,'Who Engaged'!$N$5:$N$1004,"Yes")+SUMIFS('Who Engaged'!$I$5:$I$1004,'Who Engaged'!$C$5:$C$1004,C169,'Who Engaged'!$N$5:$N$1004,"Yes")+SUMIFS('Who Engaged'!$J$5:$J$1004,'Who Engaged'!$C$5:$C$1004,C169,'Who Engaged'!$N$5:$N$1004,"Yes")+SUMIFS('Who Engaged'!$K$5:$K$1004,'Who Engaged'!$C$5:$C$1004,C169,'Who Engaged'!$N$5:$N$1004,"Yes"))</f>
        <v/>
      </c>
      <c r="R169" s="22" t="str">
        <f aca="false">IF(OR(OR(A169="",B169="",C169=""),P169=""),"",MAX(0,P169-N(Q169)))</f>
        <v/>
      </c>
      <c r="S169" s="23" t="str">
        <f aca="false">IF(OR(OR(A169="",B169="",C169=""),R169=""),"",IFERROR(R169/(IF(N(H169)&gt;0,H169,IF(N(I169)&gt;0,I169,IF(COUNTIFS($B$16:$B$215,B169,$H$16:$H$215,"&gt;0")+COUNTIFS($B$16:$B$215,B169,$I$16:$I$215,"&gt;0")&gt;0,"",INDEX($B$5:$B$7,MATCH(B169,$A$5:$A$7,0)))))),""))</f>
        <v/>
      </c>
      <c r="T169" s="24" t="str">
        <f aca="false">IF(OR(A169="",B169="",C169=""),"",IF(OR(S169="",COUNTIFS($B$16:$B$215,B169,$S$16:$S$215,"&gt;=0")&lt;2),"No Data Yet",IFERROR(IF(S169/AVERAGEIFS($S$16:$S$215,$B$16:$B$215,B169)&gt;=1.2,"Good",IF(S169/AVERAGEIFS($S$16:$S$215,$B$16:$B$215,B169)&gt;=0.8,"Average","Below Standard")),"Average")))</f>
        <v/>
      </c>
      <c r="U169" s="22" t="str">
        <f aca="false">IF(OR(A169="",B169="",C169=""),"",COUNTIFS('Who Engaged'!$C$5:$C$1004,C169,'Who Engaged'!$O$5:$O$1004,"Yes",'Who Engaged'!$M$5:$M$1004,1))</f>
        <v/>
      </c>
      <c r="V169" s="22" t="str">
        <f aca="false">IF(OR(A169="",B169="",C169=""),"",COUNTIFS('Who Engaged'!$C$5:$C$1004,C169,'Who Engaged'!$O$5:$O$1004,"Yes",'Who Engaged'!$L$5:$L$1004,1))</f>
        <v/>
      </c>
      <c r="W169" s="25" t="str">
        <f aca="false" t="array" ref="W169:W169">IF(OR(A169="",B169="",C169=""),"",_xlfn.TEXTJOIN("; ",TRUE(),IF(('Who Engaged'!$C$5:$C$1004=C169)*('Who Engaged'!$O$5:$O$1004="Yes"),'Who Engaged'!$D$5:$D$1004&amp;" – "&amp;'Who Engaged'!$F$5:$F$1004&amp;IF('Who Engaged'!$L$5:$L$1004=1," (followed)",""),"")))</f>
        <v/>
      </c>
      <c r="X169" s="26"/>
      <c r="Y169" s="26"/>
      <c r="Z169" s="27"/>
      <c r="AA169" s="24" t="str">
        <f aca="false">IF(OR(A169="",B169="",C169=""),"","https://www.alphanodus.com/contact?utm_source="&amp;IF(B169="X","twitter",LOWER(B169))&amp;"&amp;utm_medium=social&amp;utm_campaign="&amp;IF(E169="","general",LOWER(SUBSTITUTE(SUBSTITUTE(E169," / ","-")," ","-")))&amp;"&amp;utm_content="&amp;LOWER(C169))</f>
        <v/>
      </c>
    </row>
    <row r="170" customFormat="false" ht="15" hidden="false" customHeight="false" outlineLevel="0" collapsed="false">
      <c r="A170" s="28"/>
      <c r="B170" s="27"/>
      <c r="C170" s="27"/>
      <c r="D170" s="26"/>
      <c r="E170" s="27"/>
      <c r="F170" s="27"/>
      <c r="G170" s="27"/>
      <c r="H170" s="21"/>
      <c r="I170" s="21"/>
      <c r="J170" s="21"/>
      <c r="K170" s="21"/>
      <c r="L170" s="21"/>
      <c r="M170" s="21"/>
      <c r="N170" s="21"/>
      <c r="O170" s="21"/>
      <c r="P170" s="22" t="str">
        <f aca="false">IF(OR(A170="",B170="",C170=""),"",IF(COUNT(J170:N170)=0,"",SUM(J170:N170)))</f>
        <v/>
      </c>
      <c r="Q170" s="22" t="str">
        <f aca="false">IF(OR(A170="",B170="",C170=""),"",SUMIFS('Who Engaged'!$H$5:$H$1004,'Who Engaged'!$C$5:$C$1004,C170,'Who Engaged'!$N$5:$N$1004,"Yes")+SUMIFS('Who Engaged'!$I$5:$I$1004,'Who Engaged'!$C$5:$C$1004,C170,'Who Engaged'!$N$5:$N$1004,"Yes")+SUMIFS('Who Engaged'!$J$5:$J$1004,'Who Engaged'!$C$5:$C$1004,C170,'Who Engaged'!$N$5:$N$1004,"Yes")+SUMIFS('Who Engaged'!$K$5:$K$1004,'Who Engaged'!$C$5:$C$1004,C170,'Who Engaged'!$N$5:$N$1004,"Yes"))</f>
        <v/>
      </c>
      <c r="R170" s="22" t="str">
        <f aca="false">IF(OR(OR(A170="",B170="",C170=""),P170=""),"",MAX(0,P170-N(Q170)))</f>
        <v/>
      </c>
      <c r="S170" s="23" t="str">
        <f aca="false">IF(OR(OR(A170="",B170="",C170=""),R170=""),"",IFERROR(R170/(IF(N(H170)&gt;0,H170,IF(N(I170)&gt;0,I170,IF(COUNTIFS($B$16:$B$215,B170,$H$16:$H$215,"&gt;0")+COUNTIFS($B$16:$B$215,B170,$I$16:$I$215,"&gt;0")&gt;0,"",INDEX($B$5:$B$7,MATCH(B170,$A$5:$A$7,0)))))),""))</f>
        <v/>
      </c>
      <c r="T170" s="24" t="str">
        <f aca="false">IF(OR(A170="",B170="",C170=""),"",IF(OR(S170="",COUNTIFS($B$16:$B$215,B170,$S$16:$S$215,"&gt;=0")&lt;2),"No Data Yet",IFERROR(IF(S170/AVERAGEIFS($S$16:$S$215,$B$16:$B$215,B170)&gt;=1.2,"Good",IF(S170/AVERAGEIFS($S$16:$S$215,$B$16:$B$215,B170)&gt;=0.8,"Average","Below Standard")),"Average")))</f>
        <v/>
      </c>
      <c r="U170" s="22" t="str">
        <f aca="false">IF(OR(A170="",B170="",C170=""),"",COUNTIFS('Who Engaged'!$C$5:$C$1004,C170,'Who Engaged'!$O$5:$O$1004,"Yes",'Who Engaged'!$M$5:$M$1004,1))</f>
        <v/>
      </c>
      <c r="V170" s="22" t="str">
        <f aca="false">IF(OR(A170="",B170="",C170=""),"",COUNTIFS('Who Engaged'!$C$5:$C$1004,C170,'Who Engaged'!$O$5:$O$1004,"Yes",'Who Engaged'!$L$5:$L$1004,1))</f>
        <v/>
      </c>
      <c r="W170" s="25" t="str">
        <f aca="false" t="array" ref="W170:W170">IF(OR(A170="",B170="",C170=""),"",_xlfn.TEXTJOIN("; ",TRUE(),IF(('Who Engaged'!$C$5:$C$1004=C170)*('Who Engaged'!$O$5:$O$1004="Yes"),'Who Engaged'!$D$5:$D$1004&amp;" – "&amp;'Who Engaged'!$F$5:$F$1004&amp;IF('Who Engaged'!$L$5:$L$1004=1," (followed)",""),"")))</f>
        <v/>
      </c>
      <c r="X170" s="26"/>
      <c r="Y170" s="26"/>
      <c r="Z170" s="27"/>
      <c r="AA170" s="24" t="str">
        <f aca="false">IF(OR(A170="",B170="",C170=""),"","https://www.alphanodus.com/contact?utm_source="&amp;IF(B170="X","twitter",LOWER(B170))&amp;"&amp;utm_medium=social&amp;utm_campaign="&amp;IF(E170="","general",LOWER(SUBSTITUTE(SUBSTITUTE(E170," / ","-")," ","-")))&amp;"&amp;utm_content="&amp;LOWER(C170))</f>
        <v/>
      </c>
    </row>
    <row r="171" customFormat="false" ht="15" hidden="false" customHeight="false" outlineLevel="0" collapsed="false">
      <c r="A171" s="28"/>
      <c r="B171" s="27"/>
      <c r="C171" s="27"/>
      <c r="D171" s="26"/>
      <c r="E171" s="27"/>
      <c r="F171" s="27"/>
      <c r="G171" s="27"/>
      <c r="H171" s="21"/>
      <c r="I171" s="21"/>
      <c r="J171" s="21"/>
      <c r="K171" s="21"/>
      <c r="L171" s="21"/>
      <c r="M171" s="21"/>
      <c r="N171" s="21"/>
      <c r="O171" s="21"/>
      <c r="P171" s="22" t="str">
        <f aca="false">IF(OR(A171="",B171="",C171=""),"",IF(COUNT(J171:N171)=0,"",SUM(J171:N171)))</f>
        <v/>
      </c>
      <c r="Q171" s="22" t="str">
        <f aca="false">IF(OR(A171="",B171="",C171=""),"",SUMIFS('Who Engaged'!$H$5:$H$1004,'Who Engaged'!$C$5:$C$1004,C171,'Who Engaged'!$N$5:$N$1004,"Yes")+SUMIFS('Who Engaged'!$I$5:$I$1004,'Who Engaged'!$C$5:$C$1004,C171,'Who Engaged'!$N$5:$N$1004,"Yes")+SUMIFS('Who Engaged'!$J$5:$J$1004,'Who Engaged'!$C$5:$C$1004,C171,'Who Engaged'!$N$5:$N$1004,"Yes")+SUMIFS('Who Engaged'!$K$5:$K$1004,'Who Engaged'!$C$5:$C$1004,C171,'Who Engaged'!$N$5:$N$1004,"Yes"))</f>
        <v/>
      </c>
      <c r="R171" s="22" t="str">
        <f aca="false">IF(OR(OR(A171="",B171="",C171=""),P171=""),"",MAX(0,P171-N(Q171)))</f>
        <v/>
      </c>
      <c r="S171" s="23" t="str">
        <f aca="false">IF(OR(OR(A171="",B171="",C171=""),R171=""),"",IFERROR(R171/(IF(N(H171)&gt;0,H171,IF(N(I171)&gt;0,I171,IF(COUNTIFS($B$16:$B$215,B171,$H$16:$H$215,"&gt;0")+COUNTIFS($B$16:$B$215,B171,$I$16:$I$215,"&gt;0")&gt;0,"",INDEX($B$5:$B$7,MATCH(B171,$A$5:$A$7,0)))))),""))</f>
        <v/>
      </c>
      <c r="T171" s="24" t="str">
        <f aca="false">IF(OR(A171="",B171="",C171=""),"",IF(OR(S171="",COUNTIFS($B$16:$B$215,B171,$S$16:$S$215,"&gt;=0")&lt;2),"No Data Yet",IFERROR(IF(S171/AVERAGEIFS($S$16:$S$215,$B$16:$B$215,B171)&gt;=1.2,"Good",IF(S171/AVERAGEIFS($S$16:$S$215,$B$16:$B$215,B171)&gt;=0.8,"Average","Below Standard")),"Average")))</f>
        <v/>
      </c>
      <c r="U171" s="22" t="str">
        <f aca="false">IF(OR(A171="",B171="",C171=""),"",COUNTIFS('Who Engaged'!$C$5:$C$1004,C171,'Who Engaged'!$O$5:$O$1004,"Yes",'Who Engaged'!$M$5:$M$1004,1))</f>
        <v/>
      </c>
      <c r="V171" s="22" t="str">
        <f aca="false">IF(OR(A171="",B171="",C171=""),"",COUNTIFS('Who Engaged'!$C$5:$C$1004,C171,'Who Engaged'!$O$5:$O$1004,"Yes",'Who Engaged'!$L$5:$L$1004,1))</f>
        <v/>
      </c>
      <c r="W171" s="25" t="str">
        <f aca="false" t="array" ref="W171:W171">IF(OR(A171="",B171="",C171=""),"",_xlfn.TEXTJOIN("; ",TRUE(),IF(('Who Engaged'!$C$5:$C$1004=C171)*('Who Engaged'!$O$5:$O$1004="Yes"),'Who Engaged'!$D$5:$D$1004&amp;" – "&amp;'Who Engaged'!$F$5:$F$1004&amp;IF('Who Engaged'!$L$5:$L$1004=1," (followed)",""),"")))</f>
        <v/>
      </c>
      <c r="X171" s="26"/>
      <c r="Y171" s="26"/>
      <c r="Z171" s="27"/>
      <c r="AA171" s="24" t="str">
        <f aca="false">IF(OR(A171="",B171="",C171=""),"","https://www.alphanodus.com/contact?utm_source="&amp;IF(B171="X","twitter",LOWER(B171))&amp;"&amp;utm_medium=social&amp;utm_campaign="&amp;IF(E171="","general",LOWER(SUBSTITUTE(SUBSTITUTE(E171," / ","-")," ","-")))&amp;"&amp;utm_content="&amp;LOWER(C171))</f>
        <v/>
      </c>
    </row>
    <row r="172" customFormat="false" ht="15" hidden="false" customHeight="false" outlineLevel="0" collapsed="false">
      <c r="A172" s="28"/>
      <c r="B172" s="27"/>
      <c r="C172" s="27"/>
      <c r="D172" s="26"/>
      <c r="E172" s="27"/>
      <c r="F172" s="27"/>
      <c r="G172" s="27"/>
      <c r="H172" s="21"/>
      <c r="I172" s="21"/>
      <c r="J172" s="21"/>
      <c r="K172" s="21"/>
      <c r="L172" s="21"/>
      <c r="M172" s="21"/>
      <c r="N172" s="21"/>
      <c r="O172" s="21"/>
      <c r="P172" s="22" t="str">
        <f aca="false">IF(OR(A172="",B172="",C172=""),"",IF(COUNT(J172:N172)=0,"",SUM(J172:N172)))</f>
        <v/>
      </c>
      <c r="Q172" s="22" t="str">
        <f aca="false">IF(OR(A172="",B172="",C172=""),"",SUMIFS('Who Engaged'!$H$5:$H$1004,'Who Engaged'!$C$5:$C$1004,C172,'Who Engaged'!$N$5:$N$1004,"Yes")+SUMIFS('Who Engaged'!$I$5:$I$1004,'Who Engaged'!$C$5:$C$1004,C172,'Who Engaged'!$N$5:$N$1004,"Yes")+SUMIFS('Who Engaged'!$J$5:$J$1004,'Who Engaged'!$C$5:$C$1004,C172,'Who Engaged'!$N$5:$N$1004,"Yes")+SUMIFS('Who Engaged'!$K$5:$K$1004,'Who Engaged'!$C$5:$C$1004,C172,'Who Engaged'!$N$5:$N$1004,"Yes"))</f>
        <v/>
      </c>
      <c r="R172" s="22" t="str">
        <f aca="false">IF(OR(OR(A172="",B172="",C172=""),P172=""),"",MAX(0,P172-N(Q172)))</f>
        <v/>
      </c>
      <c r="S172" s="23" t="str">
        <f aca="false">IF(OR(OR(A172="",B172="",C172=""),R172=""),"",IFERROR(R172/(IF(N(H172)&gt;0,H172,IF(N(I172)&gt;0,I172,IF(COUNTIFS($B$16:$B$215,B172,$H$16:$H$215,"&gt;0")+COUNTIFS($B$16:$B$215,B172,$I$16:$I$215,"&gt;0")&gt;0,"",INDEX($B$5:$B$7,MATCH(B172,$A$5:$A$7,0)))))),""))</f>
        <v/>
      </c>
      <c r="T172" s="24" t="str">
        <f aca="false">IF(OR(A172="",B172="",C172=""),"",IF(OR(S172="",COUNTIFS($B$16:$B$215,B172,$S$16:$S$215,"&gt;=0")&lt;2),"No Data Yet",IFERROR(IF(S172/AVERAGEIFS($S$16:$S$215,$B$16:$B$215,B172)&gt;=1.2,"Good",IF(S172/AVERAGEIFS($S$16:$S$215,$B$16:$B$215,B172)&gt;=0.8,"Average","Below Standard")),"Average")))</f>
        <v/>
      </c>
      <c r="U172" s="22" t="str">
        <f aca="false">IF(OR(A172="",B172="",C172=""),"",COUNTIFS('Who Engaged'!$C$5:$C$1004,C172,'Who Engaged'!$O$5:$O$1004,"Yes",'Who Engaged'!$M$5:$M$1004,1))</f>
        <v/>
      </c>
      <c r="V172" s="22" t="str">
        <f aca="false">IF(OR(A172="",B172="",C172=""),"",COUNTIFS('Who Engaged'!$C$5:$C$1004,C172,'Who Engaged'!$O$5:$O$1004,"Yes",'Who Engaged'!$L$5:$L$1004,1))</f>
        <v/>
      </c>
      <c r="W172" s="25" t="str">
        <f aca="false" t="array" ref="W172:W172">IF(OR(A172="",B172="",C172=""),"",_xlfn.TEXTJOIN("; ",TRUE(),IF(('Who Engaged'!$C$5:$C$1004=C172)*('Who Engaged'!$O$5:$O$1004="Yes"),'Who Engaged'!$D$5:$D$1004&amp;" – "&amp;'Who Engaged'!$F$5:$F$1004&amp;IF('Who Engaged'!$L$5:$L$1004=1," (followed)",""),"")))</f>
        <v/>
      </c>
      <c r="X172" s="26"/>
      <c r="Y172" s="26"/>
      <c r="Z172" s="27"/>
      <c r="AA172" s="24" t="str">
        <f aca="false">IF(OR(A172="",B172="",C172=""),"","https://www.alphanodus.com/contact?utm_source="&amp;IF(B172="X","twitter",LOWER(B172))&amp;"&amp;utm_medium=social&amp;utm_campaign="&amp;IF(E172="","general",LOWER(SUBSTITUTE(SUBSTITUTE(E172," / ","-")," ","-")))&amp;"&amp;utm_content="&amp;LOWER(C172))</f>
        <v/>
      </c>
    </row>
    <row r="173" customFormat="false" ht="15" hidden="false" customHeight="false" outlineLevel="0" collapsed="false">
      <c r="A173" s="28"/>
      <c r="B173" s="27"/>
      <c r="C173" s="27"/>
      <c r="D173" s="26"/>
      <c r="E173" s="27"/>
      <c r="F173" s="27"/>
      <c r="G173" s="27"/>
      <c r="H173" s="21"/>
      <c r="I173" s="21"/>
      <c r="J173" s="21"/>
      <c r="K173" s="21"/>
      <c r="L173" s="21"/>
      <c r="M173" s="21"/>
      <c r="N173" s="21"/>
      <c r="O173" s="21"/>
      <c r="P173" s="22" t="str">
        <f aca="false">IF(OR(A173="",B173="",C173=""),"",IF(COUNT(J173:N173)=0,"",SUM(J173:N173)))</f>
        <v/>
      </c>
      <c r="Q173" s="22" t="str">
        <f aca="false">IF(OR(A173="",B173="",C173=""),"",SUMIFS('Who Engaged'!$H$5:$H$1004,'Who Engaged'!$C$5:$C$1004,C173,'Who Engaged'!$N$5:$N$1004,"Yes")+SUMIFS('Who Engaged'!$I$5:$I$1004,'Who Engaged'!$C$5:$C$1004,C173,'Who Engaged'!$N$5:$N$1004,"Yes")+SUMIFS('Who Engaged'!$J$5:$J$1004,'Who Engaged'!$C$5:$C$1004,C173,'Who Engaged'!$N$5:$N$1004,"Yes")+SUMIFS('Who Engaged'!$K$5:$K$1004,'Who Engaged'!$C$5:$C$1004,C173,'Who Engaged'!$N$5:$N$1004,"Yes"))</f>
        <v/>
      </c>
      <c r="R173" s="22" t="str">
        <f aca="false">IF(OR(OR(A173="",B173="",C173=""),P173=""),"",MAX(0,P173-N(Q173)))</f>
        <v/>
      </c>
      <c r="S173" s="23" t="str">
        <f aca="false">IF(OR(OR(A173="",B173="",C173=""),R173=""),"",IFERROR(R173/(IF(N(H173)&gt;0,H173,IF(N(I173)&gt;0,I173,IF(COUNTIFS($B$16:$B$215,B173,$H$16:$H$215,"&gt;0")+COUNTIFS($B$16:$B$215,B173,$I$16:$I$215,"&gt;0")&gt;0,"",INDEX($B$5:$B$7,MATCH(B173,$A$5:$A$7,0)))))),""))</f>
        <v/>
      </c>
      <c r="T173" s="24" t="str">
        <f aca="false">IF(OR(A173="",B173="",C173=""),"",IF(OR(S173="",COUNTIFS($B$16:$B$215,B173,$S$16:$S$215,"&gt;=0")&lt;2),"No Data Yet",IFERROR(IF(S173/AVERAGEIFS($S$16:$S$215,$B$16:$B$215,B173)&gt;=1.2,"Good",IF(S173/AVERAGEIFS($S$16:$S$215,$B$16:$B$215,B173)&gt;=0.8,"Average","Below Standard")),"Average")))</f>
        <v/>
      </c>
      <c r="U173" s="22" t="str">
        <f aca="false">IF(OR(A173="",B173="",C173=""),"",COUNTIFS('Who Engaged'!$C$5:$C$1004,C173,'Who Engaged'!$O$5:$O$1004,"Yes",'Who Engaged'!$M$5:$M$1004,1))</f>
        <v/>
      </c>
      <c r="V173" s="22" t="str">
        <f aca="false">IF(OR(A173="",B173="",C173=""),"",COUNTIFS('Who Engaged'!$C$5:$C$1004,C173,'Who Engaged'!$O$5:$O$1004,"Yes",'Who Engaged'!$L$5:$L$1004,1))</f>
        <v/>
      </c>
      <c r="W173" s="25" t="str">
        <f aca="false" t="array" ref="W173:W173">IF(OR(A173="",B173="",C173=""),"",_xlfn.TEXTJOIN("; ",TRUE(),IF(('Who Engaged'!$C$5:$C$1004=C173)*('Who Engaged'!$O$5:$O$1004="Yes"),'Who Engaged'!$D$5:$D$1004&amp;" – "&amp;'Who Engaged'!$F$5:$F$1004&amp;IF('Who Engaged'!$L$5:$L$1004=1," (followed)",""),"")))</f>
        <v/>
      </c>
      <c r="X173" s="26"/>
      <c r="Y173" s="26"/>
      <c r="Z173" s="27"/>
      <c r="AA173" s="24" t="str">
        <f aca="false">IF(OR(A173="",B173="",C173=""),"","https://www.alphanodus.com/contact?utm_source="&amp;IF(B173="X","twitter",LOWER(B173))&amp;"&amp;utm_medium=social&amp;utm_campaign="&amp;IF(E173="","general",LOWER(SUBSTITUTE(SUBSTITUTE(E173," / ","-")," ","-")))&amp;"&amp;utm_content="&amp;LOWER(C173))</f>
        <v/>
      </c>
    </row>
    <row r="174" customFormat="false" ht="15" hidden="false" customHeight="false" outlineLevel="0" collapsed="false">
      <c r="A174" s="28"/>
      <c r="B174" s="27"/>
      <c r="C174" s="27"/>
      <c r="D174" s="26"/>
      <c r="E174" s="27"/>
      <c r="F174" s="27"/>
      <c r="G174" s="27"/>
      <c r="H174" s="21"/>
      <c r="I174" s="21"/>
      <c r="J174" s="21"/>
      <c r="K174" s="21"/>
      <c r="L174" s="21"/>
      <c r="M174" s="21"/>
      <c r="N174" s="21"/>
      <c r="O174" s="21"/>
      <c r="P174" s="22" t="str">
        <f aca="false">IF(OR(A174="",B174="",C174=""),"",IF(COUNT(J174:N174)=0,"",SUM(J174:N174)))</f>
        <v/>
      </c>
      <c r="Q174" s="22" t="str">
        <f aca="false">IF(OR(A174="",B174="",C174=""),"",SUMIFS('Who Engaged'!$H$5:$H$1004,'Who Engaged'!$C$5:$C$1004,C174,'Who Engaged'!$N$5:$N$1004,"Yes")+SUMIFS('Who Engaged'!$I$5:$I$1004,'Who Engaged'!$C$5:$C$1004,C174,'Who Engaged'!$N$5:$N$1004,"Yes")+SUMIFS('Who Engaged'!$J$5:$J$1004,'Who Engaged'!$C$5:$C$1004,C174,'Who Engaged'!$N$5:$N$1004,"Yes")+SUMIFS('Who Engaged'!$K$5:$K$1004,'Who Engaged'!$C$5:$C$1004,C174,'Who Engaged'!$N$5:$N$1004,"Yes"))</f>
        <v/>
      </c>
      <c r="R174" s="22" t="str">
        <f aca="false">IF(OR(OR(A174="",B174="",C174=""),P174=""),"",MAX(0,P174-N(Q174)))</f>
        <v/>
      </c>
      <c r="S174" s="23" t="str">
        <f aca="false">IF(OR(OR(A174="",B174="",C174=""),R174=""),"",IFERROR(R174/(IF(N(H174)&gt;0,H174,IF(N(I174)&gt;0,I174,IF(COUNTIFS($B$16:$B$215,B174,$H$16:$H$215,"&gt;0")+COUNTIFS($B$16:$B$215,B174,$I$16:$I$215,"&gt;0")&gt;0,"",INDEX($B$5:$B$7,MATCH(B174,$A$5:$A$7,0)))))),""))</f>
        <v/>
      </c>
      <c r="T174" s="24" t="str">
        <f aca="false">IF(OR(A174="",B174="",C174=""),"",IF(OR(S174="",COUNTIFS($B$16:$B$215,B174,$S$16:$S$215,"&gt;=0")&lt;2),"No Data Yet",IFERROR(IF(S174/AVERAGEIFS($S$16:$S$215,$B$16:$B$215,B174)&gt;=1.2,"Good",IF(S174/AVERAGEIFS($S$16:$S$215,$B$16:$B$215,B174)&gt;=0.8,"Average","Below Standard")),"Average")))</f>
        <v/>
      </c>
      <c r="U174" s="22" t="str">
        <f aca="false">IF(OR(A174="",B174="",C174=""),"",COUNTIFS('Who Engaged'!$C$5:$C$1004,C174,'Who Engaged'!$O$5:$O$1004,"Yes",'Who Engaged'!$M$5:$M$1004,1))</f>
        <v/>
      </c>
      <c r="V174" s="22" t="str">
        <f aca="false">IF(OR(A174="",B174="",C174=""),"",COUNTIFS('Who Engaged'!$C$5:$C$1004,C174,'Who Engaged'!$O$5:$O$1004,"Yes",'Who Engaged'!$L$5:$L$1004,1))</f>
        <v/>
      </c>
      <c r="W174" s="25" t="str">
        <f aca="false" t="array" ref="W174:W174">IF(OR(A174="",B174="",C174=""),"",_xlfn.TEXTJOIN("; ",TRUE(),IF(('Who Engaged'!$C$5:$C$1004=C174)*('Who Engaged'!$O$5:$O$1004="Yes"),'Who Engaged'!$D$5:$D$1004&amp;" – "&amp;'Who Engaged'!$F$5:$F$1004&amp;IF('Who Engaged'!$L$5:$L$1004=1," (followed)",""),"")))</f>
        <v/>
      </c>
      <c r="X174" s="26"/>
      <c r="Y174" s="26"/>
      <c r="Z174" s="27"/>
      <c r="AA174" s="24" t="str">
        <f aca="false">IF(OR(A174="",B174="",C174=""),"","https://www.alphanodus.com/contact?utm_source="&amp;IF(B174="X","twitter",LOWER(B174))&amp;"&amp;utm_medium=social&amp;utm_campaign="&amp;IF(E174="","general",LOWER(SUBSTITUTE(SUBSTITUTE(E174," / ","-")," ","-")))&amp;"&amp;utm_content="&amp;LOWER(C174))</f>
        <v/>
      </c>
    </row>
    <row r="175" customFormat="false" ht="15" hidden="false" customHeight="false" outlineLevel="0" collapsed="false">
      <c r="A175" s="28"/>
      <c r="B175" s="27"/>
      <c r="C175" s="27"/>
      <c r="D175" s="26"/>
      <c r="E175" s="27"/>
      <c r="F175" s="27"/>
      <c r="G175" s="27"/>
      <c r="H175" s="21"/>
      <c r="I175" s="21"/>
      <c r="J175" s="21"/>
      <c r="K175" s="21"/>
      <c r="L175" s="21"/>
      <c r="M175" s="21"/>
      <c r="N175" s="21"/>
      <c r="O175" s="21"/>
      <c r="P175" s="22" t="str">
        <f aca="false">IF(OR(A175="",B175="",C175=""),"",IF(COUNT(J175:N175)=0,"",SUM(J175:N175)))</f>
        <v/>
      </c>
      <c r="Q175" s="22" t="str">
        <f aca="false">IF(OR(A175="",B175="",C175=""),"",SUMIFS('Who Engaged'!$H$5:$H$1004,'Who Engaged'!$C$5:$C$1004,C175,'Who Engaged'!$N$5:$N$1004,"Yes")+SUMIFS('Who Engaged'!$I$5:$I$1004,'Who Engaged'!$C$5:$C$1004,C175,'Who Engaged'!$N$5:$N$1004,"Yes")+SUMIFS('Who Engaged'!$J$5:$J$1004,'Who Engaged'!$C$5:$C$1004,C175,'Who Engaged'!$N$5:$N$1004,"Yes")+SUMIFS('Who Engaged'!$K$5:$K$1004,'Who Engaged'!$C$5:$C$1004,C175,'Who Engaged'!$N$5:$N$1004,"Yes"))</f>
        <v/>
      </c>
      <c r="R175" s="22" t="str">
        <f aca="false">IF(OR(OR(A175="",B175="",C175=""),P175=""),"",MAX(0,P175-N(Q175)))</f>
        <v/>
      </c>
      <c r="S175" s="23" t="str">
        <f aca="false">IF(OR(OR(A175="",B175="",C175=""),R175=""),"",IFERROR(R175/(IF(N(H175)&gt;0,H175,IF(N(I175)&gt;0,I175,IF(COUNTIFS($B$16:$B$215,B175,$H$16:$H$215,"&gt;0")+COUNTIFS($B$16:$B$215,B175,$I$16:$I$215,"&gt;0")&gt;0,"",INDEX($B$5:$B$7,MATCH(B175,$A$5:$A$7,0)))))),""))</f>
        <v/>
      </c>
      <c r="T175" s="24" t="str">
        <f aca="false">IF(OR(A175="",B175="",C175=""),"",IF(OR(S175="",COUNTIFS($B$16:$B$215,B175,$S$16:$S$215,"&gt;=0")&lt;2),"No Data Yet",IFERROR(IF(S175/AVERAGEIFS($S$16:$S$215,$B$16:$B$215,B175)&gt;=1.2,"Good",IF(S175/AVERAGEIFS($S$16:$S$215,$B$16:$B$215,B175)&gt;=0.8,"Average","Below Standard")),"Average")))</f>
        <v/>
      </c>
      <c r="U175" s="22" t="str">
        <f aca="false">IF(OR(A175="",B175="",C175=""),"",COUNTIFS('Who Engaged'!$C$5:$C$1004,C175,'Who Engaged'!$O$5:$O$1004,"Yes",'Who Engaged'!$M$5:$M$1004,1))</f>
        <v/>
      </c>
      <c r="V175" s="22" t="str">
        <f aca="false">IF(OR(A175="",B175="",C175=""),"",COUNTIFS('Who Engaged'!$C$5:$C$1004,C175,'Who Engaged'!$O$5:$O$1004,"Yes",'Who Engaged'!$L$5:$L$1004,1))</f>
        <v/>
      </c>
      <c r="W175" s="25" t="str">
        <f aca="false" t="array" ref="W175:W175">IF(OR(A175="",B175="",C175=""),"",_xlfn.TEXTJOIN("; ",TRUE(),IF(('Who Engaged'!$C$5:$C$1004=C175)*('Who Engaged'!$O$5:$O$1004="Yes"),'Who Engaged'!$D$5:$D$1004&amp;" – "&amp;'Who Engaged'!$F$5:$F$1004&amp;IF('Who Engaged'!$L$5:$L$1004=1," (followed)",""),"")))</f>
        <v/>
      </c>
      <c r="X175" s="26"/>
      <c r="Y175" s="26"/>
      <c r="Z175" s="27"/>
      <c r="AA175" s="24" t="str">
        <f aca="false">IF(OR(A175="",B175="",C175=""),"","https://www.alphanodus.com/contact?utm_source="&amp;IF(B175="X","twitter",LOWER(B175))&amp;"&amp;utm_medium=social&amp;utm_campaign="&amp;IF(E175="","general",LOWER(SUBSTITUTE(SUBSTITUTE(E175," / ","-")," ","-")))&amp;"&amp;utm_content="&amp;LOWER(C175))</f>
        <v/>
      </c>
    </row>
    <row r="176" customFormat="false" ht="15" hidden="false" customHeight="false" outlineLevel="0" collapsed="false">
      <c r="A176" s="28"/>
      <c r="B176" s="27"/>
      <c r="C176" s="27"/>
      <c r="D176" s="26"/>
      <c r="E176" s="27"/>
      <c r="F176" s="27"/>
      <c r="G176" s="27"/>
      <c r="H176" s="21"/>
      <c r="I176" s="21"/>
      <c r="J176" s="21"/>
      <c r="K176" s="21"/>
      <c r="L176" s="21"/>
      <c r="M176" s="21"/>
      <c r="N176" s="21"/>
      <c r="O176" s="21"/>
      <c r="P176" s="22" t="str">
        <f aca="false">IF(OR(A176="",B176="",C176=""),"",IF(COUNT(J176:N176)=0,"",SUM(J176:N176)))</f>
        <v/>
      </c>
      <c r="Q176" s="22" t="str">
        <f aca="false">IF(OR(A176="",B176="",C176=""),"",SUMIFS('Who Engaged'!$H$5:$H$1004,'Who Engaged'!$C$5:$C$1004,C176,'Who Engaged'!$N$5:$N$1004,"Yes")+SUMIFS('Who Engaged'!$I$5:$I$1004,'Who Engaged'!$C$5:$C$1004,C176,'Who Engaged'!$N$5:$N$1004,"Yes")+SUMIFS('Who Engaged'!$J$5:$J$1004,'Who Engaged'!$C$5:$C$1004,C176,'Who Engaged'!$N$5:$N$1004,"Yes")+SUMIFS('Who Engaged'!$K$5:$K$1004,'Who Engaged'!$C$5:$C$1004,C176,'Who Engaged'!$N$5:$N$1004,"Yes"))</f>
        <v/>
      </c>
      <c r="R176" s="22" t="str">
        <f aca="false">IF(OR(OR(A176="",B176="",C176=""),P176=""),"",MAX(0,P176-N(Q176)))</f>
        <v/>
      </c>
      <c r="S176" s="23" t="str">
        <f aca="false">IF(OR(OR(A176="",B176="",C176=""),R176=""),"",IFERROR(R176/(IF(N(H176)&gt;0,H176,IF(N(I176)&gt;0,I176,IF(COUNTIFS($B$16:$B$215,B176,$H$16:$H$215,"&gt;0")+COUNTIFS($B$16:$B$215,B176,$I$16:$I$215,"&gt;0")&gt;0,"",INDEX($B$5:$B$7,MATCH(B176,$A$5:$A$7,0)))))),""))</f>
        <v/>
      </c>
      <c r="T176" s="24" t="str">
        <f aca="false">IF(OR(A176="",B176="",C176=""),"",IF(OR(S176="",COUNTIFS($B$16:$B$215,B176,$S$16:$S$215,"&gt;=0")&lt;2),"No Data Yet",IFERROR(IF(S176/AVERAGEIFS($S$16:$S$215,$B$16:$B$215,B176)&gt;=1.2,"Good",IF(S176/AVERAGEIFS($S$16:$S$215,$B$16:$B$215,B176)&gt;=0.8,"Average","Below Standard")),"Average")))</f>
        <v/>
      </c>
      <c r="U176" s="22" t="str">
        <f aca="false">IF(OR(A176="",B176="",C176=""),"",COUNTIFS('Who Engaged'!$C$5:$C$1004,C176,'Who Engaged'!$O$5:$O$1004,"Yes",'Who Engaged'!$M$5:$M$1004,1))</f>
        <v/>
      </c>
      <c r="V176" s="22" t="str">
        <f aca="false">IF(OR(A176="",B176="",C176=""),"",COUNTIFS('Who Engaged'!$C$5:$C$1004,C176,'Who Engaged'!$O$5:$O$1004,"Yes",'Who Engaged'!$L$5:$L$1004,1))</f>
        <v/>
      </c>
      <c r="W176" s="25" t="str">
        <f aca="false" t="array" ref="W176:W176">IF(OR(A176="",B176="",C176=""),"",_xlfn.TEXTJOIN("; ",TRUE(),IF(('Who Engaged'!$C$5:$C$1004=C176)*('Who Engaged'!$O$5:$O$1004="Yes"),'Who Engaged'!$D$5:$D$1004&amp;" – "&amp;'Who Engaged'!$F$5:$F$1004&amp;IF('Who Engaged'!$L$5:$L$1004=1," (followed)",""),"")))</f>
        <v/>
      </c>
      <c r="X176" s="26"/>
      <c r="Y176" s="26"/>
      <c r="Z176" s="27"/>
      <c r="AA176" s="24" t="str">
        <f aca="false">IF(OR(A176="",B176="",C176=""),"","https://www.alphanodus.com/contact?utm_source="&amp;IF(B176="X","twitter",LOWER(B176))&amp;"&amp;utm_medium=social&amp;utm_campaign="&amp;IF(E176="","general",LOWER(SUBSTITUTE(SUBSTITUTE(E176," / ","-")," ","-")))&amp;"&amp;utm_content="&amp;LOWER(C176))</f>
        <v/>
      </c>
    </row>
    <row r="177" customFormat="false" ht="15" hidden="false" customHeight="false" outlineLevel="0" collapsed="false">
      <c r="A177" s="28"/>
      <c r="B177" s="27"/>
      <c r="C177" s="27"/>
      <c r="D177" s="26"/>
      <c r="E177" s="27"/>
      <c r="F177" s="27"/>
      <c r="G177" s="27"/>
      <c r="H177" s="21"/>
      <c r="I177" s="21"/>
      <c r="J177" s="21"/>
      <c r="K177" s="21"/>
      <c r="L177" s="21"/>
      <c r="M177" s="21"/>
      <c r="N177" s="21"/>
      <c r="O177" s="21"/>
      <c r="P177" s="22" t="str">
        <f aca="false">IF(OR(A177="",B177="",C177=""),"",IF(COUNT(J177:N177)=0,"",SUM(J177:N177)))</f>
        <v/>
      </c>
      <c r="Q177" s="22" t="str">
        <f aca="false">IF(OR(A177="",B177="",C177=""),"",SUMIFS('Who Engaged'!$H$5:$H$1004,'Who Engaged'!$C$5:$C$1004,C177,'Who Engaged'!$N$5:$N$1004,"Yes")+SUMIFS('Who Engaged'!$I$5:$I$1004,'Who Engaged'!$C$5:$C$1004,C177,'Who Engaged'!$N$5:$N$1004,"Yes")+SUMIFS('Who Engaged'!$J$5:$J$1004,'Who Engaged'!$C$5:$C$1004,C177,'Who Engaged'!$N$5:$N$1004,"Yes")+SUMIFS('Who Engaged'!$K$5:$K$1004,'Who Engaged'!$C$5:$C$1004,C177,'Who Engaged'!$N$5:$N$1004,"Yes"))</f>
        <v/>
      </c>
      <c r="R177" s="22" t="str">
        <f aca="false">IF(OR(OR(A177="",B177="",C177=""),P177=""),"",MAX(0,P177-N(Q177)))</f>
        <v/>
      </c>
      <c r="S177" s="23" t="str">
        <f aca="false">IF(OR(OR(A177="",B177="",C177=""),R177=""),"",IFERROR(R177/(IF(N(H177)&gt;0,H177,IF(N(I177)&gt;0,I177,IF(COUNTIFS($B$16:$B$215,B177,$H$16:$H$215,"&gt;0")+COUNTIFS($B$16:$B$215,B177,$I$16:$I$215,"&gt;0")&gt;0,"",INDEX($B$5:$B$7,MATCH(B177,$A$5:$A$7,0)))))),""))</f>
        <v/>
      </c>
      <c r="T177" s="24" t="str">
        <f aca="false">IF(OR(A177="",B177="",C177=""),"",IF(OR(S177="",COUNTIFS($B$16:$B$215,B177,$S$16:$S$215,"&gt;=0")&lt;2),"No Data Yet",IFERROR(IF(S177/AVERAGEIFS($S$16:$S$215,$B$16:$B$215,B177)&gt;=1.2,"Good",IF(S177/AVERAGEIFS($S$16:$S$215,$B$16:$B$215,B177)&gt;=0.8,"Average","Below Standard")),"Average")))</f>
        <v/>
      </c>
      <c r="U177" s="22" t="str">
        <f aca="false">IF(OR(A177="",B177="",C177=""),"",COUNTIFS('Who Engaged'!$C$5:$C$1004,C177,'Who Engaged'!$O$5:$O$1004,"Yes",'Who Engaged'!$M$5:$M$1004,1))</f>
        <v/>
      </c>
      <c r="V177" s="22" t="str">
        <f aca="false">IF(OR(A177="",B177="",C177=""),"",COUNTIFS('Who Engaged'!$C$5:$C$1004,C177,'Who Engaged'!$O$5:$O$1004,"Yes",'Who Engaged'!$L$5:$L$1004,1))</f>
        <v/>
      </c>
      <c r="W177" s="25" t="str">
        <f aca="false" t="array" ref="W177:W177">IF(OR(A177="",B177="",C177=""),"",_xlfn.TEXTJOIN("; ",TRUE(),IF(('Who Engaged'!$C$5:$C$1004=C177)*('Who Engaged'!$O$5:$O$1004="Yes"),'Who Engaged'!$D$5:$D$1004&amp;" – "&amp;'Who Engaged'!$F$5:$F$1004&amp;IF('Who Engaged'!$L$5:$L$1004=1," (followed)",""),"")))</f>
        <v/>
      </c>
      <c r="X177" s="26"/>
      <c r="Y177" s="26"/>
      <c r="Z177" s="27"/>
      <c r="AA177" s="24" t="str">
        <f aca="false">IF(OR(A177="",B177="",C177=""),"","https://www.alphanodus.com/contact?utm_source="&amp;IF(B177="X","twitter",LOWER(B177))&amp;"&amp;utm_medium=social&amp;utm_campaign="&amp;IF(E177="","general",LOWER(SUBSTITUTE(SUBSTITUTE(E177," / ","-")," ","-")))&amp;"&amp;utm_content="&amp;LOWER(C177))</f>
        <v/>
      </c>
    </row>
    <row r="178" customFormat="false" ht="15" hidden="false" customHeight="false" outlineLevel="0" collapsed="false">
      <c r="A178" s="28"/>
      <c r="B178" s="27"/>
      <c r="C178" s="27"/>
      <c r="D178" s="26"/>
      <c r="E178" s="27"/>
      <c r="F178" s="27"/>
      <c r="G178" s="27"/>
      <c r="H178" s="21"/>
      <c r="I178" s="21"/>
      <c r="J178" s="21"/>
      <c r="K178" s="21"/>
      <c r="L178" s="21"/>
      <c r="M178" s="21"/>
      <c r="N178" s="21"/>
      <c r="O178" s="21"/>
      <c r="P178" s="22" t="str">
        <f aca="false">IF(OR(A178="",B178="",C178=""),"",IF(COUNT(J178:N178)=0,"",SUM(J178:N178)))</f>
        <v/>
      </c>
      <c r="Q178" s="22" t="str">
        <f aca="false">IF(OR(A178="",B178="",C178=""),"",SUMIFS('Who Engaged'!$H$5:$H$1004,'Who Engaged'!$C$5:$C$1004,C178,'Who Engaged'!$N$5:$N$1004,"Yes")+SUMIFS('Who Engaged'!$I$5:$I$1004,'Who Engaged'!$C$5:$C$1004,C178,'Who Engaged'!$N$5:$N$1004,"Yes")+SUMIFS('Who Engaged'!$J$5:$J$1004,'Who Engaged'!$C$5:$C$1004,C178,'Who Engaged'!$N$5:$N$1004,"Yes")+SUMIFS('Who Engaged'!$K$5:$K$1004,'Who Engaged'!$C$5:$C$1004,C178,'Who Engaged'!$N$5:$N$1004,"Yes"))</f>
        <v/>
      </c>
      <c r="R178" s="22" t="str">
        <f aca="false">IF(OR(OR(A178="",B178="",C178=""),P178=""),"",MAX(0,P178-N(Q178)))</f>
        <v/>
      </c>
      <c r="S178" s="23" t="str">
        <f aca="false">IF(OR(OR(A178="",B178="",C178=""),R178=""),"",IFERROR(R178/(IF(N(H178)&gt;0,H178,IF(N(I178)&gt;0,I178,IF(COUNTIFS($B$16:$B$215,B178,$H$16:$H$215,"&gt;0")+COUNTIFS($B$16:$B$215,B178,$I$16:$I$215,"&gt;0")&gt;0,"",INDEX($B$5:$B$7,MATCH(B178,$A$5:$A$7,0)))))),""))</f>
        <v/>
      </c>
      <c r="T178" s="24" t="str">
        <f aca="false">IF(OR(A178="",B178="",C178=""),"",IF(OR(S178="",COUNTIFS($B$16:$B$215,B178,$S$16:$S$215,"&gt;=0")&lt;2),"No Data Yet",IFERROR(IF(S178/AVERAGEIFS($S$16:$S$215,$B$16:$B$215,B178)&gt;=1.2,"Good",IF(S178/AVERAGEIFS($S$16:$S$215,$B$16:$B$215,B178)&gt;=0.8,"Average","Below Standard")),"Average")))</f>
        <v/>
      </c>
      <c r="U178" s="22" t="str">
        <f aca="false">IF(OR(A178="",B178="",C178=""),"",COUNTIFS('Who Engaged'!$C$5:$C$1004,C178,'Who Engaged'!$O$5:$O$1004,"Yes",'Who Engaged'!$M$5:$M$1004,1))</f>
        <v/>
      </c>
      <c r="V178" s="22" t="str">
        <f aca="false">IF(OR(A178="",B178="",C178=""),"",COUNTIFS('Who Engaged'!$C$5:$C$1004,C178,'Who Engaged'!$O$5:$O$1004,"Yes",'Who Engaged'!$L$5:$L$1004,1))</f>
        <v/>
      </c>
      <c r="W178" s="25" t="str">
        <f aca="false" t="array" ref="W178:W178">IF(OR(A178="",B178="",C178=""),"",_xlfn.TEXTJOIN("; ",TRUE(),IF(('Who Engaged'!$C$5:$C$1004=C178)*('Who Engaged'!$O$5:$O$1004="Yes"),'Who Engaged'!$D$5:$D$1004&amp;" – "&amp;'Who Engaged'!$F$5:$F$1004&amp;IF('Who Engaged'!$L$5:$L$1004=1," (followed)",""),"")))</f>
        <v/>
      </c>
      <c r="X178" s="26"/>
      <c r="Y178" s="26"/>
      <c r="Z178" s="27"/>
      <c r="AA178" s="24" t="str">
        <f aca="false">IF(OR(A178="",B178="",C178=""),"","https://www.alphanodus.com/contact?utm_source="&amp;IF(B178="X","twitter",LOWER(B178))&amp;"&amp;utm_medium=social&amp;utm_campaign="&amp;IF(E178="","general",LOWER(SUBSTITUTE(SUBSTITUTE(E178," / ","-")," ","-")))&amp;"&amp;utm_content="&amp;LOWER(C178))</f>
        <v/>
      </c>
    </row>
    <row r="179" customFormat="false" ht="15" hidden="false" customHeight="false" outlineLevel="0" collapsed="false">
      <c r="A179" s="28"/>
      <c r="B179" s="27"/>
      <c r="C179" s="27"/>
      <c r="D179" s="26"/>
      <c r="E179" s="27"/>
      <c r="F179" s="27"/>
      <c r="G179" s="27"/>
      <c r="H179" s="21"/>
      <c r="I179" s="21"/>
      <c r="J179" s="21"/>
      <c r="K179" s="21"/>
      <c r="L179" s="21"/>
      <c r="M179" s="21"/>
      <c r="N179" s="21"/>
      <c r="O179" s="21"/>
      <c r="P179" s="22" t="str">
        <f aca="false">IF(OR(A179="",B179="",C179=""),"",IF(COUNT(J179:N179)=0,"",SUM(J179:N179)))</f>
        <v/>
      </c>
      <c r="Q179" s="22" t="str">
        <f aca="false">IF(OR(A179="",B179="",C179=""),"",SUMIFS('Who Engaged'!$H$5:$H$1004,'Who Engaged'!$C$5:$C$1004,C179,'Who Engaged'!$N$5:$N$1004,"Yes")+SUMIFS('Who Engaged'!$I$5:$I$1004,'Who Engaged'!$C$5:$C$1004,C179,'Who Engaged'!$N$5:$N$1004,"Yes")+SUMIFS('Who Engaged'!$J$5:$J$1004,'Who Engaged'!$C$5:$C$1004,C179,'Who Engaged'!$N$5:$N$1004,"Yes")+SUMIFS('Who Engaged'!$K$5:$K$1004,'Who Engaged'!$C$5:$C$1004,C179,'Who Engaged'!$N$5:$N$1004,"Yes"))</f>
        <v/>
      </c>
      <c r="R179" s="22" t="str">
        <f aca="false">IF(OR(OR(A179="",B179="",C179=""),P179=""),"",MAX(0,P179-N(Q179)))</f>
        <v/>
      </c>
      <c r="S179" s="23" t="str">
        <f aca="false">IF(OR(OR(A179="",B179="",C179=""),R179=""),"",IFERROR(R179/(IF(N(H179)&gt;0,H179,IF(N(I179)&gt;0,I179,IF(COUNTIFS($B$16:$B$215,B179,$H$16:$H$215,"&gt;0")+COUNTIFS($B$16:$B$215,B179,$I$16:$I$215,"&gt;0")&gt;0,"",INDEX($B$5:$B$7,MATCH(B179,$A$5:$A$7,0)))))),""))</f>
        <v/>
      </c>
      <c r="T179" s="24" t="str">
        <f aca="false">IF(OR(A179="",B179="",C179=""),"",IF(OR(S179="",COUNTIFS($B$16:$B$215,B179,$S$16:$S$215,"&gt;=0")&lt;2),"No Data Yet",IFERROR(IF(S179/AVERAGEIFS($S$16:$S$215,$B$16:$B$215,B179)&gt;=1.2,"Good",IF(S179/AVERAGEIFS($S$16:$S$215,$B$16:$B$215,B179)&gt;=0.8,"Average","Below Standard")),"Average")))</f>
        <v/>
      </c>
      <c r="U179" s="22" t="str">
        <f aca="false">IF(OR(A179="",B179="",C179=""),"",COUNTIFS('Who Engaged'!$C$5:$C$1004,C179,'Who Engaged'!$O$5:$O$1004,"Yes",'Who Engaged'!$M$5:$M$1004,1))</f>
        <v/>
      </c>
      <c r="V179" s="22" t="str">
        <f aca="false">IF(OR(A179="",B179="",C179=""),"",COUNTIFS('Who Engaged'!$C$5:$C$1004,C179,'Who Engaged'!$O$5:$O$1004,"Yes",'Who Engaged'!$L$5:$L$1004,1))</f>
        <v/>
      </c>
      <c r="W179" s="25" t="str">
        <f aca="false" t="array" ref="W179:W179">IF(OR(A179="",B179="",C179=""),"",_xlfn.TEXTJOIN("; ",TRUE(),IF(('Who Engaged'!$C$5:$C$1004=C179)*('Who Engaged'!$O$5:$O$1004="Yes"),'Who Engaged'!$D$5:$D$1004&amp;" – "&amp;'Who Engaged'!$F$5:$F$1004&amp;IF('Who Engaged'!$L$5:$L$1004=1," (followed)",""),"")))</f>
        <v/>
      </c>
      <c r="X179" s="26"/>
      <c r="Y179" s="26"/>
      <c r="Z179" s="27"/>
      <c r="AA179" s="24" t="str">
        <f aca="false">IF(OR(A179="",B179="",C179=""),"","https://www.alphanodus.com/contact?utm_source="&amp;IF(B179="X","twitter",LOWER(B179))&amp;"&amp;utm_medium=social&amp;utm_campaign="&amp;IF(E179="","general",LOWER(SUBSTITUTE(SUBSTITUTE(E179," / ","-")," ","-")))&amp;"&amp;utm_content="&amp;LOWER(C179))</f>
        <v/>
      </c>
    </row>
    <row r="180" customFormat="false" ht="15" hidden="false" customHeight="false" outlineLevel="0" collapsed="false">
      <c r="A180" s="28"/>
      <c r="B180" s="27"/>
      <c r="C180" s="27"/>
      <c r="D180" s="26"/>
      <c r="E180" s="27"/>
      <c r="F180" s="27"/>
      <c r="G180" s="27"/>
      <c r="H180" s="21"/>
      <c r="I180" s="21"/>
      <c r="J180" s="21"/>
      <c r="K180" s="21"/>
      <c r="L180" s="21"/>
      <c r="M180" s="21"/>
      <c r="N180" s="21"/>
      <c r="O180" s="21"/>
      <c r="P180" s="22" t="str">
        <f aca="false">IF(OR(A180="",B180="",C180=""),"",IF(COUNT(J180:N180)=0,"",SUM(J180:N180)))</f>
        <v/>
      </c>
      <c r="Q180" s="22" t="str">
        <f aca="false">IF(OR(A180="",B180="",C180=""),"",SUMIFS('Who Engaged'!$H$5:$H$1004,'Who Engaged'!$C$5:$C$1004,C180,'Who Engaged'!$N$5:$N$1004,"Yes")+SUMIFS('Who Engaged'!$I$5:$I$1004,'Who Engaged'!$C$5:$C$1004,C180,'Who Engaged'!$N$5:$N$1004,"Yes")+SUMIFS('Who Engaged'!$J$5:$J$1004,'Who Engaged'!$C$5:$C$1004,C180,'Who Engaged'!$N$5:$N$1004,"Yes")+SUMIFS('Who Engaged'!$K$5:$K$1004,'Who Engaged'!$C$5:$C$1004,C180,'Who Engaged'!$N$5:$N$1004,"Yes"))</f>
        <v/>
      </c>
      <c r="R180" s="22" t="str">
        <f aca="false">IF(OR(OR(A180="",B180="",C180=""),P180=""),"",MAX(0,P180-N(Q180)))</f>
        <v/>
      </c>
      <c r="S180" s="23" t="str">
        <f aca="false">IF(OR(OR(A180="",B180="",C180=""),R180=""),"",IFERROR(R180/(IF(N(H180)&gt;0,H180,IF(N(I180)&gt;0,I180,IF(COUNTIFS($B$16:$B$215,B180,$H$16:$H$215,"&gt;0")+COUNTIFS($B$16:$B$215,B180,$I$16:$I$215,"&gt;0")&gt;0,"",INDEX($B$5:$B$7,MATCH(B180,$A$5:$A$7,0)))))),""))</f>
        <v/>
      </c>
      <c r="T180" s="24" t="str">
        <f aca="false">IF(OR(A180="",B180="",C180=""),"",IF(OR(S180="",COUNTIFS($B$16:$B$215,B180,$S$16:$S$215,"&gt;=0")&lt;2),"No Data Yet",IFERROR(IF(S180/AVERAGEIFS($S$16:$S$215,$B$16:$B$215,B180)&gt;=1.2,"Good",IF(S180/AVERAGEIFS($S$16:$S$215,$B$16:$B$215,B180)&gt;=0.8,"Average","Below Standard")),"Average")))</f>
        <v/>
      </c>
      <c r="U180" s="22" t="str">
        <f aca="false">IF(OR(A180="",B180="",C180=""),"",COUNTIFS('Who Engaged'!$C$5:$C$1004,C180,'Who Engaged'!$O$5:$O$1004,"Yes",'Who Engaged'!$M$5:$M$1004,1))</f>
        <v/>
      </c>
      <c r="V180" s="22" t="str">
        <f aca="false">IF(OR(A180="",B180="",C180=""),"",COUNTIFS('Who Engaged'!$C$5:$C$1004,C180,'Who Engaged'!$O$5:$O$1004,"Yes",'Who Engaged'!$L$5:$L$1004,1))</f>
        <v/>
      </c>
      <c r="W180" s="25" t="str">
        <f aca="false" t="array" ref="W180:W180">IF(OR(A180="",B180="",C180=""),"",_xlfn.TEXTJOIN("; ",TRUE(),IF(('Who Engaged'!$C$5:$C$1004=C180)*('Who Engaged'!$O$5:$O$1004="Yes"),'Who Engaged'!$D$5:$D$1004&amp;" – "&amp;'Who Engaged'!$F$5:$F$1004&amp;IF('Who Engaged'!$L$5:$L$1004=1," (followed)",""),"")))</f>
        <v/>
      </c>
      <c r="X180" s="26"/>
      <c r="Y180" s="26"/>
      <c r="Z180" s="27"/>
      <c r="AA180" s="24" t="str">
        <f aca="false">IF(OR(A180="",B180="",C180=""),"","https://www.alphanodus.com/contact?utm_source="&amp;IF(B180="X","twitter",LOWER(B180))&amp;"&amp;utm_medium=social&amp;utm_campaign="&amp;IF(E180="","general",LOWER(SUBSTITUTE(SUBSTITUTE(E180," / ","-")," ","-")))&amp;"&amp;utm_content="&amp;LOWER(C180))</f>
        <v/>
      </c>
    </row>
    <row r="181" customFormat="false" ht="15" hidden="false" customHeight="false" outlineLevel="0" collapsed="false">
      <c r="A181" s="28"/>
      <c r="B181" s="27"/>
      <c r="C181" s="27"/>
      <c r="D181" s="26"/>
      <c r="E181" s="27"/>
      <c r="F181" s="27"/>
      <c r="G181" s="27"/>
      <c r="H181" s="21"/>
      <c r="I181" s="21"/>
      <c r="J181" s="21"/>
      <c r="K181" s="21"/>
      <c r="L181" s="21"/>
      <c r="M181" s="21"/>
      <c r="N181" s="21"/>
      <c r="O181" s="21"/>
      <c r="P181" s="22" t="str">
        <f aca="false">IF(OR(A181="",B181="",C181=""),"",IF(COUNT(J181:N181)=0,"",SUM(J181:N181)))</f>
        <v/>
      </c>
      <c r="Q181" s="22" t="str">
        <f aca="false">IF(OR(A181="",B181="",C181=""),"",SUMIFS('Who Engaged'!$H$5:$H$1004,'Who Engaged'!$C$5:$C$1004,C181,'Who Engaged'!$N$5:$N$1004,"Yes")+SUMIFS('Who Engaged'!$I$5:$I$1004,'Who Engaged'!$C$5:$C$1004,C181,'Who Engaged'!$N$5:$N$1004,"Yes")+SUMIFS('Who Engaged'!$J$5:$J$1004,'Who Engaged'!$C$5:$C$1004,C181,'Who Engaged'!$N$5:$N$1004,"Yes")+SUMIFS('Who Engaged'!$K$5:$K$1004,'Who Engaged'!$C$5:$C$1004,C181,'Who Engaged'!$N$5:$N$1004,"Yes"))</f>
        <v/>
      </c>
      <c r="R181" s="22" t="str">
        <f aca="false">IF(OR(OR(A181="",B181="",C181=""),P181=""),"",MAX(0,P181-N(Q181)))</f>
        <v/>
      </c>
      <c r="S181" s="23" t="str">
        <f aca="false">IF(OR(OR(A181="",B181="",C181=""),R181=""),"",IFERROR(R181/(IF(N(H181)&gt;0,H181,IF(N(I181)&gt;0,I181,IF(COUNTIFS($B$16:$B$215,B181,$H$16:$H$215,"&gt;0")+COUNTIFS($B$16:$B$215,B181,$I$16:$I$215,"&gt;0")&gt;0,"",INDEX($B$5:$B$7,MATCH(B181,$A$5:$A$7,0)))))),""))</f>
        <v/>
      </c>
      <c r="T181" s="24" t="str">
        <f aca="false">IF(OR(A181="",B181="",C181=""),"",IF(OR(S181="",COUNTIFS($B$16:$B$215,B181,$S$16:$S$215,"&gt;=0")&lt;2),"No Data Yet",IFERROR(IF(S181/AVERAGEIFS($S$16:$S$215,$B$16:$B$215,B181)&gt;=1.2,"Good",IF(S181/AVERAGEIFS($S$16:$S$215,$B$16:$B$215,B181)&gt;=0.8,"Average","Below Standard")),"Average")))</f>
        <v/>
      </c>
      <c r="U181" s="22" t="str">
        <f aca="false">IF(OR(A181="",B181="",C181=""),"",COUNTIFS('Who Engaged'!$C$5:$C$1004,C181,'Who Engaged'!$O$5:$O$1004,"Yes",'Who Engaged'!$M$5:$M$1004,1))</f>
        <v/>
      </c>
      <c r="V181" s="22" t="str">
        <f aca="false">IF(OR(A181="",B181="",C181=""),"",COUNTIFS('Who Engaged'!$C$5:$C$1004,C181,'Who Engaged'!$O$5:$O$1004,"Yes",'Who Engaged'!$L$5:$L$1004,1))</f>
        <v/>
      </c>
      <c r="W181" s="25" t="str">
        <f aca="false" t="array" ref="W181:W181">IF(OR(A181="",B181="",C181=""),"",_xlfn.TEXTJOIN("; ",TRUE(),IF(('Who Engaged'!$C$5:$C$1004=C181)*('Who Engaged'!$O$5:$O$1004="Yes"),'Who Engaged'!$D$5:$D$1004&amp;" – "&amp;'Who Engaged'!$F$5:$F$1004&amp;IF('Who Engaged'!$L$5:$L$1004=1," (followed)",""),"")))</f>
        <v/>
      </c>
      <c r="X181" s="26"/>
      <c r="Y181" s="26"/>
      <c r="Z181" s="27"/>
      <c r="AA181" s="24" t="str">
        <f aca="false">IF(OR(A181="",B181="",C181=""),"","https://www.alphanodus.com/contact?utm_source="&amp;IF(B181="X","twitter",LOWER(B181))&amp;"&amp;utm_medium=social&amp;utm_campaign="&amp;IF(E181="","general",LOWER(SUBSTITUTE(SUBSTITUTE(E181," / ","-")," ","-")))&amp;"&amp;utm_content="&amp;LOWER(C181))</f>
        <v/>
      </c>
    </row>
    <row r="182" customFormat="false" ht="15" hidden="false" customHeight="false" outlineLevel="0" collapsed="false">
      <c r="A182" s="28"/>
      <c r="B182" s="27"/>
      <c r="C182" s="27"/>
      <c r="D182" s="26"/>
      <c r="E182" s="27"/>
      <c r="F182" s="27"/>
      <c r="G182" s="27"/>
      <c r="H182" s="21"/>
      <c r="I182" s="21"/>
      <c r="J182" s="21"/>
      <c r="K182" s="21"/>
      <c r="L182" s="21"/>
      <c r="M182" s="21"/>
      <c r="N182" s="21"/>
      <c r="O182" s="21"/>
      <c r="P182" s="22" t="str">
        <f aca="false">IF(OR(A182="",B182="",C182=""),"",IF(COUNT(J182:N182)=0,"",SUM(J182:N182)))</f>
        <v/>
      </c>
      <c r="Q182" s="22" t="str">
        <f aca="false">IF(OR(A182="",B182="",C182=""),"",SUMIFS('Who Engaged'!$H$5:$H$1004,'Who Engaged'!$C$5:$C$1004,C182,'Who Engaged'!$N$5:$N$1004,"Yes")+SUMIFS('Who Engaged'!$I$5:$I$1004,'Who Engaged'!$C$5:$C$1004,C182,'Who Engaged'!$N$5:$N$1004,"Yes")+SUMIFS('Who Engaged'!$J$5:$J$1004,'Who Engaged'!$C$5:$C$1004,C182,'Who Engaged'!$N$5:$N$1004,"Yes")+SUMIFS('Who Engaged'!$K$5:$K$1004,'Who Engaged'!$C$5:$C$1004,C182,'Who Engaged'!$N$5:$N$1004,"Yes"))</f>
        <v/>
      </c>
      <c r="R182" s="22" t="str">
        <f aca="false">IF(OR(OR(A182="",B182="",C182=""),P182=""),"",MAX(0,P182-N(Q182)))</f>
        <v/>
      </c>
      <c r="S182" s="23" t="str">
        <f aca="false">IF(OR(OR(A182="",B182="",C182=""),R182=""),"",IFERROR(R182/(IF(N(H182)&gt;0,H182,IF(N(I182)&gt;0,I182,IF(COUNTIFS($B$16:$B$215,B182,$H$16:$H$215,"&gt;0")+COUNTIFS($B$16:$B$215,B182,$I$16:$I$215,"&gt;0")&gt;0,"",INDEX($B$5:$B$7,MATCH(B182,$A$5:$A$7,0)))))),""))</f>
        <v/>
      </c>
      <c r="T182" s="24" t="str">
        <f aca="false">IF(OR(A182="",B182="",C182=""),"",IF(OR(S182="",COUNTIFS($B$16:$B$215,B182,$S$16:$S$215,"&gt;=0")&lt;2),"No Data Yet",IFERROR(IF(S182/AVERAGEIFS($S$16:$S$215,$B$16:$B$215,B182)&gt;=1.2,"Good",IF(S182/AVERAGEIFS($S$16:$S$215,$B$16:$B$215,B182)&gt;=0.8,"Average","Below Standard")),"Average")))</f>
        <v/>
      </c>
      <c r="U182" s="22" t="str">
        <f aca="false">IF(OR(A182="",B182="",C182=""),"",COUNTIFS('Who Engaged'!$C$5:$C$1004,C182,'Who Engaged'!$O$5:$O$1004,"Yes",'Who Engaged'!$M$5:$M$1004,1))</f>
        <v/>
      </c>
      <c r="V182" s="22" t="str">
        <f aca="false">IF(OR(A182="",B182="",C182=""),"",COUNTIFS('Who Engaged'!$C$5:$C$1004,C182,'Who Engaged'!$O$5:$O$1004,"Yes",'Who Engaged'!$L$5:$L$1004,1))</f>
        <v/>
      </c>
      <c r="W182" s="25" t="str">
        <f aca="false" t="array" ref="W182:W182">IF(OR(A182="",B182="",C182=""),"",_xlfn.TEXTJOIN("; ",TRUE(),IF(('Who Engaged'!$C$5:$C$1004=C182)*('Who Engaged'!$O$5:$O$1004="Yes"),'Who Engaged'!$D$5:$D$1004&amp;" – "&amp;'Who Engaged'!$F$5:$F$1004&amp;IF('Who Engaged'!$L$5:$L$1004=1," (followed)",""),"")))</f>
        <v/>
      </c>
      <c r="X182" s="26"/>
      <c r="Y182" s="26"/>
      <c r="Z182" s="27"/>
      <c r="AA182" s="24" t="str">
        <f aca="false">IF(OR(A182="",B182="",C182=""),"","https://www.alphanodus.com/contact?utm_source="&amp;IF(B182="X","twitter",LOWER(B182))&amp;"&amp;utm_medium=social&amp;utm_campaign="&amp;IF(E182="","general",LOWER(SUBSTITUTE(SUBSTITUTE(E182," / ","-")," ","-")))&amp;"&amp;utm_content="&amp;LOWER(C182))</f>
        <v/>
      </c>
    </row>
    <row r="183" customFormat="false" ht="15" hidden="false" customHeight="false" outlineLevel="0" collapsed="false">
      <c r="A183" s="28"/>
      <c r="B183" s="27"/>
      <c r="C183" s="27"/>
      <c r="D183" s="26"/>
      <c r="E183" s="27"/>
      <c r="F183" s="27"/>
      <c r="G183" s="27"/>
      <c r="H183" s="21"/>
      <c r="I183" s="21"/>
      <c r="J183" s="21"/>
      <c r="K183" s="21"/>
      <c r="L183" s="21"/>
      <c r="M183" s="21"/>
      <c r="N183" s="21"/>
      <c r="O183" s="21"/>
      <c r="P183" s="22" t="str">
        <f aca="false">IF(OR(A183="",B183="",C183=""),"",IF(COUNT(J183:N183)=0,"",SUM(J183:N183)))</f>
        <v/>
      </c>
      <c r="Q183" s="22" t="str">
        <f aca="false">IF(OR(A183="",B183="",C183=""),"",SUMIFS('Who Engaged'!$H$5:$H$1004,'Who Engaged'!$C$5:$C$1004,C183,'Who Engaged'!$N$5:$N$1004,"Yes")+SUMIFS('Who Engaged'!$I$5:$I$1004,'Who Engaged'!$C$5:$C$1004,C183,'Who Engaged'!$N$5:$N$1004,"Yes")+SUMIFS('Who Engaged'!$J$5:$J$1004,'Who Engaged'!$C$5:$C$1004,C183,'Who Engaged'!$N$5:$N$1004,"Yes")+SUMIFS('Who Engaged'!$K$5:$K$1004,'Who Engaged'!$C$5:$C$1004,C183,'Who Engaged'!$N$5:$N$1004,"Yes"))</f>
        <v/>
      </c>
      <c r="R183" s="22" t="str">
        <f aca="false">IF(OR(OR(A183="",B183="",C183=""),P183=""),"",MAX(0,P183-N(Q183)))</f>
        <v/>
      </c>
      <c r="S183" s="23" t="str">
        <f aca="false">IF(OR(OR(A183="",B183="",C183=""),R183=""),"",IFERROR(R183/(IF(N(H183)&gt;0,H183,IF(N(I183)&gt;0,I183,IF(COUNTIFS($B$16:$B$215,B183,$H$16:$H$215,"&gt;0")+COUNTIFS($B$16:$B$215,B183,$I$16:$I$215,"&gt;0")&gt;0,"",INDEX($B$5:$B$7,MATCH(B183,$A$5:$A$7,0)))))),""))</f>
        <v/>
      </c>
      <c r="T183" s="24" t="str">
        <f aca="false">IF(OR(A183="",B183="",C183=""),"",IF(OR(S183="",COUNTIFS($B$16:$B$215,B183,$S$16:$S$215,"&gt;=0")&lt;2),"No Data Yet",IFERROR(IF(S183/AVERAGEIFS($S$16:$S$215,$B$16:$B$215,B183)&gt;=1.2,"Good",IF(S183/AVERAGEIFS($S$16:$S$215,$B$16:$B$215,B183)&gt;=0.8,"Average","Below Standard")),"Average")))</f>
        <v/>
      </c>
      <c r="U183" s="22" t="str">
        <f aca="false">IF(OR(A183="",B183="",C183=""),"",COUNTIFS('Who Engaged'!$C$5:$C$1004,C183,'Who Engaged'!$O$5:$O$1004,"Yes",'Who Engaged'!$M$5:$M$1004,1))</f>
        <v/>
      </c>
      <c r="V183" s="22" t="str">
        <f aca="false">IF(OR(A183="",B183="",C183=""),"",COUNTIFS('Who Engaged'!$C$5:$C$1004,C183,'Who Engaged'!$O$5:$O$1004,"Yes",'Who Engaged'!$L$5:$L$1004,1))</f>
        <v/>
      </c>
      <c r="W183" s="25" t="str">
        <f aca="false" t="array" ref="W183:W183">IF(OR(A183="",B183="",C183=""),"",_xlfn.TEXTJOIN("; ",TRUE(),IF(('Who Engaged'!$C$5:$C$1004=C183)*('Who Engaged'!$O$5:$O$1004="Yes"),'Who Engaged'!$D$5:$D$1004&amp;" – "&amp;'Who Engaged'!$F$5:$F$1004&amp;IF('Who Engaged'!$L$5:$L$1004=1," (followed)",""),"")))</f>
        <v/>
      </c>
      <c r="X183" s="26"/>
      <c r="Y183" s="26"/>
      <c r="Z183" s="27"/>
      <c r="AA183" s="24" t="str">
        <f aca="false">IF(OR(A183="",B183="",C183=""),"","https://www.alphanodus.com/contact?utm_source="&amp;IF(B183="X","twitter",LOWER(B183))&amp;"&amp;utm_medium=social&amp;utm_campaign="&amp;IF(E183="","general",LOWER(SUBSTITUTE(SUBSTITUTE(E183," / ","-")," ","-")))&amp;"&amp;utm_content="&amp;LOWER(C183))</f>
        <v/>
      </c>
    </row>
    <row r="184" customFormat="false" ht="15" hidden="false" customHeight="false" outlineLevel="0" collapsed="false">
      <c r="A184" s="28"/>
      <c r="B184" s="27"/>
      <c r="C184" s="27"/>
      <c r="D184" s="26"/>
      <c r="E184" s="27"/>
      <c r="F184" s="27"/>
      <c r="G184" s="27"/>
      <c r="H184" s="21"/>
      <c r="I184" s="21"/>
      <c r="J184" s="21"/>
      <c r="K184" s="21"/>
      <c r="L184" s="21"/>
      <c r="M184" s="21"/>
      <c r="N184" s="21"/>
      <c r="O184" s="21"/>
      <c r="P184" s="22" t="str">
        <f aca="false">IF(OR(A184="",B184="",C184=""),"",IF(COUNT(J184:N184)=0,"",SUM(J184:N184)))</f>
        <v/>
      </c>
      <c r="Q184" s="22" t="str">
        <f aca="false">IF(OR(A184="",B184="",C184=""),"",SUMIFS('Who Engaged'!$H$5:$H$1004,'Who Engaged'!$C$5:$C$1004,C184,'Who Engaged'!$N$5:$N$1004,"Yes")+SUMIFS('Who Engaged'!$I$5:$I$1004,'Who Engaged'!$C$5:$C$1004,C184,'Who Engaged'!$N$5:$N$1004,"Yes")+SUMIFS('Who Engaged'!$J$5:$J$1004,'Who Engaged'!$C$5:$C$1004,C184,'Who Engaged'!$N$5:$N$1004,"Yes")+SUMIFS('Who Engaged'!$K$5:$K$1004,'Who Engaged'!$C$5:$C$1004,C184,'Who Engaged'!$N$5:$N$1004,"Yes"))</f>
        <v/>
      </c>
      <c r="R184" s="22" t="str">
        <f aca="false">IF(OR(OR(A184="",B184="",C184=""),P184=""),"",MAX(0,P184-N(Q184)))</f>
        <v/>
      </c>
      <c r="S184" s="23" t="str">
        <f aca="false">IF(OR(OR(A184="",B184="",C184=""),R184=""),"",IFERROR(R184/(IF(N(H184)&gt;0,H184,IF(N(I184)&gt;0,I184,IF(COUNTIFS($B$16:$B$215,B184,$H$16:$H$215,"&gt;0")+COUNTIFS($B$16:$B$215,B184,$I$16:$I$215,"&gt;0")&gt;0,"",INDEX($B$5:$B$7,MATCH(B184,$A$5:$A$7,0)))))),""))</f>
        <v/>
      </c>
      <c r="T184" s="24" t="str">
        <f aca="false">IF(OR(A184="",B184="",C184=""),"",IF(OR(S184="",COUNTIFS($B$16:$B$215,B184,$S$16:$S$215,"&gt;=0")&lt;2),"No Data Yet",IFERROR(IF(S184/AVERAGEIFS($S$16:$S$215,$B$16:$B$215,B184)&gt;=1.2,"Good",IF(S184/AVERAGEIFS($S$16:$S$215,$B$16:$B$215,B184)&gt;=0.8,"Average","Below Standard")),"Average")))</f>
        <v/>
      </c>
      <c r="U184" s="22" t="str">
        <f aca="false">IF(OR(A184="",B184="",C184=""),"",COUNTIFS('Who Engaged'!$C$5:$C$1004,C184,'Who Engaged'!$O$5:$O$1004,"Yes",'Who Engaged'!$M$5:$M$1004,1))</f>
        <v/>
      </c>
      <c r="V184" s="22" t="str">
        <f aca="false">IF(OR(A184="",B184="",C184=""),"",COUNTIFS('Who Engaged'!$C$5:$C$1004,C184,'Who Engaged'!$O$5:$O$1004,"Yes",'Who Engaged'!$L$5:$L$1004,1))</f>
        <v/>
      </c>
      <c r="W184" s="25" t="str">
        <f aca="false" t="array" ref="W184:W184">IF(OR(A184="",B184="",C184=""),"",_xlfn.TEXTJOIN("; ",TRUE(),IF(('Who Engaged'!$C$5:$C$1004=C184)*('Who Engaged'!$O$5:$O$1004="Yes"),'Who Engaged'!$D$5:$D$1004&amp;" – "&amp;'Who Engaged'!$F$5:$F$1004&amp;IF('Who Engaged'!$L$5:$L$1004=1," (followed)",""),"")))</f>
        <v/>
      </c>
      <c r="X184" s="26"/>
      <c r="Y184" s="26"/>
      <c r="Z184" s="27"/>
      <c r="AA184" s="24" t="str">
        <f aca="false">IF(OR(A184="",B184="",C184=""),"","https://www.alphanodus.com/contact?utm_source="&amp;IF(B184="X","twitter",LOWER(B184))&amp;"&amp;utm_medium=social&amp;utm_campaign="&amp;IF(E184="","general",LOWER(SUBSTITUTE(SUBSTITUTE(E184," / ","-")," ","-")))&amp;"&amp;utm_content="&amp;LOWER(C184))</f>
        <v/>
      </c>
    </row>
    <row r="185" customFormat="false" ht="15" hidden="false" customHeight="false" outlineLevel="0" collapsed="false">
      <c r="A185" s="28"/>
      <c r="B185" s="27"/>
      <c r="C185" s="27"/>
      <c r="D185" s="26"/>
      <c r="E185" s="27"/>
      <c r="F185" s="27"/>
      <c r="G185" s="27"/>
      <c r="H185" s="21"/>
      <c r="I185" s="21"/>
      <c r="J185" s="21"/>
      <c r="K185" s="21"/>
      <c r="L185" s="21"/>
      <c r="M185" s="21"/>
      <c r="N185" s="21"/>
      <c r="O185" s="21"/>
      <c r="P185" s="22" t="str">
        <f aca="false">IF(OR(A185="",B185="",C185=""),"",IF(COUNT(J185:N185)=0,"",SUM(J185:N185)))</f>
        <v/>
      </c>
      <c r="Q185" s="22" t="str">
        <f aca="false">IF(OR(A185="",B185="",C185=""),"",SUMIFS('Who Engaged'!$H$5:$H$1004,'Who Engaged'!$C$5:$C$1004,C185,'Who Engaged'!$N$5:$N$1004,"Yes")+SUMIFS('Who Engaged'!$I$5:$I$1004,'Who Engaged'!$C$5:$C$1004,C185,'Who Engaged'!$N$5:$N$1004,"Yes")+SUMIFS('Who Engaged'!$J$5:$J$1004,'Who Engaged'!$C$5:$C$1004,C185,'Who Engaged'!$N$5:$N$1004,"Yes")+SUMIFS('Who Engaged'!$K$5:$K$1004,'Who Engaged'!$C$5:$C$1004,C185,'Who Engaged'!$N$5:$N$1004,"Yes"))</f>
        <v/>
      </c>
      <c r="R185" s="22" t="str">
        <f aca="false">IF(OR(OR(A185="",B185="",C185=""),P185=""),"",MAX(0,P185-N(Q185)))</f>
        <v/>
      </c>
      <c r="S185" s="23" t="str">
        <f aca="false">IF(OR(OR(A185="",B185="",C185=""),R185=""),"",IFERROR(R185/(IF(N(H185)&gt;0,H185,IF(N(I185)&gt;0,I185,IF(COUNTIFS($B$16:$B$215,B185,$H$16:$H$215,"&gt;0")+COUNTIFS($B$16:$B$215,B185,$I$16:$I$215,"&gt;0")&gt;0,"",INDEX($B$5:$B$7,MATCH(B185,$A$5:$A$7,0)))))),""))</f>
        <v/>
      </c>
      <c r="T185" s="24" t="str">
        <f aca="false">IF(OR(A185="",B185="",C185=""),"",IF(OR(S185="",COUNTIFS($B$16:$B$215,B185,$S$16:$S$215,"&gt;=0")&lt;2),"No Data Yet",IFERROR(IF(S185/AVERAGEIFS($S$16:$S$215,$B$16:$B$215,B185)&gt;=1.2,"Good",IF(S185/AVERAGEIFS($S$16:$S$215,$B$16:$B$215,B185)&gt;=0.8,"Average","Below Standard")),"Average")))</f>
        <v/>
      </c>
      <c r="U185" s="22" t="str">
        <f aca="false">IF(OR(A185="",B185="",C185=""),"",COUNTIFS('Who Engaged'!$C$5:$C$1004,C185,'Who Engaged'!$O$5:$O$1004,"Yes",'Who Engaged'!$M$5:$M$1004,1))</f>
        <v/>
      </c>
      <c r="V185" s="22" t="str">
        <f aca="false">IF(OR(A185="",B185="",C185=""),"",COUNTIFS('Who Engaged'!$C$5:$C$1004,C185,'Who Engaged'!$O$5:$O$1004,"Yes",'Who Engaged'!$L$5:$L$1004,1))</f>
        <v/>
      </c>
      <c r="W185" s="25" t="str">
        <f aca="false" t="array" ref="W185:W185">IF(OR(A185="",B185="",C185=""),"",_xlfn.TEXTJOIN("; ",TRUE(),IF(('Who Engaged'!$C$5:$C$1004=C185)*('Who Engaged'!$O$5:$O$1004="Yes"),'Who Engaged'!$D$5:$D$1004&amp;" – "&amp;'Who Engaged'!$F$5:$F$1004&amp;IF('Who Engaged'!$L$5:$L$1004=1," (followed)",""),"")))</f>
        <v/>
      </c>
      <c r="X185" s="26"/>
      <c r="Y185" s="26"/>
      <c r="Z185" s="27"/>
      <c r="AA185" s="24" t="str">
        <f aca="false">IF(OR(A185="",B185="",C185=""),"","https://www.alphanodus.com/contact?utm_source="&amp;IF(B185="X","twitter",LOWER(B185))&amp;"&amp;utm_medium=social&amp;utm_campaign="&amp;IF(E185="","general",LOWER(SUBSTITUTE(SUBSTITUTE(E185," / ","-")," ","-")))&amp;"&amp;utm_content="&amp;LOWER(C185))</f>
        <v/>
      </c>
    </row>
    <row r="186" customFormat="false" ht="15" hidden="false" customHeight="false" outlineLevel="0" collapsed="false">
      <c r="A186" s="28"/>
      <c r="B186" s="27"/>
      <c r="C186" s="27"/>
      <c r="D186" s="26"/>
      <c r="E186" s="27"/>
      <c r="F186" s="27"/>
      <c r="G186" s="27"/>
      <c r="H186" s="21"/>
      <c r="I186" s="21"/>
      <c r="J186" s="21"/>
      <c r="K186" s="21"/>
      <c r="L186" s="21"/>
      <c r="M186" s="21"/>
      <c r="N186" s="21"/>
      <c r="O186" s="21"/>
      <c r="P186" s="22" t="str">
        <f aca="false">IF(OR(A186="",B186="",C186=""),"",IF(COUNT(J186:N186)=0,"",SUM(J186:N186)))</f>
        <v/>
      </c>
      <c r="Q186" s="22" t="str">
        <f aca="false">IF(OR(A186="",B186="",C186=""),"",SUMIFS('Who Engaged'!$H$5:$H$1004,'Who Engaged'!$C$5:$C$1004,C186,'Who Engaged'!$N$5:$N$1004,"Yes")+SUMIFS('Who Engaged'!$I$5:$I$1004,'Who Engaged'!$C$5:$C$1004,C186,'Who Engaged'!$N$5:$N$1004,"Yes")+SUMIFS('Who Engaged'!$J$5:$J$1004,'Who Engaged'!$C$5:$C$1004,C186,'Who Engaged'!$N$5:$N$1004,"Yes")+SUMIFS('Who Engaged'!$K$5:$K$1004,'Who Engaged'!$C$5:$C$1004,C186,'Who Engaged'!$N$5:$N$1004,"Yes"))</f>
        <v/>
      </c>
      <c r="R186" s="22" t="str">
        <f aca="false">IF(OR(OR(A186="",B186="",C186=""),P186=""),"",MAX(0,P186-N(Q186)))</f>
        <v/>
      </c>
      <c r="S186" s="23" t="str">
        <f aca="false">IF(OR(OR(A186="",B186="",C186=""),R186=""),"",IFERROR(R186/(IF(N(H186)&gt;0,H186,IF(N(I186)&gt;0,I186,IF(COUNTIFS($B$16:$B$215,B186,$H$16:$H$215,"&gt;0")+COUNTIFS($B$16:$B$215,B186,$I$16:$I$215,"&gt;0")&gt;0,"",INDEX($B$5:$B$7,MATCH(B186,$A$5:$A$7,0)))))),""))</f>
        <v/>
      </c>
      <c r="T186" s="24" t="str">
        <f aca="false">IF(OR(A186="",B186="",C186=""),"",IF(OR(S186="",COUNTIFS($B$16:$B$215,B186,$S$16:$S$215,"&gt;=0")&lt;2),"No Data Yet",IFERROR(IF(S186/AVERAGEIFS($S$16:$S$215,$B$16:$B$215,B186)&gt;=1.2,"Good",IF(S186/AVERAGEIFS($S$16:$S$215,$B$16:$B$215,B186)&gt;=0.8,"Average","Below Standard")),"Average")))</f>
        <v/>
      </c>
      <c r="U186" s="22" t="str">
        <f aca="false">IF(OR(A186="",B186="",C186=""),"",COUNTIFS('Who Engaged'!$C$5:$C$1004,C186,'Who Engaged'!$O$5:$O$1004,"Yes",'Who Engaged'!$M$5:$M$1004,1))</f>
        <v/>
      </c>
      <c r="V186" s="22" t="str">
        <f aca="false">IF(OR(A186="",B186="",C186=""),"",COUNTIFS('Who Engaged'!$C$5:$C$1004,C186,'Who Engaged'!$O$5:$O$1004,"Yes",'Who Engaged'!$L$5:$L$1004,1))</f>
        <v/>
      </c>
      <c r="W186" s="25" t="str">
        <f aca="false" t="array" ref="W186:W186">IF(OR(A186="",B186="",C186=""),"",_xlfn.TEXTJOIN("; ",TRUE(),IF(('Who Engaged'!$C$5:$C$1004=C186)*('Who Engaged'!$O$5:$O$1004="Yes"),'Who Engaged'!$D$5:$D$1004&amp;" – "&amp;'Who Engaged'!$F$5:$F$1004&amp;IF('Who Engaged'!$L$5:$L$1004=1," (followed)",""),"")))</f>
        <v/>
      </c>
      <c r="X186" s="26"/>
      <c r="Y186" s="26"/>
      <c r="Z186" s="27"/>
      <c r="AA186" s="24" t="str">
        <f aca="false">IF(OR(A186="",B186="",C186=""),"","https://www.alphanodus.com/contact?utm_source="&amp;IF(B186="X","twitter",LOWER(B186))&amp;"&amp;utm_medium=social&amp;utm_campaign="&amp;IF(E186="","general",LOWER(SUBSTITUTE(SUBSTITUTE(E186," / ","-")," ","-")))&amp;"&amp;utm_content="&amp;LOWER(C186))</f>
        <v/>
      </c>
    </row>
    <row r="187" customFormat="false" ht="15" hidden="false" customHeight="false" outlineLevel="0" collapsed="false">
      <c r="A187" s="28"/>
      <c r="B187" s="27"/>
      <c r="C187" s="27"/>
      <c r="D187" s="26"/>
      <c r="E187" s="27"/>
      <c r="F187" s="27"/>
      <c r="G187" s="27"/>
      <c r="H187" s="21"/>
      <c r="I187" s="21"/>
      <c r="J187" s="21"/>
      <c r="K187" s="21"/>
      <c r="L187" s="21"/>
      <c r="M187" s="21"/>
      <c r="N187" s="21"/>
      <c r="O187" s="21"/>
      <c r="P187" s="22" t="str">
        <f aca="false">IF(OR(A187="",B187="",C187=""),"",IF(COUNT(J187:N187)=0,"",SUM(J187:N187)))</f>
        <v/>
      </c>
      <c r="Q187" s="22" t="str">
        <f aca="false">IF(OR(A187="",B187="",C187=""),"",SUMIFS('Who Engaged'!$H$5:$H$1004,'Who Engaged'!$C$5:$C$1004,C187,'Who Engaged'!$N$5:$N$1004,"Yes")+SUMIFS('Who Engaged'!$I$5:$I$1004,'Who Engaged'!$C$5:$C$1004,C187,'Who Engaged'!$N$5:$N$1004,"Yes")+SUMIFS('Who Engaged'!$J$5:$J$1004,'Who Engaged'!$C$5:$C$1004,C187,'Who Engaged'!$N$5:$N$1004,"Yes")+SUMIFS('Who Engaged'!$K$5:$K$1004,'Who Engaged'!$C$5:$C$1004,C187,'Who Engaged'!$N$5:$N$1004,"Yes"))</f>
        <v/>
      </c>
      <c r="R187" s="22" t="str">
        <f aca="false">IF(OR(OR(A187="",B187="",C187=""),P187=""),"",MAX(0,P187-N(Q187)))</f>
        <v/>
      </c>
      <c r="S187" s="23" t="str">
        <f aca="false">IF(OR(OR(A187="",B187="",C187=""),R187=""),"",IFERROR(R187/(IF(N(H187)&gt;0,H187,IF(N(I187)&gt;0,I187,IF(COUNTIFS($B$16:$B$215,B187,$H$16:$H$215,"&gt;0")+COUNTIFS($B$16:$B$215,B187,$I$16:$I$215,"&gt;0")&gt;0,"",INDEX($B$5:$B$7,MATCH(B187,$A$5:$A$7,0)))))),""))</f>
        <v/>
      </c>
      <c r="T187" s="24" t="str">
        <f aca="false">IF(OR(A187="",B187="",C187=""),"",IF(OR(S187="",COUNTIFS($B$16:$B$215,B187,$S$16:$S$215,"&gt;=0")&lt;2),"No Data Yet",IFERROR(IF(S187/AVERAGEIFS($S$16:$S$215,$B$16:$B$215,B187)&gt;=1.2,"Good",IF(S187/AVERAGEIFS($S$16:$S$215,$B$16:$B$215,B187)&gt;=0.8,"Average","Below Standard")),"Average")))</f>
        <v/>
      </c>
      <c r="U187" s="22" t="str">
        <f aca="false">IF(OR(A187="",B187="",C187=""),"",COUNTIFS('Who Engaged'!$C$5:$C$1004,C187,'Who Engaged'!$O$5:$O$1004,"Yes",'Who Engaged'!$M$5:$M$1004,1))</f>
        <v/>
      </c>
      <c r="V187" s="22" t="str">
        <f aca="false">IF(OR(A187="",B187="",C187=""),"",COUNTIFS('Who Engaged'!$C$5:$C$1004,C187,'Who Engaged'!$O$5:$O$1004,"Yes",'Who Engaged'!$L$5:$L$1004,1))</f>
        <v/>
      </c>
      <c r="W187" s="25" t="str">
        <f aca="false" t="array" ref="W187:W187">IF(OR(A187="",B187="",C187=""),"",_xlfn.TEXTJOIN("; ",TRUE(),IF(('Who Engaged'!$C$5:$C$1004=C187)*('Who Engaged'!$O$5:$O$1004="Yes"),'Who Engaged'!$D$5:$D$1004&amp;" – "&amp;'Who Engaged'!$F$5:$F$1004&amp;IF('Who Engaged'!$L$5:$L$1004=1," (followed)",""),"")))</f>
        <v/>
      </c>
      <c r="X187" s="26"/>
      <c r="Y187" s="26"/>
      <c r="Z187" s="27"/>
      <c r="AA187" s="24" t="str">
        <f aca="false">IF(OR(A187="",B187="",C187=""),"","https://www.alphanodus.com/contact?utm_source="&amp;IF(B187="X","twitter",LOWER(B187))&amp;"&amp;utm_medium=social&amp;utm_campaign="&amp;IF(E187="","general",LOWER(SUBSTITUTE(SUBSTITUTE(E187," / ","-")," ","-")))&amp;"&amp;utm_content="&amp;LOWER(C187))</f>
        <v/>
      </c>
    </row>
    <row r="188" customFormat="false" ht="15" hidden="false" customHeight="false" outlineLevel="0" collapsed="false">
      <c r="A188" s="28"/>
      <c r="B188" s="27"/>
      <c r="C188" s="27"/>
      <c r="D188" s="26"/>
      <c r="E188" s="27"/>
      <c r="F188" s="27"/>
      <c r="G188" s="27"/>
      <c r="H188" s="21"/>
      <c r="I188" s="21"/>
      <c r="J188" s="21"/>
      <c r="K188" s="21"/>
      <c r="L188" s="21"/>
      <c r="M188" s="21"/>
      <c r="N188" s="21"/>
      <c r="O188" s="21"/>
      <c r="P188" s="22" t="str">
        <f aca="false">IF(OR(A188="",B188="",C188=""),"",IF(COUNT(J188:N188)=0,"",SUM(J188:N188)))</f>
        <v/>
      </c>
      <c r="Q188" s="22" t="str">
        <f aca="false">IF(OR(A188="",B188="",C188=""),"",SUMIFS('Who Engaged'!$H$5:$H$1004,'Who Engaged'!$C$5:$C$1004,C188,'Who Engaged'!$N$5:$N$1004,"Yes")+SUMIFS('Who Engaged'!$I$5:$I$1004,'Who Engaged'!$C$5:$C$1004,C188,'Who Engaged'!$N$5:$N$1004,"Yes")+SUMIFS('Who Engaged'!$J$5:$J$1004,'Who Engaged'!$C$5:$C$1004,C188,'Who Engaged'!$N$5:$N$1004,"Yes")+SUMIFS('Who Engaged'!$K$5:$K$1004,'Who Engaged'!$C$5:$C$1004,C188,'Who Engaged'!$N$5:$N$1004,"Yes"))</f>
        <v/>
      </c>
      <c r="R188" s="22" t="str">
        <f aca="false">IF(OR(OR(A188="",B188="",C188=""),P188=""),"",MAX(0,P188-N(Q188)))</f>
        <v/>
      </c>
      <c r="S188" s="23" t="str">
        <f aca="false">IF(OR(OR(A188="",B188="",C188=""),R188=""),"",IFERROR(R188/(IF(N(H188)&gt;0,H188,IF(N(I188)&gt;0,I188,IF(COUNTIFS($B$16:$B$215,B188,$H$16:$H$215,"&gt;0")+COUNTIFS($B$16:$B$215,B188,$I$16:$I$215,"&gt;0")&gt;0,"",INDEX($B$5:$B$7,MATCH(B188,$A$5:$A$7,0)))))),""))</f>
        <v/>
      </c>
      <c r="T188" s="24" t="str">
        <f aca="false">IF(OR(A188="",B188="",C188=""),"",IF(OR(S188="",COUNTIFS($B$16:$B$215,B188,$S$16:$S$215,"&gt;=0")&lt;2),"No Data Yet",IFERROR(IF(S188/AVERAGEIFS($S$16:$S$215,$B$16:$B$215,B188)&gt;=1.2,"Good",IF(S188/AVERAGEIFS($S$16:$S$215,$B$16:$B$215,B188)&gt;=0.8,"Average","Below Standard")),"Average")))</f>
        <v/>
      </c>
      <c r="U188" s="22" t="str">
        <f aca="false">IF(OR(A188="",B188="",C188=""),"",COUNTIFS('Who Engaged'!$C$5:$C$1004,C188,'Who Engaged'!$O$5:$O$1004,"Yes",'Who Engaged'!$M$5:$M$1004,1))</f>
        <v/>
      </c>
      <c r="V188" s="22" t="str">
        <f aca="false">IF(OR(A188="",B188="",C188=""),"",COUNTIFS('Who Engaged'!$C$5:$C$1004,C188,'Who Engaged'!$O$5:$O$1004,"Yes",'Who Engaged'!$L$5:$L$1004,1))</f>
        <v/>
      </c>
      <c r="W188" s="25" t="str">
        <f aca="false" t="array" ref="W188:W188">IF(OR(A188="",B188="",C188=""),"",_xlfn.TEXTJOIN("; ",TRUE(),IF(('Who Engaged'!$C$5:$C$1004=C188)*('Who Engaged'!$O$5:$O$1004="Yes"),'Who Engaged'!$D$5:$D$1004&amp;" – "&amp;'Who Engaged'!$F$5:$F$1004&amp;IF('Who Engaged'!$L$5:$L$1004=1," (followed)",""),"")))</f>
        <v/>
      </c>
      <c r="X188" s="26"/>
      <c r="Y188" s="26"/>
      <c r="Z188" s="27"/>
      <c r="AA188" s="24" t="str">
        <f aca="false">IF(OR(A188="",B188="",C188=""),"","https://www.alphanodus.com/contact?utm_source="&amp;IF(B188="X","twitter",LOWER(B188))&amp;"&amp;utm_medium=social&amp;utm_campaign="&amp;IF(E188="","general",LOWER(SUBSTITUTE(SUBSTITUTE(E188," / ","-")," ","-")))&amp;"&amp;utm_content="&amp;LOWER(C188))</f>
        <v/>
      </c>
    </row>
    <row r="189" customFormat="false" ht="15" hidden="false" customHeight="false" outlineLevel="0" collapsed="false">
      <c r="A189" s="28"/>
      <c r="B189" s="27"/>
      <c r="C189" s="27"/>
      <c r="D189" s="26"/>
      <c r="E189" s="27"/>
      <c r="F189" s="27"/>
      <c r="G189" s="27"/>
      <c r="H189" s="21"/>
      <c r="I189" s="21"/>
      <c r="J189" s="21"/>
      <c r="K189" s="21"/>
      <c r="L189" s="21"/>
      <c r="M189" s="21"/>
      <c r="N189" s="21"/>
      <c r="O189" s="21"/>
      <c r="P189" s="22" t="str">
        <f aca="false">IF(OR(A189="",B189="",C189=""),"",IF(COUNT(J189:N189)=0,"",SUM(J189:N189)))</f>
        <v/>
      </c>
      <c r="Q189" s="22" t="str">
        <f aca="false">IF(OR(A189="",B189="",C189=""),"",SUMIFS('Who Engaged'!$H$5:$H$1004,'Who Engaged'!$C$5:$C$1004,C189,'Who Engaged'!$N$5:$N$1004,"Yes")+SUMIFS('Who Engaged'!$I$5:$I$1004,'Who Engaged'!$C$5:$C$1004,C189,'Who Engaged'!$N$5:$N$1004,"Yes")+SUMIFS('Who Engaged'!$J$5:$J$1004,'Who Engaged'!$C$5:$C$1004,C189,'Who Engaged'!$N$5:$N$1004,"Yes")+SUMIFS('Who Engaged'!$K$5:$K$1004,'Who Engaged'!$C$5:$C$1004,C189,'Who Engaged'!$N$5:$N$1004,"Yes"))</f>
        <v/>
      </c>
      <c r="R189" s="22" t="str">
        <f aca="false">IF(OR(OR(A189="",B189="",C189=""),P189=""),"",MAX(0,P189-N(Q189)))</f>
        <v/>
      </c>
      <c r="S189" s="23" t="str">
        <f aca="false">IF(OR(OR(A189="",B189="",C189=""),R189=""),"",IFERROR(R189/(IF(N(H189)&gt;0,H189,IF(N(I189)&gt;0,I189,IF(COUNTIFS($B$16:$B$215,B189,$H$16:$H$215,"&gt;0")+COUNTIFS($B$16:$B$215,B189,$I$16:$I$215,"&gt;0")&gt;0,"",INDEX($B$5:$B$7,MATCH(B189,$A$5:$A$7,0)))))),""))</f>
        <v/>
      </c>
      <c r="T189" s="24" t="str">
        <f aca="false">IF(OR(A189="",B189="",C189=""),"",IF(OR(S189="",COUNTIFS($B$16:$B$215,B189,$S$16:$S$215,"&gt;=0")&lt;2),"No Data Yet",IFERROR(IF(S189/AVERAGEIFS($S$16:$S$215,$B$16:$B$215,B189)&gt;=1.2,"Good",IF(S189/AVERAGEIFS($S$16:$S$215,$B$16:$B$215,B189)&gt;=0.8,"Average","Below Standard")),"Average")))</f>
        <v/>
      </c>
      <c r="U189" s="22" t="str">
        <f aca="false">IF(OR(A189="",B189="",C189=""),"",COUNTIFS('Who Engaged'!$C$5:$C$1004,C189,'Who Engaged'!$O$5:$O$1004,"Yes",'Who Engaged'!$M$5:$M$1004,1))</f>
        <v/>
      </c>
      <c r="V189" s="22" t="str">
        <f aca="false">IF(OR(A189="",B189="",C189=""),"",COUNTIFS('Who Engaged'!$C$5:$C$1004,C189,'Who Engaged'!$O$5:$O$1004,"Yes",'Who Engaged'!$L$5:$L$1004,1))</f>
        <v/>
      </c>
      <c r="W189" s="25" t="str">
        <f aca="false" t="array" ref="W189:W189">IF(OR(A189="",B189="",C189=""),"",_xlfn.TEXTJOIN("; ",TRUE(),IF(('Who Engaged'!$C$5:$C$1004=C189)*('Who Engaged'!$O$5:$O$1004="Yes"),'Who Engaged'!$D$5:$D$1004&amp;" – "&amp;'Who Engaged'!$F$5:$F$1004&amp;IF('Who Engaged'!$L$5:$L$1004=1," (followed)",""),"")))</f>
        <v/>
      </c>
      <c r="X189" s="26"/>
      <c r="Y189" s="26"/>
      <c r="Z189" s="27"/>
      <c r="AA189" s="24" t="str">
        <f aca="false">IF(OR(A189="",B189="",C189=""),"","https://www.alphanodus.com/contact?utm_source="&amp;IF(B189="X","twitter",LOWER(B189))&amp;"&amp;utm_medium=social&amp;utm_campaign="&amp;IF(E189="","general",LOWER(SUBSTITUTE(SUBSTITUTE(E189," / ","-")," ","-")))&amp;"&amp;utm_content="&amp;LOWER(C189))</f>
        <v/>
      </c>
    </row>
    <row r="190" customFormat="false" ht="15" hidden="false" customHeight="false" outlineLevel="0" collapsed="false">
      <c r="A190" s="28"/>
      <c r="B190" s="27"/>
      <c r="C190" s="27"/>
      <c r="D190" s="26"/>
      <c r="E190" s="27"/>
      <c r="F190" s="27"/>
      <c r="G190" s="27"/>
      <c r="H190" s="21"/>
      <c r="I190" s="21"/>
      <c r="J190" s="21"/>
      <c r="K190" s="21"/>
      <c r="L190" s="21"/>
      <c r="M190" s="21"/>
      <c r="N190" s="21"/>
      <c r="O190" s="21"/>
      <c r="P190" s="22" t="str">
        <f aca="false">IF(OR(A190="",B190="",C190=""),"",IF(COUNT(J190:N190)=0,"",SUM(J190:N190)))</f>
        <v/>
      </c>
      <c r="Q190" s="22" t="str">
        <f aca="false">IF(OR(A190="",B190="",C190=""),"",SUMIFS('Who Engaged'!$H$5:$H$1004,'Who Engaged'!$C$5:$C$1004,C190,'Who Engaged'!$N$5:$N$1004,"Yes")+SUMIFS('Who Engaged'!$I$5:$I$1004,'Who Engaged'!$C$5:$C$1004,C190,'Who Engaged'!$N$5:$N$1004,"Yes")+SUMIFS('Who Engaged'!$J$5:$J$1004,'Who Engaged'!$C$5:$C$1004,C190,'Who Engaged'!$N$5:$N$1004,"Yes")+SUMIFS('Who Engaged'!$K$5:$K$1004,'Who Engaged'!$C$5:$C$1004,C190,'Who Engaged'!$N$5:$N$1004,"Yes"))</f>
        <v/>
      </c>
      <c r="R190" s="22" t="str">
        <f aca="false">IF(OR(OR(A190="",B190="",C190=""),P190=""),"",MAX(0,P190-N(Q190)))</f>
        <v/>
      </c>
      <c r="S190" s="23" t="str">
        <f aca="false">IF(OR(OR(A190="",B190="",C190=""),R190=""),"",IFERROR(R190/(IF(N(H190)&gt;0,H190,IF(N(I190)&gt;0,I190,IF(COUNTIFS($B$16:$B$215,B190,$H$16:$H$215,"&gt;0")+COUNTIFS($B$16:$B$215,B190,$I$16:$I$215,"&gt;0")&gt;0,"",INDEX($B$5:$B$7,MATCH(B190,$A$5:$A$7,0)))))),""))</f>
        <v/>
      </c>
      <c r="T190" s="24" t="str">
        <f aca="false">IF(OR(A190="",B190="",C190=""),"",IF(OR(S190="",COUNTIFS($B$16:$B$215,B190,$S$16:$S$215,"&gt;=0")&lt;2),"No Data Yet",IFERROR(IF(S190/AVERAGEIFS($S$16:$S$215,$B$16:$B$215,B190)&gt;=1.2,"Good",IF(S190/AVERAGEIFS($S$16:$S$215,$B$16:$B$215,B190)&gt;=0.8,"Average","Below Standard")),"Average")))</f>
        <v/>
      </c>
      <c r="U190" s="22" t="str">
        <f aca="false">IF(OR(A190="",B190="",C190=""),"",COUNTIFS('Who Engaged'!$C$5:$C$1004,C190,'Who Engaged'!$O$5:$O$1004,"Yes",'Who Engaged'!$M$5:$M$1004,1))</f>
        <v/>
      </c>
      <c r="V190" s="22" t="str">
        <f aca="false">IF(OR(A190="",B190="",C190=""),"",COUNTIFS('Who Engaged'!$C$5:$C$1004,C190,'Who Engaged'!$O$5:$O$1004,"Yes",'Who Engaged'!$L$5:$L$1004,1))</f>
        <v/>
      </c>
      <c r="W190" s="25" t="str">
        <f aca="false" t="array" ref="W190:W190">IF(OR(A190="",B190="",C190=""),"",_xlfn.TEXTJOIN("; ",TRUE(),IF(('Who Engaged'!$C$5:$C$1004=C190)*('Who Engaged'!$O$5:$O$1004="Yes"),'Who Engaged'!$D$5:$D$1004&amp;" – "&amp;'Who Engaged'!$F$5:$F$1004&amp;IF('Who Engaged'!$L$5:$L$1004=1," (followed)",""),"")))</f>
        <v/>
      </c>
      <c r="X190" s="26"/>
      <c r="Y190" s="26"/>
      <c r="Z190" s="27"/>
      <c r="AA190" s="24" t="str">
        <f aca="false">IF(OR(A190="",B190="",C190=""),"","https://www.alphanodus.com/contact?utm_source="&amp;IF(B190="X","twitter",LOWER(B190))&amp;"&amp;utm_medium=social&amp;utm_campaign="&amp;IF(E190="","general",LOWER(SUBSTITUTE(SUBSTITUTE(E190," / ","-")," ","-")))&amp;"&amp;utm_content="&amp;LOWER(C190))</f>
        <v/>
      </c>
    </row>
    <row r="191" customFormat="false" ht="15" hidden="false" customHeight="false" outlineLevel="0" collapsed="false">
      <c r="A191" s="28"/>
      <c r="B191" s="27"/>
      <c r="C191" s="27"/>
      <c r="D191" s="26"/>
      <c r="E191" s="27"/>
      <c r="F191" s="27"/>
      <c r="G191" s="27"/>
      <c r="H191" s="21"/>
      <c r="I191" s="21"/>
      <c r="J191" s="21"/>
      <c r="K191" s="21"/>
      <c r="L191" s="21"/>
      <c r="M191" s="21"/>
      <c r="N191" s="21"/>
      <c r="O191" s="21"/>
      <c r="P191" s="22" t="str">
        <f aca="false">IF(OR(A191="",B191="",C191=""),"",IF(COUNT(J191:N191)=0,"",SUM(J191:N191)))</f>
        <v/>
      </c>
      <c r="Q191" s="22" t="str">
        <f aca="false">IF(OR(A191="",B191="",C191=""),"",SUMIFS('Who Engaged'!$H$5:$H$1004,'Who Engaged'!$C$5:$C$1004,C191,'Who Engaged'!$N$5:$N$1004,"Yes")+SUMIFS('Who Engaged'!$I$5:$I$1004,'Who Engaged'!$C$5:$C$1004,C191,'Who Engaged'!$N$5:$N$1004,"Yes")+SUMIFS('Who Engaged'!$J$5:$J$1004,'Who Engaged'!$C$5:$C$1004,C191,'Who Engaged'!$N$5:$N$1004,"Yes")+SUMIFS('Who Engaged'!$K$5:$K$1004,'Who Engaged'!$C$5:$C$1004,C191,'Who Engaged'!$N$5:$N$1004,"Yes"))</f>
        <v/>
      </c>
      <c r="R191" s="22" t="str">
        <f aca="false">IF(OR(OR(A191="",B191="",C191=""),P191=""),"",MAX(0,P191-N(Q191)))</f>
        <v/>
      </c>
      <c r="S191" s="23" t="str">
        <f aca="false">IF(OR(OR(A191="",B191="",C191=""),R191=""),"",IFERROR(R191/(IF(N(H191)&gt;0,H191,IF(N(I191)&gt;0,I191,IF(COUNTIFS($B$16:$B$215,B191,$H$16:$H$215,"&gt;0")+COUNTIFS($B$16:$B$215,B191,$I$16:$I$215,"&gt;0")&gt;0,"",INDEX($B$5:$B$7,MATCH(B191,$A$5:$A$7,0)))))),""))</f>
        <v/>
      </c>
      <c r="T191" s="24" t="str">
        <f aca="false">IF(OR(A191="",B191="",C191=""),"",IF(OR(S191="",COUNTIFS($B$16:$B$215,B191,$S$16:$S$215,"&gt;=0")&lt;2),"No Data Yet",IFERROR(IF(S191/AVERAGEIFS($S$16:$S$215,$B$16:$B$215,B191)&gt;=1.2,"Good",IF(S191/AVERAGEIFS($S$16:$S$215,$B$16:$B$215,B191)&gt;=0.8,"Average","Below Standard")),"Average")))</f>
        <v/>
      </c>
      <c r="U191" s="22" t="str">
        <f aca="false">IF(OR(A191="",B191="",C191=""),"",COUNTIFS('Who Engaged'!$C$5:$C$1004,C191,'Who Engaged'!$O$5:$O$1004,"Yes",'Who Engaged'!$M$5:$M$1004,1))</f>
        <v/>
      </c>
      <c r="V191" s="22" t="str">
        <f aca="false">IF(OR(A191="",B191="",C191=""),"",COUNTIFS('Who Engaged'!$C$5:$C$1004,C191,'Who Engaged'!$O$5:$O$1004,"Yes",'Who Engaged'!$L$5:$L$1004,1))</f>
        <v/>
      </c>
      <c r="W191" s="25" t="str">
        <f aca="false" t="array" ref="W191:W191">IF(OR(A191="",B191="",C191=""),"",_xlfn.TEXTJOIN("; ",TRUE(),IF(('Who Engaged'!$C$5:$C$1004=C191)*('Who Engaged'!$O$5:$O$1004="Yes"),'Who Engaged'!$D$5:$D$1004&amp;" – "&amp;'Who Engaged'!$F$5:$F$1004&amp;IF('Who Engaged'!$L$5:$L$1004=1," (followed)",""),"")))</f>
        <v/>
      </c>
      <c r="X191" s="26"/>
      <c r="Y191" s="26"/>
      <c r="Z191" s="27"/>
      <c r="AA191" s="24" t="str">
        <f aca="false">IF(OR(A191="",B191="",C191=""),"","https://www.alphanodus.com/contact?utm_source="&amp;IF(B191="X","twitter",LOWER(B191))&amp;"&amp;utm_medium=social&amp;utm_campaign="&amp;IF(E191="","general",LOWER(SUBSTITUTE(SUBSTITUTE(E191," / ","-")," ","-")))&amp;"&amp;utm_content="&amp;LOWER(C191))</f>
        <v/>
      </c>
    </row>
    <row r="192" customFormat="false" ht="15" hidden="false" customHeight="false" outlineLevel="0" collapsed="false">
      <c r="A192" s="28"/>
      <c r="B192" s="27"/>
      <c r="C192" s="27"/>
      <c r="D192" s="26"/>
      <c r="E192" s="27"/>
      <c r="F192" s="27"/>
      <c r="G192" s="27"/>
      <c r="H192" s="21"/>
      <c r="I192" s="21"/>
      <c r="J192" s="21"/>
      <c r="K192" s="21"/>
      <c r="L192" s="21"/>
      <c r="M192" s="21"/>
      <c r="N192" s="21"/>
      <c r="O192" s="21"/>
      <c r="P192" s="22" t="str">
        <f aca="false">IF(OR(A192="",B192="",C192=""),"",IF(COUNT(J192:N192)=0,"",SUM(J192:N192)))</f>
        <v/>
      </c>
      <c r="Q192" s="22" t="str">
        <f aca="false">IF(OR(A192="",B192="",C192=""),"",SUMIFS('Who Engaged'!$H$5:$H$1004,'Who Engaged'!$C$5:$C$1004,C192,'Who Engaged'!$N$5:$N$1004,"Yes")+SUMIFS('Who Engaged'!$I$5:$I$1004,'Who Engaged'!$C$5:$C$1004,C192,'Who Engaged'!$N$5:$N$1004,"Yes")+SUMIFS('Who Engaged'!$J$5:$J$1004,'Who Engaged'!$C$5:$C$1004,C192,'Who Engaged'!$N$5:$N$1004,"Yes")+SUMIFS('Who Engaged'!$K$5:$K$1004,'Who Engaged'!$C$5:$C$1004,C192,'Who Engaged'!$N$5:$N$1004,"Yes"))</f>
        <v/>
      </c>
      <c r="R192" s="22" t="str">
        <f aca="false">IF(OR(OR(A192="",B192="",C192=""),P192=""),"",MAX(0,P192-N(Q192)))</f>
        <v/>
      </c>
      <c r="S192" s="23" t="str">
        <f aca="false">IF(OR(OR(A192="",B192="",C192=""),R192=""),"",IFERROR(R192/(IF(N(H192)&gt;0,H192,IF(N(I192)&gt;0,I192,IF(COUNTIFS($B$16:$B$215,B192,$H$16:$H$215,"&gt;0")+COUNTIFS($B$16:$B$215,B192,$I$16:$I$215,"&gt;0")&gt;0,"",INDEX($B$5:$B$7,MATCH(B192,$A$5:$A$7,0)))))),""))</f>
        <v/>
      </c>
      <c r="T192" s="24" t="str">
        <f aca="false">IF(OR(A192="",B192="",C192=""),"",IF(OR(S192="",COUNTIFS($B$16:$B$215,B192,$S$16:$S$215,"&gt;=0")&lt;2),"No Data Yet",IFERROR(IF(S192/AVERAGEIFS($S$16:$S$215,$B$16:$B$215,B192)&gt;=1.2,"Good",IF(S192/AVERAGEIFS($S$16:$S$215,$B$16:$B$215,B192)&gt;=0.8,"Average","Below Standard")),"Average")))</f>
        <v/>
      </c>
      <c r="U192" s="22" t="str">
        <f aca="false">IF(OR(A192="",B192="",C192=""),"",COUNTIFS('Who Engaged'!$C$5:$C$1004,C192,'Who Engaged'!$O$5:$O$1004,"Yes",'Who Engaged'!$M$5:$M$1004,1))</f>
        <v/>
      </c>
      <c r="V192" s="22" t="str">
        <f aca="false">IF(OR(A192="",B192="",C192=""),"",COUNTIFS('Who Engaged'!$C$5:$C$1004,C192,'Who Engaged'!$O$5:$O$1004,"Yes",'Who Engaged'!$L$5:$L$1004,1))</f>
        <v/>
      </c>
      <c r="W192" s="25" t="str">
        <f aca="false" t="array" ref="W192:W192">IF(OR(A192="",B192="",C192=""),"",_xlfn.TEXTJOIN("; ",TRUE(),IF(('Who Engaged'!$C$5:$C$1004=C192)*('Who Engaged'!$O$5:$O$1004="Yes"),'Who Engaged'!$D$5:$D$1004&amp;" – "&amp;'Who Engaged'!$F$5:$F$1004&amp;IF('Who Engaged'!$L$5:$L$1004=1," (followed)",""),"")))</f>
        <v/>
      </c>
      <c r="X192" s="26"/>
      <c r="Y192" s="26"/>
      <c r="Z192" s="27"/>
      <c r="AA192" s="24" t="str">
        <f aca="false">IF(OR(A192="",B192="",C192=""),"","https://www.alphanodus.com/contact?utm_source="&amp;IF(B192="X","twitter",LOWER(B192))&amp;"&amp;utm_medium=social&amp;utm_campaign="&amp;IF(E192="","general",LOWER(SUBSTITUTE(SUBSTITUTE(E192," / ","-")," ","-")))&amp;"&amp;utm_content="&amp;LOWER(C192))</f>
        <v/>
      </c>
    </row>
    <row r="193" customFormat="false" ht="15" hidden="false" customHeight="false" outlineLevel="0" collapsed="false">
      <c r="A193" s="28"/>
      <c r="B193" s="27"/>
      <c r="C193" s="27"/>
      <c r="D193" s="26"/>
      <c r="E193" s="27"/>
      <c r="F193" s="27"/>
      <c r="G193" s="27"/>
      <c r="H193" s="21"/>
      <c r="I193" s="21"/>
      <c r="J193" s="21"/>
      <c r="K193" s="21"/>
      <c r="L193" s="21"/>
      <c r="M193" s="21"/>
      <c r="N193" s="21"/>
      <c r="O193" s="21"/>
      <c r="P193" s="22" t="str">
        <f aca="false">IF(OR(A193="",B193="",C193=""),"",IF(COUNT(J193:N193)=0,"",SUM(J193:N193)))</f>
        <v/>
      </c>
      <c r="Q193" s="22" t="str">
        <f aca="false">IF(OR(A193="",B193="",C193=""),"",SUMIFS('Who Engaged'!$H$5:$H$1004,'Who Engaged'!$C$5:$C$1004,C193,'Who Engaged'!$N$5:$N$1004,"Yes")+SUMIFS('Who Engaged'!$I$5:$I$1004,'Who Engaged'!$C$5:$C$1004,C193,'Who Engaged'!$N$5:$N$1004,"Yes")+SUMIFS('Who Engaged'!$J$5:$J$1004,'Who Engaged'!$C$5:$C$1004,C193,'Who Engaged'!$N$5:$N$1004,"Yes")+SUMIFS('Who Engaged'!$K$5:$K$1004,'Who Engaged'!$C$5:$C$1004,C193,'Who Engaged'!$N$5:$N$1004,"Yes"))</f>
        <v/>
      </c>
      <c r="R193" s="22" t="str">
        <f aca="false">IF(OR(OR(A193="",B193="",C193=""),P193=""),"",MAX(0,P193-N(Q193)))</f>
        <v/>
      </c>
      <c r="S193" s="23" t="str">
        <f aca="false">IF(OR(OR(A193="",B193="",C193=""),R193=""),"",IFERROR(R193/(IF(N(H193)&gt;0,H193,IF(N(I193)&gt;0,I193,IF(COUNTIFS($B$16:$B$215,B193,$H$16:$H$215,"&gt;0")+COUNTIFS($B$16:$B$215,B193,$I$16:$I$215,"&gt;0")&gt;0,"",INDEX($B$5:$B$7,MATCH(B193,$A$5:$A$7,0)))))),""))</f>
        <v/>
      </c>
      <c r="T193" s="24" t="str">
        <f aca="false">IF(OR(A193="",B193="",C193=""),"",IF(OR(S193="",COUNTIFS($B$16:$B$215,B193,$S$16:$S$215,"&gt;=0")&lt;2),"No Data Yet",IFERROR(IF(S193/AVERAGEIFS($S$16:$S$215,$B$16:$B$215,B193)&gt;=1.2,"Good",IF(S193/AVERAGEIFS($S$16:$S$215,$B$16:$B$215,B193)&gt;=0.8,"Average","Below Standard")),"Average")))</f>
        <v/>
      </c>
      <c r="U193" s="22" t="str">
        <f aca="false">IF(OR(A193="",B193="",C193=""),"",COUNTIFS('Who Engaged'!$C$5:$C$1004,C193,'Who Engaged'!$O$5:$O$1004,"Yes",'Who Engaged'!$M$5:$M$1004,1))</f>
        <v/>
      </c>
      <c r="V193" s="22" t="str">
        <f aca="false">IF(OR(A193="",B193="",C193=""),"",COUNTIFS('Who Engaged'!$C$5:$C$1004,C193,'Who Engaged'!$O$5:$O$1004,"Yes",'Who Engaged'!$L$5:$L$1004,1))</f>
        <v/>
      </c>
      <c r="W193" s="25" t="str">
        <f aca="false" t="array" ref="W193:W193">IF(OR(A193="",B193="",C193=""),"",_xlfn.TEXTJOIN("; ",TRUE(),IF(('Who Engaged'!$C$5:$C$1004=C193)*('Who Engaged'!$O$5:$O$1004="Yes"),'Who Engaged'!$D$5:$D$1004&amp;" – "&amp;'Who Engaged'!$F$5:$F$1004&amp;IF('Who Engaged'!$L$5:$L$1004=1," (followed)",""),"")))</f>
        <v/>
      </c>
      <c r="X193" s="26"/>
      <c r="Y193" s="26"/>
      <c r="Z193" s="27"/>
      <c r="AA193" s="24" t="str">
        <f aca="false">IF(OR(A193="",B193="",C193=""),"","https://www.alphanodus.com/contact?utm_source="&amp;IF(B193="X","twitter",LOWER(B193))&amp;"&amp;utm_medium=social&amp;utm_campaign="&amp;IF(E193="","general",LOWER(SUBSTITUTE(SUBSTITUTE(E193," / ","-")," ","-")))&amp;"&amp;utm_content="&amp;LOWER(C193))</f>
        <v/>
      </c>
    </row>
    <row r="194" customFormat="false" ht="15" hidden="false" customHeight="false" outlineLevel="0" collapsed="false">
      <c r="A194" s="28"/>
      <c r="B194" s="27"/>
      <c r="C194" s="27"/>
      <c r="D194" s="26"/>
      <c r="E194" s="27"/>
      <c r="F194" s="27"/>
      <c r="G194" s="27"/>
      <c r="H194" s="21"/>
      <c r="I194" s="21"/>
      <c r="J194" s="21"/>
      <c r="K194" s="21"/>
      <c r="L194" s="21"/>
      <c r="M194" s="21"/>
      <c r="N194" s="21"/>
      <c r="O194" s="21"/>
      <c r="P194" s="22" t="str">
        <f aca="false">IF(OR(A194="",B194="",C194=""),"",IF(COUNT(J194:N194)=0,"",SUM(J194:N194)))</f>
        <v/>
      </c>
      <c r="Q194" s="22" t="str">
        <f aca="false">IF(OR(A194="",B194="",C194=""),"",SUMIFS('Who Engaged'!$H$5:$H$1004,'Who Engaged'!$C$5:$C$1004,C194,'Who Engaged'!$N$5:$N$1004,"Yes")+SUMIFS('Who Engaged'!$I$5:$I$1004,'Who Engaged'!$C$5:$C$1004,C194,'Who Engaged'!$N$5:$N$1004,"Yes")+SUMIFS('Who Engaged'!$J$5:$J$1004,'Who Engaged'!$C$5:$C$1004,C194,'Who Engaged'!$N$5:$N$1004,"Yes")+SUMIFS('Who Engaged'!$K$5:$K$1004,'Who Engaged'!$C$5:$C$1004,C194,'Who Engaged'!$N$5:$N$1004,"Yes"))</f>
        <v/>
      </c>
      <c r="R194" s="22" t="str">
        <f aca="false">IF(OR(OR(A194="",B194="",C194=""),P194=""),"",MAX(0,P194-N(Q194)))</f>
        <v/>
      </c>
      <c r="S194" s="23" t="str">
        <f aca="false">IF(OR(OR(A194="",B194="",C194=""),R194=""),"",IFERROR(R194/(IF(N(H194)&gt;0,H194,IF(N(I194)&gt;0,I194,IF(COUNTIFS($B$16:$B$215,B194,$H$16:$H$215,"&gt;0")+COUNTIFS($B$16:$B$215,B194,$I$16:$I$215,"&gt;0")&gt;0,"",INDEX($B$5:$B$7,MATCH(B194,$A$5:$A$7,0)))))),""))</f>
        <v/>
      </c>
      <c r="T194" s="24" t="str">
        <f aca="false">IF(OR(A194="",B194="",C194=""),"",IF(OR(S194="",COUNTIFS($B$16:$B$215,B194,$S$16:$S$215,"&gt;=0")&lt;2),"No Data Yet",IFERROR(IF(S194/AVERAGEIFS($S$16:$S$215,$B$16:$B$215,B194)&gt;=1.2,"Good",IF(S194/AVERAGEIFS($S$16:$S$215,$B$16:$B$215,B194)&gt;=0.8,"Average","Below Standard")),"Average")))</f>
        <v/>
      </c>
      <c r="U194" s="22" t="str">
        <f aca="false">IF(OR(A194="",B194="",C194=""),"",COUNTIFS('Who Engaged'!$C$5:$C$1004,C194,'Who Engaged'!$O$5:$O$1004,"Yes",'Who Engaged'!$M$5:$M$1004,1))</f>
        <v/>
      </c>
      <c r="V194" s="22" t="str">
        <f aca="false">IF(OR(A194="",B194="",C194=""),"",COUNTIFS('Who Engaged'!$C$5:$C$1004,C194,'Who Engaged'!$O$5:$O$1004,"Yes",'Who Engaged'!$L$5:$L$1004,1))</f>
        <v/>
      </c>
      <c r="W194" s="25" t="str">
        <f aca="false" t="array" ref="W194:W194">IF(OR(A194="",B194="",C194=""),"",_xlfn.TEXTJOIN("; ",TRUE(),IF(('Who Engaged'!$C$5:$C$1004=C194)*('Who Engaged'!$O$5:$O$1004="Yes"),'Who Engaged'!$D$5:$D$1004&amp;" – "&amp;'Who Engaged'!$F$5:$F$1004&amp;IF('Who Engaged'!$L$5:$L$1004=1," (followed)",""),"")))</f>
        <v/>
      </c>
      <c r="X194" s="26"/>
      <c r="Y194" s="26"/>
      <c r="Z194" s="27"/>
      <c r="AA194" s="24" t="str">
        <f aca="false">IF(OR(A194="",B194="",C194=""),"","https://www.alphanodus.com/contact?utm_source="&amp;IF(B194="X","twitter",LOWER(B194))&amp;"&amp;utm_medium=social&amp;utm_campaign="&amp;IF(E194="","general",LOWER(SUBSTITUTE(SUBSTITUTE(E194," / ","-")," ","-")))&amp;"&amp;utm_content="&amp;LOWER(C194))</f>
        <v/>
      </c>
    </row>
    <row r="195" customFormat="false" ht="15" hidden="false" customHeight="false" outlineLevel="0" collapsed="false">
      <c r="A195" s="28"/>
      <c r="B195" s="27"/>
      <c r="C195" s="27"/>
      <c r="D195" s="26"/>
      <c r="E195" s="27"/>
      <c r="F195" s="27"/>
      <c r="G195" s="27"/>
      <c r="H195" s="21"/>
      <c r="I195" s="21"/>
      <c r="J195" s="21"/>
      <c r="K195" s="21"/>
      <c r="L195" s="21"/>
      <c r="M195" s="21"/>
      <c r="N195" s="21"/>
      <c r="O195" s="21"/>
      <c r="P195" s="22" t="str">
        <f aca="false">IF(OR(A195="",B195="",C195=""),"",IF(COUNT(J195:N195)=0,"",SUM(J195:N195)))</f>
        <v/>
      </c>
      <c r="Q195" s="22" t="str">
        <f aca="false">IF(OR(A195="",B195="",C195=""),"",SUMIFS('Who Engaged'!$H$5:$H$1004,'Who Engaged'!$C$5:$C$1004,C195,'Who Engaged'!$N$5:$N$1004,"Yes")+SUMIFS('Who Engaged'!$I$5:$I$1004,'Who Engaged'!$C$5:$C$1004,C195,'Who Engaged'!$N$5:$N$1004,"Yes")+SUMIFS('Who Engaged'!$J$5:$J$1004,'Who Engaged'!$C$5:$C$1004,C195,'Who Engaged'!$N$5:$N$1004,"Yes")+SUMIFS('Who Engaged'!$K$5:$K$1004,'Who Engaged'!$C$5:$C$1004,C195,'Who Engaged'!$N$5:$N$1004,"Yes"))</f>
        <v/>
      </c>
      <c r="R195" s="22" t="str">
        <f aca="false">IF(OR(OR(A195="",B195="",C195=""),P195=""),"",MAX(0,P195-N(Q195)))</f>
        <v/>
      </c>
      <c r="S195" s="23" t="str">
        <f aca="false">IF(OR(OR(A195="",B195="",C195=""),R195=""),"",IFERROR(R195/(IF(N(H195)&gt;0,H195,IF(N(I195)&gt;0,I195,IF(COUNTIFS($B$16:$B$215,B195,$H$16:$H$215,"&gt;0")+COUNTIFS($B$16:$B$215,B195,$I$16:$I$215,"&gt;0")&gt;0,"",INDEX($B$5:$B$7,MATCH(B195,$A$5:$A$7,0)))))),""))</f>
        <v/>
      </c>
      <c r="T195" s="24" t="str">
        <f aca="false">IF(OR(A195="",B195="",C195=""),"",IF(OR(S195="",COUNTIFS($B$16:$B$215,B195,$S$16:$S$215,"&gt;=0")&lt;2),"No Data Yet",IFERROR(IF(S195/AVERAGEIFS($S$16:$S$215,$B$16:$B$215,B195)&gt;=1.2,"Good",IF(S195/AVERAGEIFS($S$16:$S$215,$B$16:$B$215,B195)&gt;=0.8,"Average","Below Standard")),"Average")))</f>
        <v/>
      </c>
      <c r="U195" s="22" t="str">
        <f aca="false">IF(OR(A195="",B195="",C195=""),"",COUNTIFS('Who Engaged'!$C$5:$C$1004,C195,'Who Engaged'!$O$5:$O$1004,"Yes",'Who Engaged'!$M$5:$M$1004,1))</f>
        <v/>
      </c>
      <c r="V195" s="22" t="str">
        <f aca="false">IF(OR(A195="",B195="",C195=""),"",COUNTIFS('Who Engaged'!$C$5:$C$1004,C195,'Who Engaged'!$O$5:$O$1004,"Yes",'Who Engaged'!$L$5:$L$1004,1))</f>
        <v/>
      </c>
      <c r="W195" s="25" t="str">
        <f aca="false" t="array" ref="W195:W195">IF(OR(A195="",B195="",C195=""),"",_xlfn.TEXTJOIN("; ",TRUE(),IF(('Who Engaged'!$C$5:$C$1004=C195)*('Who Engaged'!$O$5:$O$1004="Yes"),'Who Engaged'!$D$5:$D$1004&amp;" – "&amp;'Who Engaged'!$F$5:$F$1004&amp;IF('Who Engaged'!$L$5:$L$1004=1," (followed)",""),"")))</f>
        <v/>
      </c>
      <c r="X195" s="26"/>
      <c r="Y195" s="26"/>
      <c r="Z195" s="27"/>
      <c r="AA195" s="24" t="str">
        <f aca="false">IF(OR(A195="",B195="",C195=""),"","https://www.alphanodus.com/contact?utm_source="&amp;IF(B195="X","twitter",LOWER(B195))&amp;"&amp;utm_medium=social&amp;utm_campaign="&amp;IF(E195="","general",LOWER(SUBSTITUTE(SUBSTITUTE(E195," / ","-")," ","-")))&amp;"&amp;utm_content="&amp;LOWER(C195))</f>
        <v/>
      </c>
    </row>
    <row r="196" customFormat="false" ht="15" hidden="false" customHeight="false" outlineLevel="0" collapsed="false">
      <c r="A196" s="28"/>
      <c r="B196" s="27"/>
      <c r="C196" s="27"/>
      <c r="D196" s="26"/>
      <c r="E196" s="27"/>
      <c r="F196" s="27"/>
      <c r="G196" s="27"/>
      <c r="H196" s="21"/>
      <c r="I196" s="21"/>
      <c r="J196" s="21"/>
      <c r="K196" s="21"/>
      <c r="L196" s="21"/>
      <c r="M196" s="21"/>
      <c r="N196" s="21"/>
      <c r="O196" s="21"/>
      <c r="P196" s="22" t="str">
        <f aca="false">IF(OR(A196="",B196="",C196=""),"",IF(COUNT(J196:N196)=0,"",SUM(J196:N196)))</f>
        <v/>
      </c>
      <c r="Q196" s="22" t="str">
        <f aca="false">IF(OR(A196="",B196="",C196=""),"",SUMIFS('Who Engaged'!$H$5:$H$1004,'Who Engaged'!$C$5:$C$1004,C196,'Who Engaged'!$N$5:$N$1004,"Yes")+SUMIFS('Who Engaged'!$I$5:$I$1004,'Who Engaged'!$C$5:$C$1004,C196,'Who Engaged'!$N$5:$N$1004,"Yes")+SUMIFS('Who Engaged'!$J$5:$J$1004,'Who Engaged'!$C$5:$C$1004,C196,'Who Engaged'!$N$5:$N$1004,"Yes")+SUMIFS('Who Engaged'!$K$5:$K$1004,'Who Engaged'!$C$5:$C$1004,C196,'Who Engaged'!$N$5:$N$1004,"Yes"))</f>
        <v/>
      </c>
      <c r="R196" s="22" t="str">
        <f aca="false">IF(OR(OR(A196="",B196="",C196=""),P196=""),"",MAX(0,P196-N(Q196)))</f>
        <v/>
      </c>
      <c r="S196" s="23" t="str">
        <f aca="false">IF(OR(OR(A196="",B196="",C196=""),R196=""),"",IFERROR(R196/(IF(N(H196)&gt;0,H196,IF(N(I196)&gt;0,I196,IF(COUNTIFS($B$16:$B$215,B196,$H$16:$H$215,"&gt;0")+COUNTIFS($B$16:$B$215,B196,$I$16:$I$215,"&gt;0")&gt;0,"",INDEX($B$5:$B$7,MATCH(B196,$A$5:$A$7,0)))))),""))</f>
        <v/>
      </c>
      <c r="T196" s="24" t="str">
        <f aca="false">IF(OR(A196="",B196="",C196=""),"",IF(OR(S196="",COUNTIFS($B$16:$B$215,B196,$S$16:$S$215,"&gt;=0")&lt;2),"No Data Yet",IFERROR(IF(S196/AVERAGEIFS($S$16:$S$215,$B$16:$B$215,B196)&gt;=1.2,"Good",IF(S196/AVERAGEIFS($S$16:$S$215,$B$16:$B$215,B196)&gt;=0.8,"Average","Below Standard")),"Average")))</f>
        <v/>
      </c>
      <c r="U196" s="22" t="str">
        <f aca="false">IF(OR(A196="",B196="",C196=""),"",COUNTIFS('Who Engaged'!$C$5:$C$1004,C196,'Who Engaged'!$O$5:$O$1004,"Yes",'Who Engaged'!$M$5:$M$1004,1))</f>
        <v/>
      </c>
      <c r="V196" s="22" t="str">
        <f aca="false">IF(OR(A196="",B196="",C196=""),"",COUNTIFS('Who Engaged'!$C$5:$C$1004,C196,'Who Engaged'!$O$5:$O$1004,"Yes",'Who Engaged'!$L$5:$L$1004,1))</f>
        <v/>
      </c>
      <c r="W196" s="25" t="str">
        <f aca="false" t="array" ref="W196:W196">IF(OR(A196="",B196="",C196=""),"",_xlfn.TEXTJOIN("; ",TRUE(),IF(('Who Engaged'!$C$5:$C$1004=C196)*('Who Engaged'!$O$5:$O$1004="Yes"),'Who Engaged'!$D$5:$D$1004&amp;" – "&amp;'Who Engaged'!$F$5:$F$1004&amp;IF('Who Engaged'!$L$5:$L$1004=1," (followed)",""),"")))</f>
        <v/>
      </c>
      <c r="X196" s="26"/>
      <c r="Y196" s="26"/>
      <c r="Z196" s="27"/>
      <c r="AA196" s="24" t="str">
        <f aca="false">IF(OR(A196="",B196="",C196=""),"","https://www.alphanodus.com/contact?utm_source="&amp;IF(B196="X","twitter",LOWER(B196))&amp;"&amp;utm_medium=social&amp;utm_campaign="&amp;IF(E196="","general",LOWER(SUBSTITUTE(SUBSTITUTE(E196," / ","-")," ","-")))&amp;"&amp;utm_content="&amp;LOWER(C196))</f>
        <v/>
      </c>
    </row>
    <row r="197" customFormat="false" ht="15" hidden="false" customHeight="false" outlineLevel="0" collapsed="false">
      <c r="A197" s="28"/>
      <c r="B197" s="27"/>
      <c r="C197" s="27"/>
      <c r="D197" s="26"/>
      <c r="E197" s="27"/>
      <c r="F197" s="27"/>
      <c r="G197" s="27"/>
      <c r="H197" s="21"/>
      <c r="I197" s="21"/>
      <c r="J197" s="21"/>
      <c r="K197" s="21"/>
      <c r="L197" s="21"/>
      <c r="M197" s="21"/>
      <c r="N197" s="21"/>
      <c r="O197" s="21"/>
      <c r="P197" s="22" t="str">
        <f aca="false">IF(OR(A197="",B197="",C197=""),"",IF(COUNT(J197:N197)=0,"",SUM(J197:N197)))</f>
        <v/>
      </c>
      <c r="Q197" s="22" t="str">
        <f aca="false">IF(OR(A197="",B197="",C197=""),"",SUMIFS('Who Engaged'!$H$5:$H$1004,'Who Engaged'!$C$5:$C$1004,C197,'Who Engaged'!$N$5:$N$1004,"Yes")+SUMIFS('Who Engaged'!$I$5:$I$1004,'Who Engaged'!$C$5:$C$1004,C197,'Who Engaged'!$N$5:$N$1004,"Yes")+SUMIFS('Who Engaged'!$J$5:$J$1004,'Who Engaged'!$C$5:$C$1004,C197,'Who Engaged'!$N$5:$N$1004,"Yes")+SUMIFS('Who Engaged'!$K$5:$K$1004,'Who Engaged'!$C$5:$C$1004,C197,'Who Engaged'!$N$5:$N$1004,"Yes"))</f>
        <v/>
      </c>
      <c r="R197" s="22" t="str">
        <f aca="false">IF(OR(OR(A197="",B197="",C197=""),P197=""),"",MAX(0,P197-N(Q197)))</f>
        <v/>
      </c>
      <c r="S197" s="23" t="str">
        <f aca="false">IF(OR(OR(A197="",B197="",C197=""),R197=""),"",IFERROR(R197/(IF(N(H197)&gt;0,H197,IF(N(I197)&gt;0,I197,IF(COUNTIFS($B$16:$B$215,B197,$H$16:$H$215,"&gt;0")+COUNTIFS($B$16:$B$215,B197,$I$16:$I$215,"&gt;0")&gt;0,"",INDEX($B$5:$B$7,MATCH(B197,$A$5:$A$7,0)))))),""))</f>
        <v/>
      </c>
      <c r="T197" s="24" t="str">
        <f aca="false">IF(OR(A197="",B197="",C197=""),"",IF(OR(S197="",COUNTIFS($B$16:$B$215,B197,$S$16:$S$215,"&gt;=0")&lt;2),"No Data Yet",IFERROR(IF(S197/AVERAGEIFS($S$16:$S$215,$B$16:$B$215,B197)&gt;=1.2,"Good",IF(S197/AVERAGEIFS($S$16:$S$215,$B$16:$B$215,B197)&gt;=0.8,"Average","Below Standard")),"Average")))</f>
        <v/>
      </c>
      <c r="U197" s="22" t="str">
        <f aca="false">IF(OR(A197="",B197="",C197=""),"",COUNTIFS('Who Engaged'!$C$5:$C$1004,C197,'Who Engaged'!$O$5:$O$1004,"Yes",'Who Engaged'!$M$5:$M$1004,1))</f>
        <v/>
      </c>
      <c r="V197" s="22" t="str">
        <f aca="false">IF(OR(A197="",B197="",C197=""),"",COUNTIFS('Who Engaged'!$C$5:$C$1004,C197,'Who Engaged'!$O$5:$O$1004,"Yes",'Who Engaged'!$L$5:$L$1004,1))</f>
        <v/>
      </c>
      <c r="W197" s="25" t="str">
        <f aca="false" t="array" ref="W197:W197">IF(OR(A197="",B197="",C197=""),"",_xlfn.TEXTJOIN("; ",TRUE(),IF(('Who Engaged'!$C$5:$C$1004=C197)*('Who Engaged'!$O$5:$O$1004="Yes"),'Who Engaged'!$D$5:$D$1004&amp;" – "&amp;'Who Engaged'!$F$5:$F$1004&amp;IF('Who Engaged'!$L$5:$L$1004=1," (followed)",""),"")))</f>
        <v/>
      </c>
      <c r="X197" s="26"/>
      <c r="Y197" s="26"/>
      <c r="Z197" s="27"/>
      <c r="AA197" s="24" t="str">
        <f aca="false">IF(OR(A197="",B197="",C197=""),"","https://www.alphanodus.com/contact?utm_source="&amp;IF(B197="X","twitter",LOWER(B197))&amp;"&amp;utm_medium=social&amp;utm_campaign="&amp;IF(E197="","general",LOWER(SUBSTITUTE(SUBSTITUTE(E197," / ","-")," ","-")))&amp;"&amp;utm_content="&amp;LOWER(C197))</f>
        <v/>
      </c>
    </row>
    <row r="198" customFormat="false" ht="15" hidden="false" customHeight="false" outlineLevel="0" collapsed="false">
      <c r="A198" s="28"/>
      <c r="B198" s="27"/>
      <c r="C198" s="27"/>
      <c r="D198" s="26"/>
      <c r="E198" s="27"/>
      <c r="F198" s="27"/>
      <c r="G198" s="27"/>
      <c r="H198" s="21"/>
      <c r="I198" s="21"/>
      <c r="J198" s="21"/>
      <c r="K198" s="21"/>
      <c r="L198" s="21"/>
      <c r="M198" s="21"/>
      <c r="N198" s="21"/>
      <c r="O198" s="21"/>
      <c r="P198" s="22" t="str">
        <f aca="false">IF(OR(A198="",B198="",C198=""),"",IF(COUNT(J198:N198)=0,"",SUM(J198:N198)))</f>
        <v/>
      </c>
      <c r="Q198" s="22" t="str">
        <f aca="false">IF(OR(A198="",B198="",C198=""),"",SUMIFS('Who Engaged'!$H$5:$H$1004,'Who Engaged'!$C$5:$C$1004,C198,'Who Engaged'!$N$5:$N$1004,"Yes")+SUMIFS('Who Engaged'!$I$5:$I$1004,'Who Engaged'!$C$5:$C$1004,C198,'Who Engaged'!$N$5:$N$1004,"Yes")+SUMIFS('Who Engaged'!$J$5:$J$1004,'Who Engaged'!$C$5:$C$1004,C198,'Who Engaged'!$N$5:$N$1004,"Yes")+SUMIFS('Who Engaged'!$K$5:$K$1004,'Who Engaged'!$C$5:$C$1004,C198,'Who Engaged'!$N$5:$N$1004,"Yes"))</f>
        <v/>
      </c>
      <c r="R198" s="22" t="str">
        <f aca="false">IF(OR(OR(A198="",B198="",C198=""),P198=""),"",MAX(0,P198-N(Q198)))</f>
        <v/>
      </c>
      <c r="S198" s="23" t="str">
        <f aca="false">IF(OR(OR(A198="",B198="",C198=""),R198=""),"",IFERROR(R198/(IF(N(H198)&gt;0,H198,IF(N(I198)&gt;0,I198,IF(COUNTIFS($B$16:$B$215,B198,$H$16:$H$215,"&gt;0")+COUNTIFS($B$16:$B$215,B198,$I$16:$I$215,"&gt;0")&gt;0,"",INDEX($B$5:$B$7,MATCH(B198,$A$5:$A$7,0)))))),""))</f>
        <v/>
      </c>
      <c r="T198" s="24" t="str">
        <f aca="false">IF(OR(A198="",B198="",C198=""),"",IF(OR(S198="",COUNTIFS($B$16:$B$215,B198,$S$16:$S$215,"&gt;=0")&lt;2),"No Data Yet",IFERROR(IF(S198/AVERAGEIFS($S$16:$S$215,$B$16:$B$215,B198)&gt;=1.2,"Good",IF(S198/AVERAGEIFS($S$16:$S$215,$B$16:$B$215,B198)&gt;=0.8,"Average","Below Standard")),"Average")))</f>
        <v/>
      </c>
      <c r="U198" s="22" t="str">
        <f aca="false">IF(OR(A198="",B198="",C198=""),"",COUNTIFS('Who Engaged'!$C$5:$C$1004,C198,'Who Engaged'!$O$5:$O$1004,"Yes",'Who Engaged'!$M$5:$M$1004,1))</f>
        <v/>
      </c>
      <c r="V198" s="22" t="str">
        <f aca="false">IF(OR(A198="",B198="",C198=""),"",COUNTIFS('Who Engaged'!$C$5:$C$1004,C198,'Who Engaged'!$O$5:$O$1004,"Yes",'Who Engaged'!$L$5:$L$1004,1))</f>
        <v/>
      </c>
      <c r="W198" s="25" t="str">
        <f aca="false" t="array" ref="W198:W198">IF(OR(A198="",B198="",C198=""),"",_xlfn.TEXTJOIN("; ",TRUE(),IF(('Who Engaged'!$C$5:$C$1004=C198)*('Who Engaged'!$O$5:$O$1004="Yes"),'Who Engaged'!$D$5:$D$1004&amp;" – "&amp;'Who Engaged'!$F$5:$F$1004&amp;IF('Who Engaged'!$L$5:$L$1004=1," (followed)",""),"")))</f>
        <v/>
      </c>
      <c r="X198" s="26"/>
      <c r="Y198" s="26"/>
      <c r="Z198" s="27"/>
      <c r="AA198" s="24" t="str">
        <f aca="false">IF(OR(A198="",B198="",C198=""),"","https://www.alphanodus.com/contact?utm_source="&amp;IF(B198="X","twitter",LOWER(B198))&amp;"&amp;utm_medium=social&amp;utm_campaign="&amp;IF(E198="","general",LOWER(SUBSTITUTE(SUBSTITUTE(E198," / ","-")," ","-")))&amp;"&amp;utm_content="&amp;LOWER(C198))</f>
        <v/>
      </c>
    </row>
    <row r="199" customFormat="false" ht="15" hidden="false" customHeight="false" outlineLevel="0" collapsed="false">
      <c r="A199" s="28"/>
      <c r="B199" s="27"/>
      <c r="C199" s="27"/>
      <c r="D199" s="26"/>
      <c r="E199" s="27"/>
      <c r="F199" s="27"/>
      <c r="G199" s="27"/>
      <c r="H199" s="21"/>
      <c r="I199" s="21"/>
      <c r="J199" s="21"/>
      <c r="K199" s="21"/>
      <c r="L199" s="21"/>
      <c r="M199" s="21"/>
      <c r="N199" s="21"/>
      <c r="O199" s="21"/>
      <c r="P199" s="22" t="str">
        <f aca="false">IF(OR(A199="",B199="",C199=""),"",IF(COUNT(J199:N199)=0,"",SUM(J199:N199)))</f>
        <v/>
      </c>
      <c r="Q199" s="22" t="str">
        <f aca="false">IF(OR(A199="",B199="",C199=""),"",SUMIFS('Who Engaged'!$H$5:$H$1004,'Who Engaged'!$C$5:$C$1004,C199,'Who Engaged'!$N$5:$N$1004,"Yes")+SUMIFS('Who Engaged'!$I$5:$I$1004,'Who Engaged'!$C$5:$C$1004,C199,'Who Engaged'!$N$5:$N$1004,"Yes")+SUMIFS('Who Engaged'!$J$5:$J$1004,'Who Engaged'!$C$5:$C$1004,C199,'Who Engaged'!$N$5:$N$1004,"Yes")+SUMIFS('Who Engaged'!$K$5:$K$1004,'Who Engaged'!$C$5:$C$1004,C199,'Who Engaged'!$N$5:$N$1004,"Yes"))</f>
        <v/>
      </c>
      <c r="R199" s="22" t="str">
        <f aca="false">IF(OR(OR(A199="",B199="",C199=""),P199=""),"",MAX(0,P199-N(Q199)))</f>
        <v/>
      </c>
      <c r="S199" s="23" t="str">
        <f aca="false">IF(OR(OR(A199="",B199="",C199=""),R199=""),"",IFERROR(R199/(IF(N(H199)&gt;0,H199,IF(N(I199)&gt;0,I199,IF(COUNTIFS($B$16:$B$215,B199,$H$16:$H$215,"&gt;0")+COUNTIFS($B$16:$B$215,B199,$I$16:$I$215,"&gt;0")&gt;0,"",INDEX($B$5:$B$7,MATCH(B199,$A$5:$A$7,0)))))),""))</f>
        <v/>
      </c>
      <c r="T199" s="24" t="str">
        <f aca="false">IF(OR(A199="",B199="",C199=""),"",IF(OR(S199="",COUNTIFS($B$16:$B$215,B199,$S$16:$S$215,"&gt;=0")&lt;2),"No Data Yet",IFERROR(IF(S199/AVERAGEIFS($S$16:$S$215,$B$16:$B$215,B199)&gt;=1.2,"Good",IF(S199/AVERAGEIFS($S$16:$S$215,$B$16:$B$215,B199)&gt;=0.8,"Average","Below Standard")),"Average")))</f>
        <v/>
      </c>
      <c r="U199" s="22" t="str">
        <f aca="false">IF(OR(A199="",B199="",C199=""),"",COUNTIFS('Who Engaged'!$C$5:$C$1004,C199,'Who Engaged'!$O$5:$O$1004,"Yes",'Who Engaged'!$M$5:$M$1004,1))</f>
        <v/>
      </c>
      <c r="V199" s="22" t="str">
        <f aca="false">IF(OR(A199="",B199="",C199=""),"",COUNTIFS('Who Engaged'!$C$5:$C$1004,C199,'Who Engaged'!$O$5:$O$1004,"Yes",'Who Engaged'!$L$5:$L$1004,1))</f>
        <v/>
      </c>
      <c r="W199" s="25" t="str">
        <f aca="false" t="array" ref="W199:W199">IF(OR(A199="",B199="",C199=""),"",_xlfn.TEXTJOIN("; ",TRUE(),IF(('Who Engaged'!$C$5:$C$1004=C199)*('Who Engaged'!$O$5:$O$1004="Yes"),'Who Engaged'!$D$5:$D$1004&amp;" – "&amp;'Who Engaged'!$F$5:$F$1004&amp;IF('Who Engaged'!$L$5:$L$1004=1," (followed)",""),"")))</f>
        <v/>
      </c>
      <c r="X199" s="26"/>
      <c r="Y199" s="26"/>
      <c r="Z199" s="27"/>
      <c r="AA199" s="24" t="str">
        <f aca="false">IF(OR(A199="",B199="",C199=""),"","https://www.alphanodus.com/contact?utm_source="&amp;IF(B199="X","twitter",LOWER(B199))&amp;"&amp;utm_medium=social&amp;utm_campaign="&amp;IF(E199="","general",LOWER(SUBSTITUTE(SUBSTITUTE(E199," / ","-")," ","-")))&amp;"&amp;utm_content="&amp;LOWER(C199))</f>
        <v/>
      </c>
    </row>
    <row r="200" customFormat="false" ht="15" hidden="false" customHeight="false" outlineLevel="0" collapsed="false">
      <c r="A200" s="28"/>
      <c r="B200" s="27"/>
      <c r="C200" s="27"/>
      <c r="D200" s="26"/>
      <c r="E200" s="27"/>
      <c r="F200" s="27"/>
      <c r="G200" s="27"/>
      <c r="H200" s="21"/>
      <c r="I200" s="21"/>
      <c r="J200" s="21"/>
      <c r="K200" s="21"/>
      <c r="L200" s="21"/>
      <c r="M200" s="21"/>
      <c r="N200" s="21"/>
      <c r="O200" s="21"/>
      <c r="P200" s="22" t="str">
        <f aca="false">IF(OR(A200="",B200="",C200=""),"",IF(COUNT(J200:N200)=0,"",SUM(J200:N200)))</f>
        <v/>
      </c>
      <c r="Q200" s="22" t="str">
        <f aca="false">IF(OR(A200="",B200="",C200=""),"",SUMIFS('Who Engaged'!$H$5:$H$1004,'Who Engaged'!$C$5:$C$1004,C200,'Who Engaged'!$N$5:$N$1004,"Yes")+SUMIFS('Who Engaged'!$I$5:$I$1004,'Who Engaged'!$C$5:$C$1004,C200,'Who Engaged'!$N$5:$N$1004,"Yes")+SUMIFS('Who Engaged'!$J$5:$J$1004,'Who Engaged'!$C$5:$C$1004,C200,'Who Engaged'!$N$5:$N$1004,"Yes")+SUMIFS('Who Engaged'!$K$5:$K$1004,'Who Engaged'!$C$5:$C$1004,C200,'Who Engaged'!$N$5:$N$1004,"Yes"))</f>
        <v/>
      </c>
      <c r="R200" s="22" t="str">
        <f aca="false">IF(OR(OR(A200="",B200="",C200=""),P200=""),"",MAX(0,P200-N(Q200)))</f>
        <v/>
      </c>
      <c r="S200" s="23" t="str">
        <f aca="false">IF(OR(OR(A200="",B200="",C200=""),R200=""),"",IFERROR(R200/(IF(N(H200)&gt;0,H200,IF(N(I200)&gt;0,I200,IF(COUNTIFS($B$16:$B$215,B200,$H$16:$H$215,"&gt;0")+COUNTIFS($B$16:$B$215,B200,$I$16:$I$215,"&gt;0")&gt;0,"",INDEX($B$5:$B$7,MATCH(B200,$A$5:$A$7,0)))))),""))</f>
        <v/>
      </c>
      <c r="T200" s="24" t="str">
        <f aca="false">IF(OR(A200="",B200="",C200=""),"",IF(OR(S200="",COUNTIFS($B$16:$B$215,B200,$S$16:$S$215,"&gt;=0")&lt;2),"No Data Yet",IFERROR(IF(S200/AVERAGEIFS($S$16:$S$215,$B$16:$B$215,B200)&gt;=1.2,"Good",IF(S200/AVERAGEIFS($S$16:$S$215,$B$16:$B$215,B200)&gt;=0.8,"Average","Below Standard")),"Average")))</f>
        <v/>
      </c>
      <c r="U200" s="22" t="str">
        <f aca="false">IF(OR(A200="",B200="",C200=""),"",COUNTIFS('Who Engaged'!$C$5:$C$1004,C200,'Who Engaged'!$O$5:$O$1004,"Yes",'Who Engaged'!$M$5:$M$1004,1))</f>
        <v/>
      </c>
      <c r="V200" s="22" t="str">
        <f aca="false">IF(OR(A200="",B200="",C200=""),"",COUNTIFS('Who Engaged'!$C$5:$C$1004,C200,'Who Engaged'!$O$5:$O$1004,"Yes",'Who Engaged'!$L$5:$L$1004,1))</f>
        <v/>
      </c>
      <c r="W200" s="25" t="str">
        <f aca="false" t="array" ref="W200:W200">IF(OR(A200="",B200="",C200=""),"",_xlfn.TEXTJOIN("; ",TRUE(),IF(('Who Engaged'!$C$5:$C$1004=C200)*('Who Engaged'!$O$5:$O$1004="Yes"),'Who Engaged'!$D$5:$D$1004&amp;" – "&amp;'Who Engaged'!$F$5:$F$1004&amp;IF('Who Engaged'!$L$5:$L$1004=1," (followed)",""),"")))</f>
        <v/>
      </c>
      <c r="X200" s="26"/>
      <c r="Y200" s="26"/>
      <c r="Z200" s="27"/>
      <c r="AA200" s="24" t="str">
        <f aca="false">IF(OR(A200="",B200="",C200=""),"","https://www.alphanodus.com/contact?utm_source="&amp;IF(B200="X","twitter",LOWER(B200))&amp;"&amp;utm_medium=social&amp;utm_campaign="&amp;IF(E200="","general",LOWER(SUBSTITUTE(SUBSTITUTE(E200," / ","-")," ","-")))&amp;"&amp;utm_content="&amp;LOWER(C200))</f>
        <v/>
      </c>
    </row>
    <row r="201" customFormat="false" ht="15" hidden="false" customHeight="false" outlineLevel="0" collapsed="false">
      <c r="A201" s="28"/>
      <c r="B201" s="27"/>
      <c r="C201" s="27"/>
      <c r="D201" s="26"/>
      <c r="E201" s="27"/>
      <c r="F201" s="27"/>
      <c r="G201" s="27"/>
      <c r="H201" s="21"/>
      <c r="I201" s="21"/>
      <c r="J201" s="21"/>
      <c r="K201" s="21"/>
      <c r="L201" s="21"/>
      <c r="M201" s="21"/>
      <c r="N201" s="21"/>
      <c r="O201" s="21"/>
      <c r="P201" s="22" t="str">
        <f aca="false">IF(OR(A201="",B201="",C201=""),"",IF(COUNT(J201:N201)=0,"",SUM(J201:N201)))</f>
        <v/>
      </c>
      <c r="Q201" s="22" t="str">
        <f aca="false">IF(OR(A201="",B201="",C201=""),"",SUMIFS('Who Engaged'!$H$5:$H$1004,'Who Engaged'!$C$5:$C$1004,C201,'Who Engaged'!$N$5:$N$1004,"Yes")+SUMIFS('Who Engaged'!$I$5:$I$1004,'Who Engaged'!$C$5:$C$1004,C201,'Who Engaged'!$N$5:$N$1004,"Yes")+SUMIFS('Who Engaged'!$J$5:$J$1004,'Who Engaged'!$C$5:$C$1004,C201,'Who Engaged'!$N$5:$N$1004,"Yes")+SUMIFS('Who Engaged'!$K$5:$K$1004,'Who Engaged'!$C$5:$C$1004,C201,'Who Engaged'!$N$5:$N$1004,"Yes"))</f>
        <v/>
      </c>
      <c r="R201" s="22" t="str">
        <f aca="false">IF(OR(OR(A201="",B201="",C201=""),P201=""),"",MAX(0,P201-N(Q201)))</f>
        <v/>
      </c>
      <c r="S201" s="23" t="str">
        <f aca="false">IF(OR(OR(A201="",B201="",C201=""),R201=""),"",IFERROR(R201/(IF(N(H201)&gt;0,H201,IF(N(I201)&gt;0,I201,IF(COUNTIFS($B$16:$B$215,B201,$H$16:$H$215,"&gt;0")+COUNTIFS($B$16:$B$215,B201,$I$16:$I$215,"&gt;0")&gt;0,"",INDEX($B$5:$B$7,MATCH(B201,$A$5:$A$7,0)))))),""))</f>
        <v/>
      </c>
      <c r="T201" s="24" t="str">
        <f aca="false">IF(OR(A201="",B201="",C201=""),"",IF(OR(S201="",COUNTIFS($B$16:$B$215,B201,$S$16:$S$215,"&gt;=0")&lt;2),"No Data Yet",IFERROR(IF(S201/AVERAGEIFS($S$16:$S$215,$B$16:$B$215,B201)&gt;=1.2,"Good",IF(S201/AVERAGEIFS($S$16:$S$215,$B$16:$B$215,B201)&gt;=0.8,"Average","Below Standard")),"Average")))</f>
        <v/>
      </c>
      <c r="U201" s="22" t="str">
        <f aca="false">IF(OR(A201="",B201="",C201=""),"",COUNTIFS('Who Engaged'!$C$5:$C$1004,C201,'Who Engaged'!$O$5:$O$1004,"Yes",'Who Engaged'!$M$5:$M$1004,1))</f>
        <v/>
      </c>
      <c r="V201" s="22" t="str">
        <f aca="false">IF(OR(A201="",B201="",C201=""),"",COUNTIFS('Who Engaged'!$C$5:$C$1004,C201,'Who Engaged'!$O$5:$O$1004,"Yes",'Who Engaged'!$L$5:$L$1004,1))</f>
        <v/>
      </c>
      <c r="W201" s="25" t="str">
        <f aca="false" t="array" ref="W201:W201">IF(OR(A201="",B201="",C201=""),"",_xlfn.TEXTJOIN("; ",TRUE(),IF(('Who Engaged'!$C$5:$C$1004=C201)*('Who Engaged'!$O$5:$O$1004="Yes"),'Who Engaged'!$D$5:$D$1004&amp;" – "&amp;'Who Engaged'!$F$5:$F$1004&amp;IF('Who Engaged'!$L$5:$L$1004=1," (followed)",""),"")))</f>
        <v/>
      </c>
      <c r="X201" s="26"/>
      <c r="Y201" s="26"/>
      <c r="Z201" s="27"/>
      <c r="AA201" s="24" t="str">
        <f aca="false">IF(OR(A201="",B201="",C201=""),"","https://www.alphanodus.com/contact?utm_source="&amp;IF(B201="X","twitter",LOWER(B201))&amp;"&amp;utm_medium=social&amp;utm_campaign="&amp;IF(E201="","general",LOWER(SUBSTITUTE(SUBSTITUTE(E201," / ","-")," ","-")))&amp;"&amp;utm_content="&amp;LOWER(C201))</f>
        <v/>
      </c>
    </row>
    <row r="202" customFormat="false" ht="15" hidden="false" customHeight="false" outlineLevel="0" collapsed="false">
      <c r="A202" s="28"/>
      <c r="B202" s="27"/>
      <c r="C202" s="27"/>
      <c r="D202" s="26"/>
      <c r="E202" s="27"/>
      <c r="F202" s="27"/>
      <c r="G202" s="27"/>
      <c r="H202" s="21"/>
      <c r="I202" s="21"/>
      <c r="J202" s="21"/>
      <c r="K202" s="21"/>
      <c r="L202" s="21"/>
      <c r="M202" s="21"/>
      <c r="N202" s="21"/>
      <c r="O202" s="21"/>
      <c r="P202" s="22" t="str">
        <f aca="false">IF(OR(A202="",B202="",C202=""),"",IF(COUNT(J202:N202)=0,"",SUM(J202:N202)))</f>
        <v/>
      </c>
      <c r="Q202" s="22" t="str">
        <f aca="false">IF(OR(A202="",B202="",C202=""),"",SUMIFS('Who Engaged'!$H$5:$H$1004,'Who Engaged'!$C$5:$C$1004,C202,'Who Engaged'!$N$5:$N$1004,"Yes")+SUMIFS('Who Engaged'!$I$5:$I$1004,'Who Engaged'!$C$5:$C$1004,C202,'Who Engaged'!$N$5:$N$1004,"Yes")+SUMIFS('Who Engaged'!$J$5:$J$1004,'Who Engaged'!$C$5:$C$1004,C202,'Who Engaged'!$N$5:$N$1004,"Yes")+SUMIFS('Who Engaged'!$K$5:$K$1004,'Who Engaged'!$C$5:$C$1004,C202,'Who Engaged'!$N$5:$N$1004,"Yes"))</f>
        <v/>
      </c>
      <c r="R202" s="22" t="str">
        <f aca="false">IF(OR(OR(A202="",B202="",C202=""),P202=""),"",MAX(0,P202-N(Q202)))</f>
        <v/>
      </c>
      <c r="S202" s="23" t="str">
        <f aca="false">IF(OR(OR(A202="",B202="",C202=""),R202=""),"",IFERROR(R202/(IF(N(H202)&gt;0,H202,IF(N(I202)&gt;0,I202,IF(COUNTIFS($B$16:$B$215,B202,$H$16:$H$215,"&gt;0")+COUNTIFS($B$16:$B$215,B202,$I$16:$I$215,"&gt;0")&gt;0,"",INDEX($B$5:$B$7,MATCH(B202,$A$5:$A$7,0)))))),""))</f>
        <v/>
      </c>
      <c r="T202" s="24" t="str">
        <f aca="false">IF(OR(A202="",B202="",C202=""),"",IF(OR(S202="",COUNTIFS($B$16:$B$215,B202,$S$16:$S$215,"&gt;=0")&lt;2),"No Data Yet",IFERROR(IF(S202/AVERAGEIFS($S$16:$S$215,$B$16:$B$215,B202)&gt;=1.2,"Good",IF(S202/AVERAGEIFS($S$16:$S$215,$B$16:$B$215,B202)&gt;=0.8,"Average","Below Standard")),"Average")))</f>
        <v/>
      </c>
      <c r="U202" s="22" t="str">
        <f aca="false">IF(OR(A202="",B202="",C202=""),"",COUNTIFS('Who Engaged'!$C$5:$C$1004,C202,'Who Engaged'!$O$5:$O$1004,"Yes",'Who Engaged'!$M$5:$M$1004,1))</f>
        <v/>
      </c>
      <c r="V202" s="22" t="str">
        <f aca="false">IF(OR(A202="",B202="",C202=""),"",COUNTIFS('Who Engaged'!$C$5:$C$1004,C202,'Who Engaged'!$O$5:$O$1004,"Yes",'Who Engaged'!$L$5:$L$1004,1))</f>
        <v/>
      </c>
      <c r="W202" s="25" t="str">
        <f aca="false" t="array" ref="W202:W202">IF(OR(A202="",B202="",C202=""),"",_xlfn.TEXTJOIN("; ",TRUE(),IF(('Who Engaged'!$C$5:$C$1004=C202)*('Who Engaged'!$O$5:$O$1004="Yes"),'Who Engaged'!$D$5:$D$1004&amp;" – "&amp;'Who Engaged'!$F$5:$F$1004&amp;IF('Who Engaged'!$L$5:$L$1004=1," (followed)",""),"")))</f>
        <v/>
      </c>
      <c r="X202" s="26"/>
      <c r="Y202" s="26"/>
      <c r="Z202" s="27"/>
      <c r="AA202" s="24" t="str">
        <f aca="false">IF(OR(A202="",B202="",C202=""),"","https://www.alphanodus.com/contact?utm_source="&amp;IF(B202="X","twitter",LOWER(B202))&amp;"&amp;utm_medium=social&amp;utm_campaign="&amp;IF(E202="","general",LOWER(SUBSTITUTE(SUBSTITUTE(E202," / ","-")," ","-")))&amp;"&amp;utm_content="&amp;LOWER(C202))</f>
        <v/>
      </c>
    </row>
    <row r="203" customFormat="false" ht="15" hidden="false" customHeight="false" outlineLevel="0" collapsed="false">
      <c r="A203" s="28"/>
      <c r="B203" s="27"/>
      <c r="C203" s="27"/>
      <c r="D203" s="26"/>
      <c r="E203" s="27"/>
      <c r="F203" s="27"/>
      <c r="G203" s="27"/>
      <c r="H203" s="21"/>
      <c r="I203" s="21"/>
      <c r="J203" s="21"/>
      <c r="K203" s="21"/>
      <c r="L203" s="21"/>
      <c r="M203" s="21"/>
      <c r="N203" s="21"/>
      <c r="O203" s="21"/>
      <c r="P203" s="22" t="str">
        <f aca="false">IF(OR(A203="",B203="",C203=""),"",IF(COUNT(J203:N203)=0,"",SUM(J203:N203)))</f>
        <v/>
      </c>
      <c r="Q203" s="22" t="str">
        <f aca="false">IF(OR(A203="",B203="",C203=""),"",SUMIFS('Who Engaged'!$H$5:$H$1004,'Who Engaged'!$C$5:$C$1004,C203,'Who Engaged'!$N$5:$N$1004,"Yes")+SUMIFS('Who Engaged'!$I$5:$I$1004,'Who Engaged'!$C$5:$C$1004,C203,'Who Engaged'!$N$5:$N$1004,"Yes")+SUMIFS('Who Engaged'!$J$5:$J$1004,'Who Engaged'!$C$5:$C$1004,C203,'Who Engaged'!$N$5:$N$1004,"Yes")+SUMIFS('Who Engaged'!$K$5:$K$1004,'Who Engaged'!$C$5:$C$1004,C203,'Who Engaged'!$N$5:$N$1004,"Yes"))</f>
        <v/>
      </c>
      <c r="R203" s="22" t="str">
        <f aca="false">IF(OR(OR(A203="",B203="",C203=""),P203=""),"",MAX(0,P203-N(Q203)))</f>
        <v/>
      </c>
      <c r="S203" s="23" t="str">
        <f aca="false">IF(OR(OR(A203="",B203="",C203=""),R203=""),"",IFERROR(R203/(IF(N(H203)&gt;0,H203,IF(N(I203)&gt;0,I203,IF(COUNTIFS($B$16:$B$215,B203,$H$16:$H$215,"&gt;0")+COUNTIFS($B$16:$B$215,B203,$I$16:$I$215,"&gt;0")&gt;0,"",INDEX($B$5:$B$7,MATCH(B203,$A$5:$A$7,0)))))),""))</f>
        <v/>
      </c>
      <c r="T203" s="24" t="str">
        <f aca="false">IF(OR(A203="",B203="",C203=""),"",IF(OR(S203="",COUNTIFS($B$16:$B$215,B203,$S$16:$S$215,"&gt;=0")&lt;2),"No Data Yet",IFERROR(IF(S203/AVERAGEIFS($S$16:$S$215,$B$16:$B$215,B203)&gt;=1.2,"Good",IF(S203/AVERAGEIFS($S$16:$S$215,$B$16:$B$215,B203)&gt;=0.8,"Average","Below Standard")),"Average")))</f>
        <v/>
      </c>
      <c r="U203" s="22" t="str">
        <f aca="false">IF(OR(A203="",B203="",C203=""),"",COUNTIFS('Who Engaged'!$C$5:$C$1004,C203,'Who Engaged'!$O$5:$O$1004,"Yes",'Who Engaged'!$M$5:$M$1004,1))</f>
        <v/>
      </c>
      <c r="V203" s="22" t="str">
        <f aca="false">IF(OR(A203="",B203="",C203=""),"",COUNTIFS('Who Engaged'!$C$5:$C$1004,C203,'Who Engaged'!$O$5:$O$1004,"Yes",'Who Engaged'!$L$5:$L$1004,1))</f>
        <v/>
      </c>
      <c r="W203" s="25" t="str">
        <f aca="false" t="array" ref="W203:W203">IF(OR(A203="",B203="",C203=""),"",_xlfn.TEXTJOIN("; ",TRUE(),IF(('Who Engaged'!$C$5:$C$1004=C203)*('Who Engaged'!$O$5:$O$1004="Yes"),'Who Engaged'!$D$5:$D$1004&amp;" – "&amp;'Who Engaged'!$F$5:$F$1004&amp;IF('Who Engaged'!$L$5:$L$1004=1," (followed)",""),"")))</f>
        <v/>
      </c>
      <c r="X203" s="26"/>
      <c r="Y203" s="26"/>
      <c r="Z203" s="27"/>
      <c r="AA203" s="24" t="str">
        <f aca="false">IF(OR(A203="",B203="",C203=""),"","https://www.alphanodus.com/contact?utm_source="&amp;IF(B203="X","twitter",LOWER(B203))&amp;"&amp;utm_medium=social&amp;utm_campaign="&amp;IF(E203="","general",LOWER(SUBSTITUTE(SUBSTITUTE(E203," / ","-")," ","-")))&amp;"&amp;utm_content="&amp;LOWER(C203))</f>
        <v/>
      </c>
    </row>
    <row r="204" customFormat="false" ht="15" hidden="false" customHeight="false" outlineLevel="0" collapsed="false">
      <c r="A204" s="28"/>
      <c r="B204" s="27"/>
      <c r="C204" s="27"/>
      <c r="D204" s="26"/>
      <c r="E204" s="27"/>
      <c r="F204" s="27"/>
      <c r="G204" s="27"/>
      <c r="H204" s="21"/>
      <c r="I204" s="21"/>
      <c r="J204" s="21"/>
      <c r="K204" s="21"/>
      <c r="L204" s="21"/>
      <c r="M204" s="21"/>
      <c r="N204" s="21"/>
      <c r="O204" s="21"/>
      <c r="P204" s="22" t="str">
        <f aca="false">IF(OR(A204="",B204="",C204=""),"",IF(COUNT(J204:N204)=0,"",SUM(J204:N204)))</f>
        <v/>
      </c>
      <c r="Q204" s="22" t="str">
        <f aca="false">IF(OR(A204="",B204="",C204=""),"",SUMIFS('Who Engaged'!$H$5:$H$1004,'Who Engaged'!$C$5:$C$1004,C204,'Who Engaged'!$N$5:$N$1004,"Yes")+SUMIFS('Who Engaged'!$I$5:$I$1004,'Who Engaged'!$C$5:$C$1004,C204,'Who Engaged'!$N$5:$N$1004,"Yes")+SUMIFS('Who Engaged'!$J$5:$J$1004,'Who Engaged'!$C$5:$C$1004,C204,'Who Engaged'!$N$5:$N$1004,"Yes")+SUMIFS('Who Engaged'!$K$5:$K$1004,'Who Engaged'!$C$5:$C$1004,C204,'Who Engaged'!$N$5:$N$1004,"Yes"))</f>
        <v/>
      </c>
      <c r="R204" s="22" t="str">
        <f aca="false">IF(OR(OR(A204="",B204="",C204=""),P204=""),"",MAX(0,P204-N(Q204)))</f>
        <v/>
      </c>
      <c r="S204" s="23" t="str">
        <f aca="false">IF(OR(OR(A204="",B204="",C204=""),R204=""),"",IFERROR(R204/(IF(N(H204)&gt;0,H204,IF(N(I204)&gt;0,I204,IF(COUNTIFS($B$16:$B$215,B204,$H$16:$H$215,"&gt;0")+COUNTIFS($B$16:$B$215,B204,$I$16:$I$215,"&gt;0")&gt;0,"",INDEX($B$5:$B$7,MATCH(B204,$A$5:$A$7,0)))))),""))</f>
        <v/>
      </c>
      <c r="T204" s="24" t="str">
        <f aca="false">IF(OR(A204="",B204="",C204=""),"",IF(OR(S204="",COUNTIFS($B$16:$B$215,B204,$S$16:$S$215,"&gt;=0")&lt;2),"No Data Yet",IFERROR(IF(S204/AVERAGEIFS($S$16:$S$215,$B$16:$B$215,B204)&gt;=1.2,"Good",IF(S204/AVERAGEIFS($S$16:$S$215,$B$16:$B$215,B204)&gt;=0.8,"Average","Below Standard")),"Average")))</f>
        <v/>
      </c>
      <c r="U204" s="22" t="str">
        <f aca="false">IF(OR(A204="",B204="",C204=""),"",COUNTIFS('Who Engaged'!$C$5:$C$1004,C204,'Who Engaged'!$O$5:$O$1004,"Yes",'Who Engaged'!$M$5:$M$1004,1))</f>
        <v/>
      </c>
      <c r="V204" s="22" t="str">
        <f aca="false">IF(OR(A204="",B204="",C204=""),"",COUNTIFS('Who Engaged'!$C$5:$C$1004,C204,'Who Engaged'!$O$5:$O$1004,"Yes",'Who Engaged'!$L$5:$L$1004,1))</f>
        <v/>
      </c>
      <c r="W204" s="25" t="str">
        <f aca="false" t="array" ref="W204:W204">IF(OR(A204="",B204="",C204=""),"",_xlfn.TEXTJOIN("; ",TRUE(),IF(('Who Engaged'!$C$5:$C$1004=C204)*('Who Engaged'!$O$5:$O$1004="Yes"),'Who Engaged'!$D$5:$D$1004&amp;" – "&amp;'Who Engaged'!$F$5:$F$1004&amp;IF('Who Engaged'!$L$5:$L$1004=1," (followed)",""),"")))</f>
        <v/>
      </c>
      <c r="X204" s="26"/>
      <c r="Y204" s="26"/>
      <c r="Z204" s="27"/>
      <c r="AA204" s="24" t="str">
        <f aca="false">IF(OR(A204="",B204="",C204=""),"","https://www.alphanodus.com/contact?utm_source="&amp;IF(B204="X","twitter",LOWER(B204))&amp;"&amp;utm_medium=social&amp;utm_campaign="&amp;IF(E204="","general",LOWER(SUBSTITUTE(SUBSTITUTE(E204," / ","-")," ","-")))&amp;"&amp;utm_content="&amp;LOWER(C204))</f>
        <v/>
      </c>
    </row>
    <row r="205" customFormat="false" ht="15" hidden="false" customHeight="false" outlineLevel="0" collapsed="false">
      <c r="A205" s="28"/>
      <c r="B205" s="27"/>
      <c r="C205" s="27"/>
      <c r="D205" s="26"/>
      <c r="E205" s="27"/>
      <c r="F205" s="27"/>
      <c r="G205" s="27"/>
      <c r="H205" s="21"/>
      <c r="I205" s="21"/>
      <c r="J205" s="21"/>
      <c r="K205" s="21"/>
      <c r="L205" s="21"/>
      <c r="M205" s="21"/>
      <c r="N205" s="21"/>
      <c r="O205" s="21"/>
      <c r="P205" s="22" t="str">
        <f aca="false">IF(OR(A205="",B205="",C205=""),"",IF(COUNT(J205:N205)=0,"",SUM(J205:N205)))</f>
        <v/>
      </c>
      <c r="Q205" s="22" t="str">
        <f aca="false">IF(OR(A205="",B205="",C205=""),"",SUMIFS('Who Engaged'!$H$5:$H$1004,'Who Engaged'!$C$5:$C$1004,C205,'Who Engaged'!$N$5:$N$1004,"Yes")+SUMIFS('Who Engaged'!$I$5:$I$1004,'Who Engaged'!$C$5:$C$1004,C205,'Who Engaged'!$N$5:$N$1004,"Yes")+SUMIFS('Who Engaged'!$J$5:$J$1004,'Who Engaged'!$C$5:$C$1004,C205,'Who Engaged'!$N$5:$N$1004,"Yes")+SUMIFS('Who Engaged'!$K$5:$K$1004,'Who Engaged'!$C$5:$C$1004,C205,'Who Engaged'!$N$5:$N$1004,"Yes"))</f>
        <v/>
      </c>
      <c r="R205" s="22" t="str">
        <f aca="false">IF(OR(OR(A205="",B205="",C205=""),P205=""),"",MAX(0,P205-N(Q205)))</f>
        <v/>
      </c>
      <c r="S205" s="23" t="str">
        <f aca="false">IF(OR(OR(A205="",B205="",C205=""),R205=""),"",IFERROR(R205/(IF(N(H205)&gt;0,H205,IF(N(I205)&gt;0,I205,IF(COUNTIFS($B$16:$B$215,B205,$H$16:$H$215,"&gt;0")+COUNTIFS($B$16:$B$215,B205,$I$16:$I$215,"&gt;0")&gt;0,"",INDEX($B$5:$B$7,MATCH(B205,$A$5:$A$7,0)))))),""))</f>
        <v/>
      </c>
      <c r="T205" s="24" t="str">
        <f aca="false">IF(OR(A205="",B205="",C205=""),"",IF(OR(S205="",COUNTIFS($B$16:$B$215,B205,$S$16:$S$215,"&gt;=0")&lt;2),"No Data Yet",IFERROR(IF(S205/AVERAGEIFS($S$16:$S$215,$B$16:$B$215,B205)&gt;=1.2,"Good",IF(S205/AVERAGEIFS($S$16:$S$215,$B$16:$B$215,B205)&gt;=0.8,"Average","Below Standard")),"Average")))</f>
        <v/>
      </c>
      <c r="U205" s="22" t="str">
        <f aca="false">IF(OR(A205="",B205="",C205=""),"",COUNTIFS('Who Engaged'!$C$5:$C$1004,C205,'Who Engaged'!$O$5:$O$1004,"Yes",'Who Engaged'!$M$5:$M$1004,1))</f>
        <v/>
      </c>
      <c r="V205" s="22" t="str">
        <f aca="false">IF(OR(A205="",B205="",C205=""),"",COUNTIFS('Who Engaged'!$C$5:$C$1004,C205,'Who Engaged'!$O$5:$O$1004,"Yes",'Who Engaged'!$L$5:$L$1004,1))</f>
        <v/>
      </c>
      <c r="W205" s="25" t="str">
        <f aca="false" t="array" ref="W205:W205">IF(OR(A205="",B205="",C205=""),"",_xlfn.TEXTJOIN("; ",TRUE(),IF(('Who Engaged'!$C$5:$C$1004=C205)*('Who Engaged'!$O$5:$O$1004="Yes"),'Who Engaged'!$D$5:$D$1004&amp;" – "&amp;'Who Engaged'!$F$5:$F$1004&amp;IF('Who Engaged'!$L$5:$L$1004=1," (followed)",""),"")))</f>
        <v/>
      </c>
      <c r="X205" s="26"/>
      <c r="Y205" s="26"/>
      <c r="Z205" s="27"/>
      <c r="AA205" s="24" t="str">
        <f aca="false">IF(OR(A205="",B205="",C205=""),"","https://www.alphanodus.com/contact?utm_source="&amp;IF(B205="X","twitter",LOWER(B205))&amp;"&amp;utm_medium=social&amp;utm_campaign="&amp;IF(E205="","general",LOWER(SUBSTITUTE(SUBSTITUTE(E205," / ","-")," ","-")))&amp;"&amp;utm_content="&amp;LOWER(C205))</f>
        <v/>
      </c>
    </row>
    <row r="206" customFormat="false" ht="15" hidden="false" customHeight="false" outlineLevel="0" collapsed="false">
      <c r="A206" s="28"/>
      <c r="B206" s="27"/>
      <c r="C206" s="27"/>
      <c r="D206" s="26"/>
      <c r="E206" s="27"/>
      <c r="F206" s="27"/>
      <c r="G206" s="27"/>
      <c r="H206" s="21"/>
      <c r="I206" s="21"/>
      <c r="J206" s="21"/>
      <c r="K206" s="21"/>
      <c r="L206" s="21"/>
      <c r="M206" s="21"/>
      <c r="N206" s="21"/>
      <c r="O206" s="21"/>
      <c r="P206" s="22" t="str">
        <f aca="false">IF(OR(A206="",B206="",C206=""),"",IF(COUNT(J206:N206)=0,"",SUM(J206:N206)))</f>
        <v/>
      </c>
      <c r="Q206" s="22" t="str">
        <f aca="false">IF(OR(A206="",B206="",C206=""),"",SUMIFS('Who Engaged'!$H$5:$H$1004,'Who Engaged'!$C$5:$C$1004,C206,'Who Engaged'!$N$5:$N$1004,"Yes")+SUMIFS('Who Engaged'!$I$5:$I$1004,'Who Engaged'!$C$5:$C$1004,C206,'Who Engaged'!$N$5:$N$1004,"Yes")+SUMIFS('Who Engaged'!$J$5:$J$1004,'Who Engaged'!$C$5:$C$1004,C206,'Who Engaged'!$N$5:$N$1004,"Yes")+SUMIFS('Who Engaged'!$K$5:$K$1004,'Who Engaged'!$C$5:$C$1004,C206,'Who Engaged'!$N$5:$N$1004,"Yes"))</f>
        <v/>
      </c>
      <c r="R206" s="22" t="str">
        <f aca="false">IF(OR(OR(A206="",B206="",C206=""),P206=""),"",MAX(0,P206-N(Q206)))</f>
        <v/>
      </c>
      <c r="S206" s="23" t="str">
        <f aca="false">IF(OR(OR(A206="",B206="",C206=""),R206=""),"",IFERROR(R206/(IF(N(H206)&gt;0,H206,IF(N(I206)&gt;0,I206,IF(COUNTIFS($B$16:$B$215,B206,$H$16:$H$215,"&gt;0")+COUNTIFS($B$16:$B$215,B206,$I$16:$I$215,"&gt;0")&gt;0,"",INDEX($B$5:$B$7,MATCH(B206,$A$5:$A$7,0)))))),""))</f>
        <v/>
      </c>
      <c r="T206" s="24" t="str">
        <f aca="false">IF(OR(A206="",B206="",C206=""),"",IF(OR(S206="",COUNTIFS($B$16:$B$215,B206,$S$16:$S$215,"&gt;=0")&lt;2),"No Data Yet",IFERROR(IF(S206/AVERAGEIFS($S$16:$S$215,$B$16:$B$215,B206)&gt;=1.2,"Good",IF(S206/AVERAGEIFS($S$16:$S$215,$B$16:$B$215,B206)&gt;=0.8,"Average","Below Standard")),"Average")))</f>
        <v/>
      </c>
      <c r="U206" s="22" t="str">
        <f aca="false">IF(OR(A206="",B206="",C206=""),"",COUNTIFS('Who Engaged'!$C$5:$C$1004,C206,'Who Engaged'!$O$5:$O$1004,"Yes",'Who Engaged'!$M$5:$M$1004,1))</f>
        <v/>
      </c>
      <c r="V206" s="22" t="str">
        <f aca="false">IF(OR(A206="",B206="",C206=""),"",COUNTIFS('Who Engaged'!$C$5:$C$1004,C206,'Who Engaged'!$O$5:$O$1004,"Yes",'Who Engaged'!$L$5:$L$1004,1))</f>
        <v/>
      </c>
      <c r="W206" s="25" t="str">
        <f aca="false" t="array" ref="W206:W206">IF(OR(A206="",B206="",C206=""),"",_xlfn.TEXTJOIN("; ",TRUE(),IF(('Who Engaged'!$C$5:$C$1004=C206)*('Who Engaged'!$O$5:$O$1004="Yes"),'Who Engaged'!$D$5:$D$1004&amp;" – "&amp;'Who Engaged'!$F$5:$F$1004&amp;IF('Who Engaged'!$L$5:$L$1004=1," (followed)",""),"")))</f>
        <v/>
      </c>
      <c r="X206" s="26"/>
      <c r="Y206" s="26"/>
      <c r="Z206" s="27"/>
      <c r="AA206" s="24" t="str">
        <f aca="false">IF(OR(A206="",B206="",C206=""),"","https://www.alphanodus.com/contact?utm_source="&amp;IF(B206="X","twitter",LOWER(B206))&amp;"&amp;utm_medium=social&amp;utm_campaign="&amp;IF(E206="","general",LOWER(SUBSTITUTE(SUBSTITUTE(E206," / ","-")," ","-")))&amp;"&amp;utm_content="&amp;LOWER(C206))</f>
        <v/>
      </c>
    </row>
    <row r="207" customFormat="false" ht="15" hidden="false" customHeight="false" outlineLevel="0" collapsed="false">
      <c r="A207" s="28"/>
      <c r="B207" s="27"/>
      <c r="C207" s="27"/>
      <c r="D207" s="26"/>
      <c r="E207" s="27"/>
      <c r="F207" s="27"/>
      <c r="G207" s="27"/>
      <c r="H207" s="21"/>
      <c r="I207" s="21"/>
      <c r="J207" s="21"/>
      <c r="K207" s="21"/>
      <c r="L207" s="21"/>
      <c r="M207" s="21"/>
      <c r="N207" s="21"/>
      <c r="O207" s="21"/>
      <c r="P207" s="22" t="str">
        <f aca="false">IF(OR(A207="",B207="",C207=""),"",IF(COUNT(J207:N207)=0,"",SUM(J207:N207)))</f>
        <v/>
      </c>
      <c r="Q207" s="22" t="str">
        <f aca="false">IF(OR(A207="",B207="",C207=""),"",SUMIFS('Who Engaged'!$H$5:$H$1004,'Who Engaged'!$C$5:$C$1004,C207,'Who Engaged'!$N$5:$N$1004,"Yes")+SUMIFS('Who Engaged'!$I$5:$I$1004,'Who Engaged'!$C$5:$C$1004,C207,'Who Engaged'!$N$5:$N$1004,"Yes")+SUMIFS('Who Engaged'!$J$5:$J$1004,'Who Engaged'!$C$5:$C$1004,C207,'Who Engaged'!$N$5:$N$1004,"Yes")+SUMIFS('Who Engaged'!$K$5:$K$1004,'Who Engaged'!$C$5:$C$1004,C207,'Who Engaged'!$N$5:$N$1004,"Yes"))</f>
        <v/>
      </c>
      <c r="R207" s="22" t="str">
        <f aca="false">IF(OR(OR(A207="",B207="",C207=""),P207=""),"",MAX(0,P207-N(Q207)))</f>
        <v/>
      </c>
      <c r="S207" s="23" t="str">
        <f aca="false">IF(OR(OR(A207="",B207="",C207=""),R207=""),"",IFERROR(R207/(IF(N(H207)&gt;0,H207,IF(N(I207)&gt;0,I207,IF(COUNTIFS($B$16:$B$215,B207,$H$16:$H$215,"&gt;0")+COUNTIFS($B$16:$B$215,B207,$I$16:$I$215,"&gt;0")&gt;0,"",INDEX($B$5:$B$7,MATCH(B207,$A$5:$A$7,0)))))),""))</f>
        <v/>
      </c>
      <c r="T207" s="24" t="str">
        <f aca="false">IF(OR(A207="",B207="",C207=""),"",IF(OR(S207="",COUNTIFS($B$16:$B$215,B207,$S$16:$S$215,"&gt;=0")&lt;2),"No Data Yet",IFERROR(IF(S207/AVERAGEIFS($S$16:$S$215,$B$16:$B$215,B207)&gt;=1.2,"Good",IF(S207/AVERAGEIFS($S$16:$S$215,$B$16:$B$215,B207)&gt;=0.8,"Average","Below Standard")),"Average")))</f>
        <v/>
      </c>
      <c r="U207" s="22" t="str">
        <f aca="false">IF(OR(A207="",B207="",C207=""),"",COUNTIFS('Who Engaged'!$C$5:$C$1004,C207,'Who Engaged'!$O$5:$O$1004,"Yes",'Who Engaged'!$M$5:$M$1004,1))</f>
        <v/>
      </c>
      <c r="V207" s="22" t="str">
        <f aca="false">IF(OR(A207="",B207="",C207=""),"",COUNTIFS('Who Engaged'!$C$5:$C$1004,C207,'Who Engaged'!$O$5:$O$1004,"Yes",'Who Engaged'!$L$5:$L$1004,1))</f>
        <v/>
      </c>
      <c r="W207" s="25" t="str">
        <f aca="false" t="array" ref="W207:W207">IF(OR(A207="",B207="",C207=""),"",_xlfn.TEXTJOIN("; ",TRUE(),IF(('Who Engaged'!$C$5:$C$1004=C207)*('Who Engaged'!$O$5:$O$1004="Yes"),'Who Engaged'!$D$5:$D$1004&amp;" – "&amp;'Who Engaged'!$F$5:$F$1004&amp;IF('Who Engaged'!$L$5:$L$1004=1," (followed)",""),"")))</f>
        <v/>
      </c>
      <c r="X207" s="26"/>
      <c r="Y207" s="26"/>
      <c r="Z207" s="27"/>
      <c r="AA207" s="24" t="str">
        <f aca="false">IF(OR(A207="",B207="",C207=""),"","https://www.alphanodus.com/contact?utm_source="&amp;IF(B207="X","twitter",LOWER(B207))&amp;"&amp;utm_medium=social&amp;utm_campaign="&amp;IF(E207="","general",LOWER(SUBSTITUTE(SUBSTITUTE(E207," / ","-")," ","-")))&amp;"&amp;utm_content="&amp;LOWER(C207))</f>
        <v/>
      </c>
    </row>
    <row r="208" customFormat="false" ht="15" hidden="false" customHeight="false" outlineLevel="0" collapsed="false">
      <c r="A208" s="28"/>
      <c r="B208" s="27"/>
      <c r="C208" s="27"/>
      <c r="D208" s="26"/>
      <c r="E208" s="27"/>
      <c r="F208" s="27"/>
      <c r="G208" s="27"/>
      <c r="H208" s="21"/>
      <c r="I208" s="21"/>
      <c r="J208" s="21"/>
      <c r="K208" s="21"/>
      <c r="L208" s="21"/>
      <c r="M208" s="21"/>
      <c r="N208" s="21"/>
      <c r="O208" s="21"/>
      <c r="P208" s="22" t="str">
        <f aca="false">IF(OR(A208="",B208="",C208=""),"",IF(COUNT(J208:N208)=0,"",SUM(J208:N208)))</f>
        <v/>
      </c>
      <c r="Q208" s="22" t="str">
        <f aca="false">IF(OR(A208="",B208="",C208=""),"",SUMIFS('Who Engaged'!$H$5:$H$1004,'Who Engaged'!$C$5:$C$1004,C208,'Who Engaged'!$N$5:$N$1004,"Yes")+SUMIFS('Who Engaged'!$I$5:$I$1004,'Who Engaged'!$C$5:$C$1004,C208,'Who Engaged'!$N$5:$N$1004,"Yes")+SUMIFS('Who Engaged'!$J$5:$J$1004,'Who Engaged'!$C$5:$C$1004,C208,'Who Engaged'!$N$5:$N$1004,"Yes")+SUMIFS('Who Engaged'!$K$5:$K$1004,'Who Engaged'!$C$5:$C$1004,C208,'Who Engaged'!$N$5:$N$1004,"Yes"))</f>
        <v/>
      </c>
      <c r="R208" s="22" t="str">
        <f aca="false">IF(OR(OR(A208="",B208="",C208=""),P208=""),"",MAX(0,P208-N(Q208)))</f>
        <v/>
      </c>
      <c r="S208" s="23" t="str">
        <f aca="false">IF(OR(OR(A208="",B208="",C208=""),R208=""),"",IFERROR(R208/(IF(N(H208)&gt;0,H208,IF(N(I208)&gt;0,I208,IF(COUNTIFS($B$16:$B$215,B208,$H$16:$H$215,"&gt;0")+COUNTIFS($B$16:$B$215,B208,$I$16:$I$215,"&gt;0")&gt;0,"",INDEX($B$5:$B$7,MATCH(B208,$A$5:$A$7,0)))))),""))</f>
        <v/>
      </c>
      <c r="T208" s="24" t="str">
        <f aca="false">IF(OR(A208="",B208="",C208=""),"",IF(OR(S208="",COUNTIFS($B$16:$B$215,B208,$S$16:$S$215,"&gt;=0")&lt;2),"No Data Yet",IFERROR(IF(S208/AVERAGEIFS($S$16:$S$215,$B$16:$B$215,B208)&gt;=1.2,"Good",IF(S208/AVERAGEIFS($S$16:$S$215,$B$16:$B$215,B208)&gt;=0.8,"Average","Below Standard")),"Average")))</f>
        <v/>
      </c>
      <c r="U208" s="22" t="str">
        <f aca="false">IF(OR(A208="",B208="",C208=""),"",COUNTIFS('Who Engaged'!$C$5:$C$1004,C208,'Who Engaged'!$O$5:$O$1004,"Yes",'Who Engaged'!$M$5:$M$1004,1))</f>
        <v/>
      </c>
      <c r="V208" s="22" t="str">
        <f aca="false">IF(OR(A208="",B208="",C208=""),"",COUNTIFS('Who Engaged'!$C$5:$C$1004,C208,'Who Engaged'!$O$5:$O$1004,"Yes",'Who Engaged'!$L$5:$L$1004,1))</f>
        <v/>
      </c>
      <c r="W208" s="25" t="str">
        <f aca="false" t="array" ref="W208:W208">IF(OR(A208="",B208="",C208=""),"",_xlfn.TEXTJOIN("; ",TRUE(),IF(('Who Engaged'!$C$5:$C$1004=C208)*('Who Engaged'!$O$5:$O$1004="Yes"),'Who Engaged'!$D$5:$D$1004&amp;" – "&amp;'Who Engaged'!$F$5:$F$1004&amp;IF('Who Engaged'!$L$5:$L$1004=1," (followed)",""),"")))</f>
        <v/>
      </c>
      <c r="X208" s="26"/>
      <c r="Y208" s="26"/>
      <c r="Z208" s="27"/>
      <c r="AA208" s="24" t="str">
        <f aca="false">IF(OR(A208="",B208="",C208=""),"","https://www.alphanodus.com/contact?utm_source="&amp;IF(B208="X","twitter",LOWER(B208))&amp;"&amp;utm_medium=social&amp;utm_campaign="&amp;IF(E208="","general",LOWER(SUBSTITUTE(SUBSTITUTE(E208," / ","-")," ","-")))&amp;"&amp;utm_content="&amp;LOWER(C208))</f>
        <v/>
      </c>
    </row>
    <row r="209" customFormat="false" ht="15" hidden="false" customHeight="false" outlineLevel="0" collapsed="false">
      <c r="A209" s="28"/>
      <c r="B209" s="27"/>
      <c r="C209" s="27"/>
      <c r="D209" s="26"/>
      <c r="E209" s="27"/>
      <c r="F209" s="27"/>
      <c r="G209" s="27"/>
      <c r="H209" s="21"/>
      <c r="I209" s="21"/>
      <c r="J209" s="21"/>
      <c r="K209" s="21"/>
      <c r="L209" s="21"/>
      <c r="M209" s="21"/>
      <c r="N209" s="21"/>
      <c r="O209" s="21"/>
      <c r="P209" s="22" t="str">
        <f aca="false">IF(OR(A209="",B209="",C209=""),"",IF(COUNT(J209:N209)=0,"",SUM(J209:N209)))</f>
        <v/>
      </c>
      <c r="Q209" s="22" t="str">
        <f aca="false">IF(OR(A209="",B209="",C209=""),"",SUMIFS('Who Engaged'!$H$5:$H$1004,'Who Engaged'!$C$5:$C$1004,C209,'Who Engaged'!$N$5:$N$1004,"Yes")+SUMIFS('Who Engaged'!$I$5:$I$1004,'Who Engaged'!$C$5:$C$1004,C209,'Who Engaged'!$N$5:$N$1004,"Yes")+SUMIFS('Who Engaged'!$J$5:$J$1004,'Who Engaged'!$C$5:$C$1004,C209,'Who Engaged'!$N$5:$N$1004,"Yes")+SUMIFS('Who Engaged'!$K$5:$K$1004,'Who Engaged'!$C$5:$C$1004,C209,'Who Engaged'!$N$5:$N$1004,"Yes"))</f>
        <v/>
      </c>
      <c r="R209" s="22" t="str">
        <f aca="false">IF(OR(OR(A209="",B209="",C209=""),P209=""),"",MAX(0,P209-N(Q209)))</f>
        <v/>
      </c>
      <c r="S209" s="23" t="str">
        <f aca="false">IF(OR(OR(A209="",B209="",C209=""),R209=""),"",IFERROR(R209/(IF(N(H209)&gt;0,H209,IF(N(I209)&gt;0,I209,IF(COUNTIFS($B$16:$B$215,B209,$H$16:$H$215,"&gt;0")+COUNTIFS($B$16:$B$215,B209,$I$16:$I$215,"&gt;0")&gt;0,"",INDEX($B$5:$B$7,MATCH(B209,$A$5:$A$7,0)))))),""))</f>
        <v/>
      </c>
      <c r="T209" s="24" t="str">
        <f aca="false">IF(OR(A209="",B209="",C209=""),"",IF(OR(S209="",COUNTIFS($B$16:$B$215,B209,$S$16:$S$215,"&gt;=0")&lt;2),"No Data Yet",IFERROR(IF(S209/AVERAGEIFS($S$16:$S$215,$B$16:$B$215,B209)&gt;=1.2,"Good",IF(S209/AVERAGEIFS($S$16:$S$215,$B$16:$B$215,B209)&gt;=0.8,"Average","Below Standard")),"Average")))</f>
        <v/>
      </c>
      <c r="U209" s="22" t="str">
        <f aca="false">IF(OR(A209="",B209="",C209=""),"",COUNTIFS('Who Engaged'!$C$5:$C$1004,C209,'Who Engaged'!$O$5:$O$1004,"Yes",'Who Engaged'!$M$5:$M$1004,1))</f>
        <v/>
      </c>
      <c r="V209" s="22" t="str">
        <f aca="false">IF(OR(A209="",B209="",C209=""),"",COUNTIFS('Who Engaged'!$C$5:$C$1004,C209,'Who Engaged'!$O$5:$O$1004,"Yes",'Who Engaged'!$L$5:$L$1004,1))</f>
        <v/>
      </c>
      <c r="W209" s="25" t="str">
        <f aca="false" t="array" ref="W209:W209">IF(OR(A209="",B209="",C209=""),"",_xlfn.TEXTJOIN("; ",TRUE(),IF(('Who Engaged'!$C$5:$C$1004=C209)*('Who Engaged'!$O$5:$O$1004="Yes"),'Who Engaged'!$D$5:$D$1004&amp;" – "&amp;'Who Engaged'!$F$5:$F$1004&amp;IF('Who Engaged'!$L$5:$L$1004=1," (followed)",""),"")))</f>
        <v/>
      </c>
      <c r="X209" s="26"/>
      <c r="Y209" s="26"/>
      <c r="Z209" s="27"/>
      <c r="AA209" s="24" t="str">
        <f aca="false">IF(OR(A209="",B209="",C209=""),"","https://www.alphanodus.com/contact?utm_source="&amp;IF(B209="X","twitter",LOWER(B209))&amp;"&amp;utm_medium=social&amp;utm_campaign="&amp;IF(E209="","general",LOWER(SUBSTITUTE(SUBSTITUTE(E209," / ","-")," ","-")))&amp;"&amp;utm_content="&amp;LOWER(C209))</f>
        <v/>
      </c>
    </row>
    <row r="210" customFormat="false" ht="15" hidden="false" customHeight="false" outlineLevel="0" collapsed="false">
      <c r="A210" s="28"/>
      <c r="B210" s="27"/>
      <c r="C210" s="27"/>
      <c r="D210" s="26"/>
      <c r="E210" s="27"/>
      <c r="F210" s="27"/>
      <c r="G210" s="27"/>
      <c r="H210" s="21"/>
      <c r="I210" s="21"/>
      <c r="J210" s="21"/>
      <c r="K210" s="21"/>
      <c r="L210" s="21"/>
      <c r="M210" s="21"/>
      <c r="N210" s="21"/>
      <c r="O210" s="21"/>
      <c r="P210" s="22" t="str">
        <f aca="false">IF(OR(A210="",B210="",C210=""),"",IF(COUNT(J210:N210)=0,"",SUM(J210:N210)))</f>
        <v/>
      </c>
      <c r="Q210" s="22" t="str">
        <f aca="false">IF(OR(A210="",B210="",C210=""),"",SUMIFS('Who Engaged'!$H$5:$H$1004,'Who Engaged'!$C$5:$C$1004,C210,'Who Engaged'!$N$5:$N$1004,"Yes")+SUMIFS('Who Engaged'!$I$5:$I$1004,'Who Engaged'!$C$5:$C$1004,C210,'Who Engaged'!$N$5:$N$1004,"Yes")+SUMIFS('Who Engaged'!$J$5:$J$1004,'Who Engaged'!$C$5:$C$1004,C210,'Who Engaged'!$N$5:$N$1004,"Yes")+SUMIFS('Who Engaged'!$K$5:$K$1004,'Who Engaged'!$C$5:$C$1004,C210,'Who Engaged'!$N$5:$N$1004,"Yes"))</f>
        <v/>
      </c>
      <c r="R210" s="22" t="str">
        <f aca="false">IF(OR(OR(A210="",B210="",C210=""),P210=""),"",MAX(0,P210-N(Q210)))</f>
        <v/>
      </c>
      <c r="S210" s="23" t="str">
        <f aca="false">IF(OR(OR(A210="",B210="",C210=""),R210=""),"",IFERROR(R210/(IF(N(H210)&gt;0,H210,IF(N(I210)&gt;0,I210,IF(COUNTIFS($B$16:$B$215,B210,$H$16:$H$215,"&gt;0")+COUNTIFS($B$16:$B$215,B210,$I$16:$I$215,"&gt;0")&gt;0,"",INDEX($B$5:$B$7,MATCH(B210,$A$5:$A$7,0)))))),""))</f>
        <v/>
      </c>
      <c r="T210" s="24" t="str">
        <f aca="false">IF(OR(A210="",B210="",C210=""),"",IF(OR(S210="",COUNTIFS($B$16:$B$215,B210,$S$16:$S$215,"&gt;=0")&lt;2),"No Data Yet",IFERROR(IF(S210/AVERAGEIFS($S$16:$S$215,$B$16:$B$215,B210)&gt;=1.2,"Good",IF(S210/AVERAGEIFS($S$16:$S$215,$B$16:$B$215,B210)&gt;=0.8,"Average","Below Standard")),"Average")))</f>
        <v/>
      </c>
      <c r="U210" s="22" t="str">
        <f aca="false">IF(OR(A210="",B210="",C210=""),"",COUNTIFS('Who Engaged'!$C$5:$C$1004,C210,'Who Engaged'!$O$5:$O$1004,"Yes",'Who Engaged'!$M$5:$M$1004,1))</f>
        <v/>
      </c>
      <c r="V210" s="22" t="str">
        <f aca="false">IF(OR(A210="",B210="",C210=""),"",COUNTIFS('Who Engaged'!$C$5:$C$1004,C210,'Who Engaged'!$O$5:$O$1004,"Yes",'Who Engaged'!$L$5:$L$1004,1))</f>
        <v/>
      </c>
      <c r="W210" s="25" t="str">
        <f aca="false" t="array" ref="W210:W210">IF(OR(A210="",B210="",C210=""),"",_xlfn.TEXTJOIN("; ",TRUE(),IF(('Who Engaged'!$C$5:$C$1004=C210)*('Who Engaged'!$O$5:$O$1004="Yes"),'Who Engaged'!$D$5:$D$1004&amp;" – "&amp;'Who Engaged'!$F$5:$F$1004&amp;IF('Who Engaged'!$L$5:$L$1004=1," (followed)",""),"")))</f>
        <v/>
      </c>
      <c r="X210" s="26"/>
      <c r="Y210" s="26"/>
      <c r="Z210" s="27"/>
      <c r="AA210" s="24" t="str">
        <f aca="false">IF(OR(A210="",B210="",C210=""),"","https://www.alphanodus.com/contact?utm_source="&amp;IF(B210="X","twitter",LOWER(B210))&amp;"&amp;utm_medium=social&amp;utm_campaign="&amp;IF(E210="","general",LOWER(SUBSTITUTE(SUBSTITUTE(E210," / ","-")," ","-")))&amp;"&amp;utm_content="&amp;LOWER(C210))</f>
        <v/>
      </c>
    </row>
    <row r="211" customFormat="false" ht="15" hidden="false" customHeight="false" outlineLevel="0" collapsed="false">
      <c r="A211" s="28"/>
      <c r="B211" s="27"/>
      <c r="C211" s="27"/>
      <c r="D211" s="26"/>
      <c r="E211" s="27"/>
      <c r="F211" s="27"/>
      <c r="G211" s="27"/>
      <c r="H211" s="21"/>
      <c r="I211" s="21"/>
      <c r="J211" s="21"/>
      <c r="K211" s="21"/>
      <c r="L211" s="21"/>
      <c r="M211" s="21"/>
      <c r="N211" s="21"/>
      <c r="O211" s="21"/>
      <c r="P211" s="22" t="str">
        <f aca="false">IF(OR(A211="",B211="",C211=""),"",IF(COUNT(J211:N211)=0,"",SUM(J211:N211)))</f>
        <v/>
      </c>
      <c r="Q211" s="22" t="str">
        <f aca="false">IF(OR(A211="",B211="",C211=""),"",SUMIFS('Who Engaged'!$H$5:$H$1004,'Who Engaged'!$C$5:$C$1004,C211,'Who Engaged'!$N$5:$N$1004,"Yes")+SUMIFS('Who Engaged'!$I$5:$I$1004,'Who Engaged'!$C$5:$C$1004,C211,'Who Engaged'!$N$5:$N$1004,"Yes")+SUMIFS('Who Engaged'!$J$5:$J$1004,'Who Engaged'!$C$5:$C$1004,C211,'Who Engaged'!$N$5:$N$1004,"Yes")+SUMIFS('Who Engaged'!$K$5:$K$1004,'Who Engaged'!$C$5:$C$1004,C211,'Who Engaged'!$N$5:$N$1004,"Yes"))</f>
        <v/>
      </c>
      <c r="R211" s="22" t="str">
        <f aca="false">IF(OR(OR(A211="",B211="",C211=""),P211=""),"",MAX(0,P211-N(Q211)))</f>
        <v/>
      </c>
      <c r="S211" s="23" t="str">
        <f aca="false">IF(OR(OR(A211="",B211="",C211=""),R211=""),"",IFERROR(R211/(IF(N(H211)&gt;0,H211,IF(N(I211)&gt;0,I211,IF(COUNTIFS($B$16:$B$215,B211,$H$16:$H$215,"&gt;0")+COUNTIFS($B$16:$B$215,B211,$I$16:$I$215,"&gt;0")&gt;0,"",INDEX($B$5:$B$7,MATCH(B211,$A$5:$A$7,0)))))),""))</f>
        <v/>
      </c>
      <c r="T211" s="24" t="str">
        <f aca="false">IF(OR(A211="",B211="",C211=""),"",IF(OR(S211="",COUNTIFS($B$16:$B$215,B211,$S$16:$S$215,"&gt;=0")&lt;2),"No Data Yet",IFERROR(IF(S211/AVERAGEIFS($S$16:$S$215,$B$16:$B$215,B211)&gt;=1.2,"Good",IF(S211/AVERAGEIFS($S$16:$S$215,$B$16:$B$215,B211)&gt;=0.8,"Average","Below Standard")),"Average")))</f>
        <v/>
      </c>
      <c r="U211" s="22" t="str">
        <f aca="false">IF(OR(A211="",B211="",C211=""),"",COUNTIFS('Who Engaged'!$C$5:$C$1004,C211,'Who Engaged'!$O$5:$O$1004,"Yes",'Who Engaged'!$M$5:$M$1004,1))</f>
        <v/>
      </c>
      <c r="V211" s="22" t="str">
        <f aca="false">IF(OR(A211="",B211="",C211=""),"",COUNTIFS('Who Engaged'!$C$5:$C$1004,C211,'Who Engaged'!$O$5:$O$1004,"Yes",'Who Engaged'!$L$5:$L$1004,1))</f>
        <v/>
      </c>
      <c r="W211" s="25" t="str">
        <f aca="false" t="array" ref="W211:W211">IF(OR(A211="",B211="",C211=""),"",_xlfn.TEXTJOIN("; ",TRUE(),IF(('Who Engaged'!$C$5:$C$1004=C211)*('Who Engaged'!$O$5:$O$1004="Yes"),'Who Engaged'!$D$5:$D$1004&amp;" – "&amp;'Who Engaged'!$F$5:$F$1004&amp;IF('Who Engaged'!$L$5:$L$1004=1," (followed)",""),"")))</f>
        <v/>
      </c>
      <c r="X211" s="26"/>
      <c r="Y211" s="26"/>
      <c r="Z211" s="27"/>
      <c r="AA211" s="24" t="str">
        <f aca="false">IF(OR(A211="",B211="",C211=""),"","https://www.alphanodus.com/contact?utm_source="&amp;IF(B211="X","twitter",LOWER(B211))&amp;"&amp;utm_medium=social&amp;utm_campaign="&amp;IF(E211="","general",LOWER(SUBSTITUTE(SUBSTITUTE(E211," / ","-")," ","-")))&amp;"&amp;utm_content="&amp;LOWER(C211))</f>
        <v/>
      </c>
    </row>
    <row r="212" customFormat="false" ht="15" hidden="false" customHeight="false" outlineLevel="0" collapsed="false">
      <c r="A212" s="28"/>
      <c r="B212" s="27"/>
      <c r="C212" s="27"/>
      <c r="D212" s="26"/>
      <c r="E212" s="27"/>
      <c r="F212" s="27"/>
      <c r="G212" s="27"/>
      <c r="H212" s="21"/>
      <c r="I212" s="21"/>
      <c r="J212" s="21"/>
      <c r="K212" s="21"/>
      <c r="L212" s="21"/>
      <c r="M212" s="21"/>
      <c r="N212" s="21"/>
      <c r="O212" s="21"/>
      <c r="P212" s="22" t="str">
        <f aca="false">IF(OR(A212="",B212="",C212=""),"",IF(COUNT(J212:N212)=0,"",SUM(J212:N212)))</f>
        <v/>
      </c>
      <c r="Q212" s="22" t="str">
        <f aca="false">IF(OR(A212="",B212="",C212=""),"",SUMIFS('Who Engaged'!$H$5:$H$1004,'Who Engaged'!$C$5:$C$1004,C212,'Who Engaged'!$N$5:$N$1004,"Yes")+SUMIFS('Who Engaged'!$I$5:$I$1004,'Who Engaged'!$C$5:$C$1004,C212,'Who Engaged'!$N$5:$N$1004,"Yes")+SUMIFS('Who Engaged'!$J$5:$J$1004,'Who Engaged'!$C$5:$C$1004,C212,'Who Engaged'!$N$5:$N$1004,"Yes")+SUMIFS('Who Engaged'!$K$5:$K$1004,'Who Engaged'!$C$5:$C$1004,C212,'Who Engaged'!$N$5:$N$1004,"Yes"))</f>
        <v/>
      </c>
      <c r="R212" s="22" t="str">
        <f aca="false">IF(OR(OR(A212="",B212="",C212=""),P212=""),"",MAX(0,P212-N(Q212)))</f>
        <v/>
      </c>
      <c r="S212" s="23" t="str">
        <f aca="false">IF(OR(OR(A212="",B212="",C212=""),R212=""),"",IFERROR(R212/(IF(N(H212)&gt;0,H212,IF(N(I212)&gt;0,I212,IF(COUNTIFS($B$16:$B$215,B212,$H$16:$H$215,"&gt;0")+COUNTIFS($B$16:$B$215,B212,$I$16:$I$215,"&gt;0")&gt;0,"",INDEX($B$5:$B$7,MATCH(B212,$A$5:$A$7,0)))))),""))</f>
        <v/>
      </c>
      <c r="T212" s="24" t="str">
        <f aca="false">IF(OR(A212="",B212="",C212=""),"",IF(OR(S212="",COUNTIFS($B$16:$B$215,B212,$S$16:$S$215,"&gt;=0")&lt;2),"No Data Yet",IFERROR(IF(S212/AVERAGEIFS($S$16:$S$215,$B$16:$B$215,B212)&gt;=1.2,"Good",IF(S212/AVERAGEIFS($S$16:$S$215,$B$16:$B$215,B212)&gt;=0.8,"Average","Below Standard")),"Average")))</f>
        <v/>
      </c>
      <c r="U212" s="22" t="str">
        <f aca="false">IF(OR(A212="",B212="",C212=""),"",COUNTIFS('Who Engaged'!$C$5:$C$1004,C212,'Who Engaged'!$O$5:$O$1004,"Yes",'Who Engaged'!$M$5:$M$1004,1))</f>
        <v/>
      </c>
      <c r="V212" s="22" t="str">
        <f aca="false">IF(OR(A212="",B212="",C212=""),"",COUNTIFS('Who Engaged'!$C$5:$C$1004,C212,'Who Engaged'!$O$5:$O$1004,"Yes",'Who Engaged'!$L$5:$L$1004,1))</f>
        <v/>
      </c>
      <c r="W212" s="25" t="str">
        <f aca="false" t="array" ref="W212:W212">IF(OR(A212="",B212="",C212=""),"",_xlfn.TEXTJOIN("; ",TRUE(),IF(('Who Engaged'!$C$5:$C$1004=C212)*('Who Engaged'!$O$5:$O$1004="Yes"),'Who Engaged'!$D$5:$D$1004&amp;" – "&amp;'Who Engaged'!$F$5:$F$1004&amp;IF('Who Engaged'!$L$5:$L$1004=1," (followed)",""),"")))</f>
        <v/>
      </c>
      <c r="X212" s="26"/>
      <c r="Y212" s="26"/>
      <c r="Z212" s="27"/>
      <c r="AA212" s="24" t="str">
        <f aca="false">IF(OR(A212="",B212="",C212=""),"","https://www.alphanodus.com/contact?utm_source="&amp;IF(B212="X","twitter",LOWER(B212))&amp;"&amp;utm_medium=social&amp;utm_campaign="&amp;IF(E212="","general",LOWER(SUBSTITUTE(SUBSTITUTE(E212," / ","-")," ","-")))&amp;"&amp;utm_content="&amp;LOWER(C212))</f>
        <v/>
      </c>
    </row>
    <row r="213" customFormat="false" ht="15" hidden="false" customHeight="false" outlineLevel="0" collapsed="false">
      <c r="A213" s="28"/>
      <c r="B213" s="27"/>
      <c r="C213" s="27"/>
      <c r="D213" s="26"/>
      <c r="E213" s="27"/>
      <c r="F213" s="27"/>
      <c r="G213" s="27"/>
      <c r="H213" s="21"/>
      <c r="I213" s="21"/>
      <c r="J213" s="21"/>
      <c r="K213" s="21"/>
      <c r="L213" s="21"/>
      <c r="M213" s="21"/>
      <c r="N213" s="21"/>
      <c r="O213" s="21"/>
      <c r="P213" s="22" t="str">
        <f aca="false">IF(OR(A213="",B213="",C213=""),"",IF(COUNT(J213:N213)=0,"",SUM(J213:N213)))</f>
        <v/>
      </c>
      <c r="Q213" s="22" t="str">
        <f aca="false">IF(OR(A213="",B213="",C213=""),"",SUMIFS('Who Engaged'!$H$5:$H$1004,'Who Engaged'!$C$5:$C$1004,C213,'Who Engaged'!$N$5:$N$1004,"Yes")+SUMIFS('Who Engaged'!$I$5:$I$1004,'Who Engaged'!$C$5:$C$1004,C213,'Who Engaged'!$N$5:$N$1004,"Yes")+SUMIFS('Who Engaged'!$J$5:$J$1004,'Who Engaged'!$C$5:$C$1004,C213,'Who Engaged'!$N$5:$N$1004,"Yes")+SUMIFS('Who Engaged'!$K$5:$K$1004,'Who Engaged'!$C$5:$C$1004,C213,'Who Engaged'!$N$5:$N$1004,"Yes"))</f>
        <v/>
      </c>
      <c r="R213" s="22" t="str">
        <f aca="false">IF(OR(OR(A213="",B213="",C213=""),P213=""),"",MAX(0,P213-N(Q213)))</f>
        <v/>
      </c>
      <c r="S213" s="23" t="str">
        <f aca="false">IF(OR(OR(A213="",B213="",C213=""),R213=""),"",IFERROR(R213/(IF(N(H213)&gt;0,H213,IF(N(I213)&gt;0,I213,IF(COUNTIFS($B$16:$B$215,B213,$H$16:$H$215,"&gt;0")+COUNTIFS($B$16:$B$215,B213,$I$16:$I$215,"&gt;0")&gt;0,"",INDEX($B$5:$B$7,MATCH(B213,$A$5:$A$7,0)))))),""))</f>
        <v/>
      </c>
      <c r="T213" s="24" t="str">
        <f aca="false">IF(OR(A213="",B213="",C213=""),"",IF(OR(S213="",COUNTIFS($B$16:$B$215,B213,$S$16:$S$215,"&gt;=0")&lt;2),"No Data Yet",IFERROR(IF(S213/AVERAGEIFS($S$16:$S$215,$B$16:$B$215,B213)&gt;=1.2,"Good",IF(S213/AVERAGEIFS($S$16:$S$215,$B$16:$B$215,B213)&gt;=0.8,"Average","Below Standard")),"Average")))</f>
        <v/>
      </c>
      <c r="U213" s="22" t="str">
        <f aca="false">IF(OR(A213="",B213="",C213=""),"",COUNTIFS('Who Engaged'!$C$5:$C$1004,C213,'Who Engaged'!$O$5:$O$1004,"Yes",'Who Engaged'!$M$5:$M$1004,1))</f>
        <v/>
      </c>
      <c r="V213" s="22" t="str">
        <f aca="false">IF(OR(A213="",B213="",C213=""),"",COUNTIFS('Who Engaged'!$C$5:$C$1004,C213,'Who Engaged'!$O$5:$O$1004,"Yes",'Who Engaged'!$L$5:$L$1004,1))</f>
        <v/>
      </c>
      <c r="W213" s="25" t="str">
        <f aca="false" t="array" ref="W213:W213">IF(OR(A213="",B213="",C213=""),"",_xlfn.TEXTJOIN("; ",TRUE(),IF(('Who Engaged'!$C$5:$C$1004=C213)*('Who Engaged'!$O$5:$O$1004="Yes"),'Who Engaged'!$D$5:$D$1004&amp;" – "&amp;'Who Engaged'!$F$5:$F$1004&amp;IF('Who Engaged'!$L$5:$L$1004=1," (followed)",""),"")))</f>
        <v/>
      </c>
      <c r="X213" s="26"/>
      <c r="Y213" s="26"/>
      <c r="Z213" s="27"/>
      <c r="AA213" s="24" t="str">
        <f aca="false">IF(OR(A213="",B213="",C213=""),"","https://www.alphanodus.com/contact?utm_source="&amp;IF(B213="X","twitter",LOWER(B213))&amp;"&amp;utm_medium=social&amp;utm_campaign="&amp;IF(E213="","general",LOWER(SUBSTITUTE(SUBSTITUTE(E213," / ","-")," ","-")))&amp;"&amp;utm_content="&amp;LOWER(C213))</f>
        <v/>
      </c>
    </row>
    <row r="214" customFormat="false" ht="15" hidden="false" customHeight="false" outlineLevel="0" collapsed="false">
      <c r="A214" s="28"/>
      <c r="B214" s="27"/>
      <c r="C214" s="27"/>
      <c r="D214" s="26"/>
      <c r="E214" s="27"/>
      <c r="F214" s="27"/>
      <c r="G214" s="27"/>
      <c r="H214" s="21"/>
      <c r="I214" s="21"/>
      <c r="J214" s="21"/>
      <c r="K214" s="21"/>
      <c r="L214" s="21"/>
      <c r="M214" s="21"/>
      <c r="N214" s="21"/>
      <c r="O214" s="21"/>
      <c r="P214" s="22" t="str">
        <f aca="false">IF(OR(A214="",B214="",C214=""),"",IF(COUNT(J214:N214)=0,"",SUM(J214:N214)))</f>
        <v/>
      </c>
      <c r="Q214" s="22" t="str">
        <f aca="false">IF(OR(A214="",B214="",C214=""),"",SUMIFS('Who Engaged'!$H$5:$H$1004,'Who Engaged'!$C$5:$C$1004,C214,'Who Engaged'!$N$5:$N$1004,"Yes")+SUMIFS('Who Engaged'!$I$5:$I$1004,'Who Engaged'!$C$5:$C$1004,C214,'Who Engaged'!$N$5:$N$1004,"Yes")+SUMIFS('Who Engaged'!$J$5:$J$1004,'Who Engaged'!$C$5:$C$1004,C214,'Who Engaged'!$N$5:$N$1004,"Yes")+SUMIFS('Who Engaged'!$K$5:$K$1004,'Who Engaged'!$C$5:$C$1004,C214,'Who Engaged'!$N$5:$N$1004,"Yes"))</f>
        <v/>
      </c>
      <c r="R214" s="22" t="str">
        <f aca="false">IF(OR(OR(A214="",B214="",C214=""),P214=""),"",MAX(0,P214-N(Q214)))</f>
        <v/>
      </c>
      <c r="S214" s="23" t="str">
        <f aca="false">IF(OR(OR(A214="",B214="",C214=""),R214=""),"",IFERROR(R214/(IF(N(H214)&gt;0,H214,IF(N(I214)&gt;0,I214,IF(COUNTIFS($B$16:$B$215,B214,$H$16:$H$215,"&gt;0")+COUNTIFS($B$16:$B$215,B214,$I$16:$I$215,"&gt;0")&gt;0,"",INDEX($B$5:$B$7,MATCH(B214,$A$5:$A$7,0)))))),""))</f>
        <v/>
      </c>
      <c r="T214" s="24" t="str">
        <f aca="false">IF(OR(A214="",B214="",C214=""),"",IF(OR(S214="",COUNTIFS($B$16:$B$215,B214,$S$16:$S$215,"&gt;=0")&lt;2),"No Data Yet",IFERROR(IF(S214/AVERAGEIFS($S$16:$S$215,$B$16:$B$215,B214)&gt;=1.2,"Good",IF(S214/AVERAGEIFS($S$16:$S$215,$B$16:$B$215,B214)&gt;=0.8,"Average","Below Standard")),"Average")))</f>
        <v/>
      </c>
      <c r="U214" s="22" t="str">
        <f aca="false">IF(OR(A214="",B214="",C214=""),"",COUNTIFS('Who Engaged'!$C$5:$C$1004,C214,'Who Engaged'!$O$5:$O$1004,"Yes",'Who Engaged'!$M$5:$M$1004,1))</f>
        <v/>
      </c>
      <c r="V214" s="22" t="str">
        <f aca="false">IF(OR(A214="",B214="",C214=""),"",COUNTIFS('Who Engaged'!$C$5:$C$1004,C214,'Who Engaged'!$O$5:$O$1004,"Yes",'Who Engaged'!$L$5:$L$1004,1))</f>
        <v/>
      </c>
      <c r="W214" s="25" t="str">
        <f aca="false" t="array" ref="W214:W214">IF(OR(A214="",B214="",C214=""),"",_xlfn.TEXTJOIN("; ",TRUE(),IF(('Who Engaged'!$C$5:$C$1004=C214)*('Who Engaged'!$O$5:$O$1004="Yes"),'Who Engaged'!$D$5:$D$1004&amp;" – "&amp;'Who Engaged'!$F$5:$F$1004&amp;IF('Who Engaged'!$L$5:$L$1004=1," (followed)",""),"")))</f>
        <v/>
      </c>
      <c r="X214" s="26"/>
      <c r="Y214" s="26"/>
      <c r="Z214" s="27"/>
      <c r="AA214" s="24" t="str">
        <f aca="false">IF(OR(A214="",B214="",C214=""),"","https://www.alphanodus.com/contact?utm_source="&amp;IF(B214="X","twitter",LOWER(B214))&amp;"&amp;utm_medium=social&amp;utm_campaign="&amp;IF(E214="","general",LOWER(SUBSTITUTE(SUBSTITUTE(E214," / ","-")," ","-")))&amp;"&amp;utm_content="&amp;LOWER(C214))</f>
        <v/>
      </c>
    </row>
    <row r="215" customFormat="false" ht="15" hidden="false" customHeight="false" outlineLevel="0" collapsed="false">
      <c r="A215" s="28"/>
      <c r="B215" s="27"/>
      <c r="C215" s="27"/>
      <c r="D215" s="26"/>
      <c r="E215" s="27"/>
      <c r="F215" s="27"/>
      <c r="G215" s="27"/>
      <c r="H215" s="21"/>
      <c r="I215" s="21"/>
      <c r="J215" s="21"/>
      <c r="K215" s="21"/>
      <c r="L215" s="21"/>
      <c r="M215" s="21"/>
      <c r="N215" s="21"/>
      <c r="O215" s="21"/>
      <c r="P215" s="22" t="str">
        <f aca="false">IF(OR(A215="",B215="",C215=""),"",IF(COUNT(J215:N215)=0,"",SUM(J215:N215)))</f>
        <v/>
      </c>
      <c r="Q215" s="22" t="str">
        <f aca="false">IF(OR(A215="",B215="",C215=""),"",SUMIFS('Who Engaged'!$H$5:$H$1004,'Who Engaged'!$C$5:$C$1004,C215,'Who Engaged'!$N$5:$N$1004,"Yes")+SUMIFS('Who Engaged'!$I$5:$I$1004,'Who Engaged'!$C$5:$C$1004,C215,'Who Engaged'!$N$5:$N$1004,"Yes")+SUMIFS('Who Engaged'!$J$5:$J$1004,'Who Engaged'!$C$5:$C$1004,C215,'Who Engaged'!$N$5:$N$1004,"Yes")+SUMIFS('Who Engaged'!$K$5:$K$1004,'Who Engaged'!$C$5:$C$1004,C215,'Who Engaged'!$N$5:$N$1004,"Yes"))</f>
        <v/>
      </c>
      <c r="R215" s="22" t="str">
        <f aca="false">IF(OR(OR(A215="",B215="",C215=""),P215=""),"",MAX(0,P215-N(Q215)))</f>
        <v/>
      </c>
      <c r="S215" s="23" t="str">
        <f aca="false">IF(OR(OR(A215="",B215="",C215=""),R215=""),"",IFERROR(R215/(IF(N(H215)&gt;0,H215,IF(N(I215)&gt;0,I215,IF(COUNTIFS($B$16:$B$215,B215,$H$16:$H$215,"&gt;0")+COUNTIFS($B$16:$B$215,B215,$I$16:$I$215,"&gt;0")&gt;0,"",INDEX($B$5:$B$7,MATCH(B215,$A$5:$A$7,0)))))),""))</f>
        <v/>
      </c>
      <c r="T215" s="24" t="str">
        <f aca="false">IF(OR(A215="",B215="",C215=""),"",IF(OR(S215="",COUNTIFS($B$16:$B$215,B215,$S$16:$S$215,"&gt;=0")&lt;2),"No Data Yet",IFERROR(IF(S215/AVERAGEIFS($S$16:$S$215,$B$16:$B$215,B215)&gt;=1.2,"Good",IF(S215/AVERAGEIFS($S$16:$S$215,$B$16:$B$215,B215)&gt;=0.8,"Average","Below Standard")),"Average")))</f>
        <v/>
      </c>
      <c r="U215" s="22" t="str">
        <f aca="false">IF(OR(A215="",B215="",C215=""),"",COUNTIFS('Who Engaged'!$C$5:$C$1004,C215,'Who Engaged'!$O$5:$O$1004,"Yes",'Who Engaged'!$M$5:$M$1004,1))</f>
        <v/>
      </c>
      <c r="V215" s="22" t="str">
        <f aca="false">IF(OR(A215="",B215="",C215=""),"",COUNTIFS('Who Engaged'!$C$5:$C$1004,C215,'Who Engaged'!$O$5:$O$1004,"Yes",'Who Engaged'!$L$5:$L$1004,1))</f>
        <v/>
      </c>
      <c r="W215" s="25" t="str">
        <f aca="false" t="array" ref="W215:W215">IF(OR(A215="",B215="",C215=""),"",_xlfn.TEXTJOIN("; ",TRUE(),IF(('Who Engaged'!$C$5:$C$1004=C215)*('Who Engaged'!$O$5:$O$1004="Yes"),'Who Engaged'!$D$5:$D$1004&amp;" – "&amp;'Who Engaged'!$F$5:$F$1004&amp;IF('Who Engaged'!$L$5:$L$1004=1," (followed)",""),"")))</f>
        <v/>
      </c>
      <c r="X215" s="26"/>
      <c r="Y215" s="26"/>
      <c r="Z215" s="27"/>
      <c r="AA215" s="24" t="str">
        <f aca="false">IF(OR(A215="",B215="",C215=""),"","https://www.alphanodus.com/contact?utm_source="&amp;IF(B215="X","twitter",LOWER(B215))&amp;"&amp;utm_medium=social&amp;utm_campaign="&amp;IF(E215="","general",LOWER(SUBSTITUTE(SUBSTITUTE(E215," / ","-")," ","-")))&amp;"&amp;utm_content="&amp;LOWER(C215))</f>
        <v/>
      </c>
    </row>
  </sheetData>
  <autoFilter ref="A15:AA215"/>
  <conditionalFormatting sqref="T16:T215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Z16:Z215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conditionalFormatting sqref="C16:C215">
    <cfRule type="expression" priority="10" aboveAverage="0" equalAverage="0" bottom="0" percent="0" rank="0" text="" dxfId="16">
      <formula>AND(C16&lt;&gt;"",COUNTIF($C$16:$C$215,C16)&gt;1)</formula>
    </cfRule>
  </conditionalFormatting>
  <dataValidations count="4">
    <dataValidation allowBlank="true" errorStyle="stop" operator="between" showDropDown="false" showErrorMessage="false" showInputMessage="false" sqref="B16:B215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E16:E215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F16:F215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Z16:Z215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7" min="6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7"/>
    <col collapsed="false" customWidth="true" hidden="false" outlineLevel="0" max="13" min="12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30"/>
  </cols>
  <sheetData>
    <row r="1" customFormat="false" ht="19.7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31.5" hidden="false" customHeight="true" outlineLevel="0" collapsed="false">
      <c r="A4" s="3" t="s">
        <v>29</v>
      </c>
      <c r="B4" s="3" t="s">
        <v>2</v>
      </c>
      <c r="C4" s="3" t="s">
        <v>137</v>
      </c>
      <c r="D4" s="3" t="s">
        <v>138</v>
      </c>
      <c r="E4" s="3" t="s">
        <v>139</v>
      </c>
      <c r="F4" s="3" t="s">
        <v>140</v>
      </c>
      <c r="G4" s="3" t="s">
        <v>141</v>
      </c>
      <c r="H4" s="3" t="s">
        <v>142</v>
      </c>
      <c r="I4" s="3" t="s">
        <v>143</v>
      </c>
      <c r="J4" s="3" t="s">
        <v>144</v>
      </c>
      <c r="K4" s="3" t="s">
        <v>145</v>
      </c>
      <c r="L4" s="3" t="s">
        <v>146</v>
      </c>
      <c r="M4" s="16" t="s">
        <v>147</v>
      </c>
      <c r="N4" s="16" t="s">
        <v>148</v>
      </c>
      <c r="O4" s="16" t="s">
        <v>149</v>
      </c>
      <c r="P4" s="3" t="s">
        <v>150</v>
      </c>
    </row>
    <row r="5" customFormat="false" ht="15" hidden="false" customHeight="false" outlineLevel="0" collapsed="false">
      <c r="A5" s="29" t="n">
        <v>46279</v>
      </c>
      <c r="B5" s="30" t="s">
        <v>15</v>
      </c>
      <c r="C5" s="30" t="s">
        <v>151</v>
      </c>
      <c r="D5" s="30" t="s">
        <v>152</v>
      </c>
      <c r="E5" s="30" t="s">
        <v>153</v>
      </c>
      <c r="F5" s="30" t="s">
        <v>154</v>
      </c>
      <c r="G5" s="31"/>
      <c r="H5" s="30" t="n">
        <v>1</v>
      </c>
      <c r="I5" s="30" t="n">
        <v>1</v>
      </c>
      <c r="J5" s="31"/>
      <c r="K5" s="31"/>
      <c r="L5" s="30" t="n">
        <v>1</v>
      </c>
      <c r="M5" s="32" t="n">
        <f aca="false">IF(D5="","",IF(SUM(H5:K5)&gt;0,1,0))</f>
        <v>1</v>
      </c>
      <c r="N5" s="33" t="str">
        <f aca="false">IF(D5="","",IF(OR(COUNTIF('Target &amp; Team Lists'!$J$5:$J$204,D5)&gt;0,ISNUMBER(SEARCH("alpha nodus",F5))),"Yes","No"))</f>
        <v>No</v>
      </c>
      <c r="O5" s="33" t="str">
        <f aca="false">IF(D5="","",IF(N5="Yes","No",IF(OR(AND(F5&lt;&gt;"",COUNTIF('Target &amp; Team Lists'!$A$5:$A$504,F5)&gt;0),COUNTIF('Target &amp; Team Lists'!$E$5:$E$504,D5)&gt;0),"Yes","No")))</f>
        <v>Yes</v>
      </c>
      <c r="P5" s="30" t="s">
        <v>155</v>
      </c>
    </row>
    <row r="6" customFormat="false" ht="15" hidden="false" customHeight="false" outlineLevel="0" collapsed="false">
      <c r="A6" s="34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2" t="str">
        <f aca="false">IF(D6="","",IF(SUM(H6:K6)&gt;0,1,0))</f>
        <v/>
      </c>
      <c r="N6" s="33" t="str">
        <f aca="false">IF(D6="","",IF(OR(COUNTIF('Target &amp; Team Lists'!$J$5:$J$204,D6)&gt;0,ISNUMBER(SEARCH("alpha nodus",F6))),"Yes","No"))</f>
        <v/>
      </c>
      <c r="O6" s="33" t="str">
        <f aca="false">IF(D6="","",IF(N6="Yes","No",IF(OR(AND(F6&lt;&gt;"",COUNTIF('Target &amp; Team Lists'!$A$5:$A$504,F6)&gt;0),COUNTIF('Target &amp; Team Lists'!$E$5:$E$504,D6)&gt;0),"Yes","No")))</f>
        <v/>
      </c>
      <c r="P6" s="31"/>
    </row>
    <row r="7" customFormat="false" ht="15" hidden="false" customHeight="false" outlineLevel="0" collapsed="false">
      <c r="A7" s="34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2" t="str">
        <f aca="false">IF(D7="","",IF(SUM(H7:K7)&gt;0,1,0))</f>
        <v/>
      </c>
      <c r="N7" s="33" t="str">
        <f aca="false">IF(D7="","",IF(OR(COUNTIF('Target &amp; Team Lists'!$J$5:$J$204,D7)&gt;0,ISNUMBER(SEARCH("alpha nodus",F7))),"Yes","No"))</f>
        <v/>
      </c>
      <c r="O7" s="33" t="str">
        <f aca="false">IF(D7="","",IF(N7="Yes","No",IF(OR(AND(F7&lt;&gt;"",COUNTIF('Target &amp; Team Lists'!$A$5:$A$504,F7)&gt;0),COUNTIF('Target &amp; Team Lists'!$E$5:$E$504,D7)&gt;0),"Yes","No")))</f>
        <v/>
      </c>
      <c r="P7" s="31"/>
    </row>
    <row r="8" customFormat="false" ht="15" hidden="false" customHeight="false" outlineLevel="0" collapsed="false">
      <c r="A8" s="34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2" t="str">
        <f aca="false">IF(D8="","",IF(SUM(H8:K8)&gt;0,1,0))</f>
        <v/>
      </c>
      <c r="N8" s="33" t="str">
        <f aca="false">IF(D8="","",IF(OR(COUNTIF('Target &amp; Team Lists'!$J$5:$J$204,D8)&gt;0,ISNUMBER(SEARCH("alpha nodus",F8))),"Yes","No"))</f>
        <v/>
      </c>
      <c r="O8" s="33" t="str">
        <f aca="false">IF(D8="","",IF(N8="Yes","No",IF(OR(AND(F8&lt;&gt;"",COUNTIF('Target &amp; Team Lists'!$A$5:$A$504,F8)&gt;0),COUNTIF('Target &amp; Team Lists'!$E$5:$E$504,D8)&gt;0),"Yes","No")))</f>
        <v/>
      </c>
      <c r="P8" s="31"/>
    </row>
    <row r="9" customFormat="false" ht="15" hidden="false" customHeight="false" outlineLevel="0" collapsed="false">
      <c r="A9" s="34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2" t="str">
        <f aca="false">IF(D9="","",IF(SUM(H9:K9)&gt;0,1,0))</f>
        <v/>
      </c>
      <c r="N9" s="33" t="str">
        <f aca="false">IF(D9="","",IF(OR(COUNTIF('Target &amp; Team Lists'!$J$5:$J$204,D9)&gt;0,ISNUMBER(SEARCH("alpha nodus",F9))),"Yes","No"))</f>
        <v/>
      </c>
      <c r="O9" s="33" t="str">
        <f aca="false">IF(D9="","",IF(N9="Yes","No",IF(OR(AND(F9&lt;&gt;"",COUNTIF('Target &amp; Team Lists'!$A$5:$A$504,F9)&gt;0),COUNTIF('Target &amp; Team Lists'!$E$5:$E$504,D9)&gt;0),"Yes","No")))</f>
        <v/>
      </c>
      <c r="P9" s="31"/>
    </row>
    <row r="10" customFormat="false" ht="15" hidden="false" customHeight="false" outlineLevel="0" collapsed="false">
      <c r="A10" s="34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2" t="str">
        <f aca="false">IF(D10="","",IF(SUM(H10:K10)&gt;0,1,0))</f>
        <v/>
      </c>
      <c r="N10" s="33" t="str">
        <f aca="false">IF(D10="","",IF(OR(COUNTIF('Target &amp; Team Lists'!$J$5:$J$204,D10)&gt;0,ISNUMBER(SEARCH("alpha nodus",F10))),"Yes","No"))</f>
        <v/>
      </c>
      <c r="O10" s="33" t="str">
        <f aca="false">IF(D10="","",IF(N10="Yes","No",IF(OR(AND(F10&lt;&gt;"",COUNTIF('Target &amp; Team Lists'!$A$5:$A$504,F10)&gt;0),COUNTIF('Target &amp; Team Lists'!$E$5:$E$504,D10)&gt;0),"Yes","No")))</f>
        <v/>
      </c>
      <c r="P10" s="31"/>
    </row>
    <row r="11" customFormat="false" ht="15" hidden="false" customHeight="false" outlineLevel="0" collapsed="false">
      <c r="A11" s="34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2" t="str">
        <f aca="false">IF(D11="","",IF(SUM(H11:K11)&gt;0,1,0))</f>
        <v/>
      </c>
      <c r="N11" s="33" t="str">
        <f aca="false">IF(D11="","",IF(OR(COUNTIF('Target &amp; Team Lists'!$J$5:$J$204,D11)&gt;0,ISNUMBER(SEARCH("alpha nodus",F11))),"Yes","No"))</f>
        <v/>
      </c>
      <c r="O11" s="33" t="str">
        <f aca="false">IF(D11="","",IF(N11="Yes","No",IF(OR(AND(F11&lt;&gt;"",COUNTIF('Target &amp; Team Lists'!$A$5:$A$504,F11)&gt;0),COUNTIF('Target &amp; Team Lists'!$E$5:$E$504,D11)&gt;0),"Yes","No")))</f>
        <v/>
      </c>
      <c r="P11" s="31"/>
    </row>
    <row r="12" customFormat="false" ht="15" hidden="false" customHeight="false" outlineLevel="0" collapsed="false">
      <c r="A12" s="34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 t="str">
        <f aca="false">IF(D12="","",IF(SUM(H12:K12)&gt;0,1,0))</f>
        <v/>
      </c>
      <c r="N12" s="33" t="str">
        <f aca="false">IF(D12="","",IF(OR(COUNTIF('Target &amp; Team Lists'!$J$5:$J$204,D12)&gt;0,ISNUMBER(SEARCH("alpha nodus",F12))),"Yes","No"))</f>
        <v/>
      </c>
      <c r="O12" s="33" t="str">
        <f aca="false">IF(D12="","",IF(N12="Yes","No",IF(OR(AND(F12&lt;&gt;"",COUNTIF('Target &amp; Team Lists'!$A$5:$A$504,F12)&gt;0),COUNTIF('Target &amp; Team Lists'!$E$5:$E$504,D12)&gt;0),"Yes","No")))</f>
        <v/>
      </c>
      <c r="P12" s="31"/>
    </row>
    <row r="13" customFormat="false" ht="15" hidden="false" customHeight="false" outlineLevel="0" collapsed="false">
      <c r="A13" s="34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2" t="str">
        <f aca="false">IF(D13="","",IF(SUM(H13:K13)&gt;0,1,0))</f>
        <v/>
      </c>
      <c r="N13" s="33" t="str">
        <f aca="false">IF(D13="","",IF(OR(COUNTIF('Target &amp; Team Lists'!$J$5:$J$204,D13)&gt;0,ISNUMBER(SEARCH("alpha nodus",F13))),"Yes","No"))</f>
        <v/>
      </c>
      <c r="O13" s="33" t="str">
        <f aca="false">IF(D13="","",IF(N13="Yes","No",IF(OR(AND(F13&lt;&gt;"",COUNTIF('Target &amp; Team Lists'!$A$5:$A$504,F13)&gt;0),COUNTIF('Target &amp; Team Lists'!$E$5:$E$504,D13)&gt;0),"Yes","No")))</f>
        <v/>
      </c>
      <c r="P13" s="31"/>
    </row>
    <row r="14" customFormat="false" ht="15" hidden="false" customHeight="false" outlineLevel="0" collapsed="false">
      <c r="A14" s="34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2" t="str">
        <f aca="false">IF(D14="","",IF(SUM(H14:K14)&gt;0,1,0))</f>
        <v/>
      </c>
      <c r="N14" s="33" t="str">
        <f aca="false">IF(D14="","",IF(OR(COUNTIF('Target &amp; Team Lists'!$J$5:$J$204,D14)&gt;0,ISNUMBER(SEARCH("alpha nodus",F14))),"Yes","No"))</f>
        <v/>
      </c>
      <c r="O14" s="33" t="str">
        <f aca="false">IF(D14="","",IF(N14="Yes","No",IF(OR(AND(F14&lt;&gt;"",COUNTIF('Target &amp; Team Lists'!$A$5:$A$504,F14)&gt;0),COUNTIF('Target &amp; Team Lists'!$E$5:$E$504,D14)&gt;0),"Yes","No")))</f>
        <v/>
      </c>
      <c r="P14" s="31"/>
    </row>
    <row r="15" customFormat="false" ht="15" hidden="false" customHeight="false" outlineLevel="0" collapsed="false">
      <c r="A15" s="34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2" t="str">
        <f aca="false">IF(D15="","",IF(SUM(H15:K15)&gt;0,1,0))</f>
        <v/>
      </c>
      <c r="N15" s="33" t="str">
        <f aca="false">IF(D15="","",IF(OR(COUNTIF('Target &amp; Team Lists'!$J$5:$J$204,D15)&gt;0,ISNUMBER(SEARCH("alpha nodus",F15))),"Yes","No"))</f>
        <v/>
      </c>
      <c r="O15" s="33" t="str">
        <f aca="false">IF(D15="","",IF(N15="Yes","No",IF(OR(AND(F15&lt;&gt;"",COUNTIF('Target &amp; Team Lists'!$A$5:$A$504,F15)&gt;0),COUNTIF('Target &amp; Team Lists'!$E$5:$E$504,D15)&gt;0),"Yes","No")))</f>
        <v/>
      </c>
      <c r="P15" s="31"/>
    </row>
    <row r="16" customFormat="false" ht="15" hidden="false" customHeight="false" outlineLevel="0" collapsed="false">
      <c r="A16" s="34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2" t="str">
        <f aca="false">IF(D16="","",IF(SUM(H16:K16)&gt;0,1,0))</f>
        <v/>
      </c>
      <c r="N16" s="33" t="str">
        <f aca="false">IF(D16="","",IF(OR(COUNTIF('Target &amp; Team Lists'!$J$5:$J$204,D16)&gt;0,ISNUMBER(SEARCH("alpha nodus",F16))),"Yes","No"))</f>
        <v/>
      </c>
      <c r="O16" s="33" t="str">
        <f aca="false">IF(D16="","",IF(N16="Yes","No",IF(OR(AND(F16&lt;&gt;"",COUNTIF('Target &amp; Team Lists'!$A$5:$A$504,F16)&gt;0),COUNTIF('Target &amp; Team Lists'!$E$5:$E$504,D16)&gt;0),"Yes","No")))</f>
        <v/>
      </c>
      <c r="P16" s="31"/>
    </row>
    <row r="17" customFormat="false" ht="15" hidden="false" customHeight="false" outlineLevel="0" collapsed="false">
      <c r="A17" s="34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2" t="str">
        <f aca="false">IF(D17="","",IF(SUM(H17:K17)&gt;0,1,0))</f>
        <v/>
      </c>
      <c r="N17" s="33" t="str">
        <f aca="false">IF(D17="","",IF(OR(COUNTIF('Target &amp; Team Lists'!$J$5:$J$204,D17)&gt;0,ISNUMBER(SEARCH("alpha nodus",F17))),"Yes","No"))</f>
        <v/>
      </c>
      <c r="O17" s="33" t="str">
        <f aca="false">IF(D17="","",IF(N17="Yes","No",IF(OR(AND(F17&lt;&gt;"",COUNTIF('Target &amp; Team Lists'!$A$5:$A$504,F17)&gt;0),COUNTIF('Target &amp; Team Lists'!$E$5:$E$504,D17)&gt;0),"Yes","No")))</f>
        <v/>
      </c>
      <c r="P17" s="31"/>
    </row>
    <row r="18" customFormat="false" ht="15" hidden="false" customHeight="false" outlineLevel="0" collapsed="false">
      <c r="A18" s="34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2" t="str">
        <f aca="false">IF(D18="","",IF(SUM(H18:K18)&gt;0,1,0))</f>
        <v/>
      </c>
      <c r="N18" s="33" t="str">
        <f aca="false">IF(D18="","",IF(OR(COUNTIF('Target &amp; Team Lists'!$J$5:$J$204,D18)&gt;0,ISNUMBER(SEARCH("alpha nodus",F18))),"Yes","No"))</f>
        <v/>
      </c>
      <c r="O18" s="33" t="str">
        <f aca="false">IF(D18="","",IF(N18="Yes","No",IF(OR(AND(F18&lt;&gt;"",COUNTIF('Target &amp; Team Lists'!$A$5:$A$504,F18)&gt;0),COUNTIF('Target &amp; Team Lists'!$E$5:$E$504,D18)&gt;0),"Yes","No")))</f>
        <v/>
      </c>
      <c r="P18" s="31"/>
    </row>
    <row r="19" customFormat="false" ht="15" hidden="false" customHeight="false" outlineLevel="0" collapsed="false">
      <c r="A19" s="34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2" t="str">
        <f aca="false">IF(D19="","",IF(SUM(H19:K19)&gt;0,1,0))</f>
        <v/>
      </c>
      <c r="N19" s="33" t="str">
        <f aca="false">IF(D19="","",IF(OR(COUNTIF('Target &amp; Team Lists'!$J$5:$J$204,D19)&gt;0,ISNUMBER(SEARCH("alpha nodus",F19))),"Yes","No"))</f>
        <v/>
      </c>
      <c r="O19" s="33" t="str">
        <f aca="false">IF(D19="","",IF(N19="Yes","No",IF(OR(AND(F19&lt;&gt;"",COUNTIF('Target &amp; Team Lists'!$A$5:$A$504,F19)&gt;0),COUNTIF('Target &amp; Team Lists'!$E$5:$E$504,D19)&gt;0),"Yes","No")))</f>
        <v/>
      </c>
      <c r="P19" s="31"/>
    </row>
    <row r="20" customFormat="false" ht="15" hidden="false" customHeight="false" outlineLevel="0" collapsed="false">
      <c r="A20" s="34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2" t="str">
        <f aca="false">IF(D20="","",IF(SUM(H20:K20)&gt;0,1,0))</f>
        <v/>
      </c>
      <c r="N20" s="33" t="str">
        <f aca="false">IF(D20="","",IF(OR(COUNTIF('Target &amp; Team Lists'!$J$5:$J$204,D20)&gt;0,ISNUMBER(SEARCH("alpha nodus",F20))),"Yes","No"))</f>
        <v/>
      </c>
      <c r="O20" s="33" t="str">
        <f aca="false">IF(D20="","",IF(N20="Yes","No",IF(OR(AND(F20&lt;&gt;"",COUNTIF('Target &amp; Team Lists'!$A$5:$A$504,F20)&gt;0),COUNTIF('Target &amp; Team Lists'!$E$5:$E$504,D20)&gt;0),"Yes","No")))</f>
        <v/>
      </c>
      <c r="P20" s="31"/>
    </row>
    <row r="21" customFormat="false" ht="15" hidden="false" customHeight="false" outlineLevel="0" collapsed="false">
      <c r="A21" s="34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2" t="str">
        <f aca="false">IF(D21="","",IF(SUM(H21:K21)&gt;0,1,0))</f>
        <v/>
      </c>
      <c r="N21" s="33" t="str">
        <f aca="false">IF(D21="","",IF(OR(COUNTIF('Target &amp; Team Lists'!$J$5:$J$204,D21)&gt;0,ISNUMBER(SEARCH("alpha nodus",F21))),"Yes","No"))</f>
        <v/>
      </c>
      <c r="O21" s="33" t="str">
        <f aca="false">IF(D21="","",IF(N21="Yes","No",IF(OR(AND(F21&lt;&gt;"",COUNTIF('Target &amp; Team Lists'!$A$5:$A$504,F21)&gt;0),COUNTIF('Target &amp; Team Lists'!$E$5:$E$504,D21)&gt;0),"Yes","No")))</f>
        <v/>
      </c>
      <c r="P21" s="31"/>
    </row>
    <row r="22" customFormat="false" ht="15" hidden="false" customHeight="false" outlineLevel="0" collapsed="false">
      <c r="A22" s="34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2" t="str">
        <f aca="false">IF(D22="","",IF(SUM(H22:K22)&gt;0,1,0))</f>
        <v/>
      </c>
      <c r="N22" s="33" t="str">
        <f aca="false">IF(D22="","",IF(OR(COUNTIF('Target &amp; Team Lists'!$J$5:$J$204,D22)&gt;0,ISNUMBER(SEARCH("alpha nodus",F22))),"Yes","No"))</f>
        <v/>
      </c>
      <c r="O22" s="33" t="str">
        <f aca="false">IF(D22="","",IF(N22="Yes","No",IF(OR(AND(F22&lt;&gt;"",COUNTIF('Target &amp; Team Lists'!$A$5:$A$504,F22)&gt;0),COUNTIF('Target &amp; Team Lists'!$E$5:$E$504,D22)&gt;0),"Yes","No")))</f>
        <v/>
      </c>
      <c r="P22" s="31"/>
    </row>
    <row r="23" customFormat="false" ht="15" hidden="false" customHeight="false" outlineLevel="0" collapsed="false">
      <c r="A23" s="34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2" t="str">
        <f aca="false">IF(D23="","",IF(SUM(H23:K23)&gt;0,1,0))</f>
        <v/>
      </c>
      <c r="N23" s="33" t="str">
        <f aca="false">IF(D23="","",IF(OR(COUNTIF('Target &amp; Team Lists'!$J$5:$J$204,D23)&gt;0,ISNUMBER(SEARCH("alpha nodus",F23))),"Yes","No"))</f>
        <v/>
      </c>
      <c r="O23" s="33" t="str">
        <f aca="false">IF(D23="","",IF(N23="Yes","No",IF(OR(AND(F23&lt;&gt;"",COUNTIF('Target &amp; Team Lists'!$A$5:$A$504,F23)&gt;0),COUNTIF('Target &amp; Team Lists'!$E$5:$E$504,D23)&gt;0),"Yes","No")))</f>
        <v/>
      </c>
      <c r="P23" s="31"/>
    </row>
    <row r="24" customFormat="false" ht="15" hidden="false" customHeight="false" outlineLevel="0" collapsed="false">
      <c r="A24" s="34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2" t="str">
        <f aca="false">IF(D24="","",IF(SUM(H24:K24)&gt;0,1,0))</f>
        <v/>
      </c>
      <c r="N24" s="33" t="str">
        <f aca="false">IF(D24="","",IF(OR(COUNTIF('Target &amp; Team Lists'!$J$5:$J$204,D24)&gt;0,ISNUMBER(SEARCH("alpha nodus",F24))),"Yes","No"))</f>
        <v/>
      </c>
      <c r="O24" s="33" t="str">
        <f aca="false">IF(D24="","",IF(N24="Yes","No",IF(OR(AND(F24&lt;&gt;"",COUNTIF('Target &amp; Team Lists'!$A$5:$A$504,F24)&gt;0),COUNTIF('Target &amp; Team Lists'!$E$5:$E$504,D24)&gt;0),"Yes","No")))</f>
        <v/>
      </c>
      <c r="P24" s="31"/>
    </row>
    <row r="25" customFormat="false" ht="15" hidden="false" customHeight="false" outlineLevel="0" collapsed="false">
      <c r="A25" s="34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2" t="str">
        <f aca="false">IF(D25="","",IF(SUM(H25:K25)&gt;0,1,0))</f>
        <v/>
      </c>
      <c r="N25" s="33" t="str">
        <f aca="false">IF(D25="","",IF(OR(COUNTIF('Target &amp; Team Lists'!$J$5:$J$204,D25)&gt;0,ISNUMBER(SEARCH("alpha nodus",F25))),"Yes","No"))</f>
        <v/>
      </c>
      <c r="O25" s="33" t="str">
        <f aca="false">IF(D25="","",IF(N25="Yes","No",IF(OR(AND(F25&lt;&gt;"",COUNTIF('Target &amp; Team Lists'!$A$5:$A$504,F25)&gt;0),COUNTIF('Target &amp; Team Lists'!$E$5:$E$504,D25)&gt;0),"Yes","No")))</f>
        <v/>
      </c>
      <c r="P25" s="31"/>
    </row>
    <row r="26" customFormat="false" ht="15" hidden="false" customHeight="false" outlineLevel="0" collapsed="false">
      <c r="A26" s="34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2" t="str">
        <f aca="false">IF(D26="","",IF(SUM(H26:K26)&gt;0,1,0))</f>
        <v/>
      </c>
      <c r="N26" s="33" t="str">
        <f aca="false">IF(D26="","",IF(OR(COUNTIF('Target &amp; Team Lists'!$J$5:$J$204,D26)&gt;0,ISNUMBER(SEARCH("alpha nodus",F26))),"Yes","No"))</f>
        <v/>
      </c>
      <c r="O26" s="33" t="str">
        <f aca="false">IF(D26="","",IF(N26="Yes","No",IF(OR(AND(F26&lt;&gt;"",COUNTIF('Target &amp; Team Lists'!$A$5:$A$504,F26)&gt;0),COUNTIF('Target &amp; Team Lists'!$E$5:$E$504,D26)&gt;0),"Yes","No")))</f>
        <v/>
      </c>
      <c r="P26" s="31"/>
    </row>
    <row r="27" customFormat="false" ht="15" hidden="false" customHeight="false" outlineLevel="0" collapsed="false">
      <c r="A27" s="34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2" t="str">
        <f aca="false">IF(D27="","",IF(SUM(H27:K27)&gt;0,1,0))</f>
        <v/>
      </c>
      <c r="N27" s="33" t="str">
        <f aca="false">IF(D27="","",IF(OR(COUNTIF('Target &amp; Team Lists'!$J$5:$J$204,D27)&gt;0,ISNUMBER(SEARCH("alpha nodus",F27))),"Yes","No"))</f>
        <v/>
      </c>
      <c r="O27" s="33" t="str">
        <f aca="false">IF(D27="","",IF(N27="Yes","No",IF(OR(AND(F27&lt;&gt;"",COUNTIF('Target &amp; Team Lists'!$A$5:$A$504,F27)&gt;0),COUNTIF('Target &amp; Team Lists'!$E$5:$E$504,D27)&gt;0),"Yes","No")))</f>
        <v/>
      </c>
      <c r="P27" s="31"/>
    </row>
    <row r="28" customFormat="false" ht="15" hidden="false" customHeight="false" outlineLevel="0" collapsed="false">
      <c r="A28" s="34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2" t="str">
        <f aca="false">IF(D28="","",IF(SUM(H28:K28)&gt;0,1,0))</f>
        <v/>
      </c>
      <c r="N28" s="33" t="str">
        <f aca="false">IF(D28="","",IF(OR(COUNTIF('Target &amp; Team Lists'!$J$5:$J$204,D28)&gt;0,ISNUMBER(SEARCH("alpha nodus",F28))),"Yes","No"))</f>
        <v/>
      </c>
      <c r="O28" s="33" t="str">
        <f aca="false">IF(D28="","",IF(N28="Yes","No",IF(OR(AND(F28&lt;&gt;"",COUNTIF('Target &amp; Team Lists'!$A$5:$A$504,F28)&gt;0),COUNTIF('Target &amp; Team Lists'!$E$5:$E$504,D28)&gt;0),"Yes","No")))</f>
        <v/>
      </c>
      <c r="P28" s="31"/>
    </row>
    <row r="29" customFormat="false" ht="15" hidden="false" customHeight="false" outlineLevel="0" collapsed="false">
      <c r="A29" s="34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2" t="str">
        <f aca="false">IF(D29="","",IF(SUM(H29:K29)&gt;0,1,0))</f>
        <v/>
      </c>
      <c r="N29" s="33" t="str">
        <f aca="false">IF(D29="","",IF(OR(COUNTIF('Target &amp; Team Lists'!$J$5:$J$204,D29)&gt;0,ISNUMBER(SEARCH("alpha nodus",F29))),"Yes","No"))</f>
        <v/>
      </c>
      <c r="O29" s="33" t="str">
        <f aca="false">IF(D29="","",IF(N29="Yes","No",IF(OR(AND(F29&lt;&gt;"",COUNTIF('Target &amp; Team Lists'!$A$5:$A$504,F29)&gt;0),COUNTIF('Target &amp; Team Lists'!$E$5:$E$504,D29)&gt;0),"Yes","No")))</f>
        <v/>
      </c>
      <c r="P29" s="31"/>
    </row>
    <row r="30" customFormat="false" ht="15" hidden="false" customHeight="false" outlineLevel="0" collapsed="false">
      <c r="A30" s="34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2" t="str">
        <f aca="false">IF(D30="","",IF(SUM(H30:K30)&gt;0,1,0))</f>
        <v/>
      </c>
      <c r="N30" s="33" t="str">
        <f aca="false">IF(D30="","",IF(OR(COUNTIF('Target &amp; Team Lists'!$J$5:$J$204,D30)&gt;0,ISNUMBER(SEARCH("alpha nodus",F30))),"Yes","No"))</f>
        <v/>
      </c>
      <c r="O30" s="33" t="str">
        <f aca="false">IF(D30="","",IF(N30="Yes","No",IF(OR(AND(F30&lt;&gt;"",COUNTIF('Target &amp; Team Lists'!$A$5:$A$504,F30)&gt;0),COUNTIF('Target &amp; Team Lists'!$E$5:$E$504,D30)&gt;0),"Yes","No")))</f>
        <v/>
      </c>
      <c r="P30" s="31"/>
    </row>
    <row r="31" customFormat="false" ht="15" hidden="false" customHeight="false" outlineLevel="0" collapsed="false">
      <c r="A31" s="34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2" t="str">
        <f aca="false">IF(D31="","",IF(SUM(H31:K31)&gt;0,1,0))</f>
        <v/>
      </c>
      <c r="N31" s="33" t="str">
        <f aca="false">IF(D31="","",IF(OR(COUNTIF('Target &amp; Team Lists'!$J$5:$J$204,D31)&gt;0,ISNUMBER(SEARCH("alpha nodus",F31))),"Yes","No"))</f>
        <v/>
      </c>
      <c r="O31" s="33" t="str">
        <f aca="false">IF(D31="","",IF(N31="Yes","No",IF(OR(AND(F31&lt;&gt;"",COUNTIF('Target &amp; Team Lists'!$A$5:$A$504,F31)&gt;0),COUNTIF('Target &amp; Team Lists'!$E$5:$E$504,D31)&gt;0),"Yes","No")))</f>
        <v/>
      </c>
      <c r="P31" s="31"/>
    </row>
    <row r="32" customFormat="false" ht="15" hidden="false" customHeight="false" outlineLevel="0" collapsed="false">
      <c r="A32" s="34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2" t="str">
        <f aca="false">IF(D32="","",IF(SUM(H32:K32)&gt;0,1,0))</f>
        <v/>
      </c>
      <c r="N32" s="33" t="str">
        <f aca="false">IF(D32="","",IF(OR(COUNTIF('Target &amp; Team Lists'!$J$5:$J$204,D32)&gt;0,ISNUMBER(SEARCH("alpha nodus",F32))),"Yes","No"))</f>
        <v/>
      </c>
      <c r="O32" s="33" t="str">
        <f aca="false">IF(D32="","",IF(N32="Yes","No",IF(OR(AND(F32&lt;&gt;"",COUNTIF('Target &amp; Team Lists'!$A$5:$A$504,F32)&gt;0),COUNTIF('Target &amp; Team Lists'!$E$5:$E$504,D32)&gt;0),"Yes","No")))</f>
        <v/>
      </c>
      <c r="P32" s="31"/>
    </row>
    <row r="33" customFormat="false" ht="15" hidden="false" customHeight="false" outlineLevel="0" collapsed="false">
      <c r="A33" s="34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2" t="str">
        <f aca="false">IF(D33="","",IF(SUM(H33:K33)&gt;0,1,0))</f>
        <v/>
      </c>
      <c r="N33" s="33" t="str">
        <f aca="false">IF(D33="","",IF(OR(COUNTIF('Target &amp; Team Lists'!$J$5:$J$204,D33)&gt;0,ISNUMBER(SEARCH("alpha nodus",F33))),"Yes","No"))</f>
        <v/>
      </c>
      <c r="O33" s="33" t="str">
        <f aca="false">IF(D33="","",IF(N33="Yes","No",IF(OR(AND(F33&lt;&gt;"",COUNTIF('Target &amp; Team Lists'!$A$5:$A$504,F33)&gt;0),COUNTIF('Target &amp; Team Lists'!$E$5:$E$504,D33)&gt;0),"Yes","No")))</f>
        <v/>
      </c>
      <c r="P33" s="31"/>
    </row>
    <row r="34" customFormat="false" ht="15" hidden="false" customHeight="false" outlineLevel="0" collapsed="false">
      <c r="A34" s="34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2" t="str">
        <f aca="false">IF(D34="","",IF(SUM(H34:K34)&gt;0,1,0))</f>
        <v/>
      </c>
      <c r="N34" s="33" t="str">
        <f aca="false">IF(D34="","",IF(OR(COUNTIF('Target &amp; Team Lists'!$J$5:$J$204,D34)&gt;0,ISNUMBER(SEARCH("alpha nodus",F34))),"Yes","No"))</f>
        <v/>
      </c>
      <c r="O34" s="33" t="str">
        <f aca="false">IF(D34="","",IF(N34="Yes","No",IF(OR(AND(F34&lt;&gt;"",COUNTIF('Target &amp; Team Lists'!$A$5:$A$504,F34)&gt;0),COUNTIF('Target &amp; Team Lists'!$E$5:$E$504,D34)&gt;0),"Yes","No")))</f>
        <v/>
      </c>
      <c r="P34" s="31"/>
    </row>
    <row r="35" customFormat="false" ht="15" hidden="false" customHeight="false" outlineLevel="0" collapsed="false">
      <c r="A35" s="34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2" t="str">
        <f aca="false">IF(D35="","",IF(SUM(H35:K35)&gt;0,1,0))</f>
        <v/>
      </c>
      <c r="N35" s="33" t="str">
        <f aca="false">IF(D35="","",IF(OR(COUNTIF('Target &amp; Team Lists'!$J$5:$J$204,D35)&gt;0,ISNUMBER(SEARCH("alpha nodus",F35))),"Yes","No"))</f>
        <v/>
      </c>
      <c r="O35" s="33" t="str">
        <f aca="false">IF(D35="","",IF(N35="Yes","No",IF(OR(AND(F35&lt;&gt;"",COUNTIF('Target &amp; Team Lists'!$A$5:$A$504,F35)&gt;0),COUNTIF('Target &amp; Team Lists'!$E$5:$E$504,D35)&gt;0),"Yes","No")))</f>
        <v/>
      </c>
      <c r="P35" s="31"/>
    </row>
    <row r="36" customFormat="false" ht="15" hidden="false" customHeight="false" outlineLevel="0" collapsed="false">
      <c r="A36" s="34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2" t="str">
        <f aca="false">IF(D36="","",IF(SUM(H36:K36)&gt;0,1,0))</f>
        <v/>
      </c>
      <c r="N36" s="33" t="str">
        <f aca="false">IF(D36="","",IF(OR(COUNTIF('Target &amp; Team Lists'!$J$5:$J$204,D36)&gt;0,ISNUMBER(SEARCH("alpha nodus",F36))),"Yes","No"))</f>
        <v/>
      </c>
      <c r="O36" s="33" t="str">
        <f aca="false">IF(D36="","",IF(N36="Yes","No",IF(OR(AND(F36&lt;&gt;"",COUNTIF('Target &amp; Team Lists'!$A$5:$A$504,F36)&gt;0),COUNTIF('Target &amp; Team Lists'!$E$5:$E$504,D36)&gt;0),"Yes","No")))</f>
        <v/>
      </c>
      <c r="P36" s="31"/>
    </row>
    <row r="37" customFormat="false" ht="15" hidden="false" customHeight="false" outlineLevel="0" collapsed="false">
      <c r="A37" s="34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2" t="str">
        <f aca="false">IF(D37="","",IF(SUM(H37:K37)&gt;0,1,0))</f>
        <v/>
      </c>
      <c r="N37" s="33" t="str">
        <f aca="false">IF(D37="","",IF(OR(COUNTIF('Target &amp; Team Lists'!$J$5:$J$204,D37)&gt;0,ISNUMBER(SEARCH("alpha nodus",F37))),"Yes","No"))</f>
        <v/>
      </c>
      <c r="O37" s="33" t="str">
        <f aca="false">IF(D37="","",IF(N37="Yes","No",IF(OR(AND(F37&lt;&gt;"",COUNTIF('Target &amp; Team Lists'!$A$5:$A$504,F37)&gt;0),COUNTIF('Target &amp; Team Lists'!$E$5:$E$504,D37)&gt;0),"Yes","No")))</f>
        <v/>
      </c>
      <c r="P37" s="31"/>
    </row>
    <row r="38" customFormat="false" ht="15" hidden="false" customHeight="false" outlineLevel="0" collapsed="false">
      <c r="A38" s="34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2" t="str">
        <f aca="false">IF(D38="","",IF(SUM(H38:K38)&gt;0,1,0))</f>
        <v/>
      </c>
      <c r="N38" s="33" t="str">
        <f aca="false">IF(D38="","",IF(OR(COUNTIF('Target &amp; Team Lists'!$J$5:$J$204,D38)&gt;0,ISNUMBER(SEARCH("alpha nodus",F38))),"Yes","No"))</f>
        <v/>
      </c>
      <c r="O38" s="33" t="str">
        <f aca="false">IF(D38="","",IF(N38="Yes","No",IF(OR(AND(F38&lt;&gt;"",COUNTIF('Target &amp; Team Lists'!$A$5:$A$504,F38)&gt;0),COUNTIF('Target &amp; Team Lists'!$E$5:$E$504,D38)&gt;0),"Yes","No")))</f>
        <v/>
      </c>
      <c r="P38" s="31"/>
    </row>
    <row r="39" customFormat="false" ht="15" hidden="false" customHeight="false" outlineLevel="0" collapsed="false">
      <c r="A39" s="34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2" t="str">
        <f aca="false">IF(D39="","",IF(SUM(H39:K39)&gt;0,1,0))</f>
        <v/>
      </c>
      <c r="N39" s="33" t="str">
        <f aca="false">IF(D39="","",IF(OR(COUNTIF('Target &amp; Team Lists'!$J$5:$J$204,D39)&gt;0,ISNUMBER(SEARCH("alpha nodus",F39))),"Yes","No"))</f>
        <v/>
      </c>
      <c r="O39" s="33" t="str">
        <f aca="false">IF(D39="","",IF(N39="Yes","No",IF(OR(AND(F39&lt;&gt;"",COUNTIF('Target &amp; Team Lists'!$A$5:$A$504,F39)&gt;0),COUNTIF('Target &amp; Team Lists'!$E$5:$E$504,D39)&gt;0),"Yes","No")))</f>
        <v/>
      </c>
      <c r="P39" s="31"/>
    </row>
    <row r="40" customFormat="false" ht="15" hidden="false" customHeight="false" outlineLevel="0" collapsed="false">
      <c r="A40" s="34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2" t="str">
        <f aca="false">IF(D40="","",IF(SUM(H40:K40)&gt;0,1,0))</f>
        <v/>
      </c>
      <c r="N40" s="33" t="str">
        <f aca="false">IF(D40="","",IF(OR(COUNTIF('Target &amp; Team Lists'!$J$5:$J$204,D40)&gt;0,ISNUMBER(SEARCH("alpha nodus",F40))),"Yes","No"))</f>
        <v/>
      </c>
      <c r="O40" s="33" t="str">
        <f aca="false">IF(D40="","",IF(N40="Yes","No",IF(OR(AND(F40&lt;&gt;"",COUNTIF('Target &amp; Team Lists'!$A$5:$A$504,F40)&gt;0),COUNTIF('Target &amp; Team Lists'!$E$5:$E$504,D40)&gt;0),"Yes","No")))</f>
        <v/>
      </c>
      <c r="P40" s="31"/>
    </row>
    <row r="41" customFormat="false" ht="15" hidden="false" customHeight="false" outlineLevel="0" collapsed="false">
      <c r="A41" s="34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2" t="str">
        <f aca="false">IF(D41="","",IF(SUM(H41:K41)&gt;0,1,0))</f>
        <v/>
      </c>
      <c r="N41" s="33" t="str">
        <f aca="false">IF(D41="","",IF(OR(COUNTIF('Target &amp; Team Lists'!$J$5:$J$204,D41)&gt;0,ISNUMBER(SEARCH("alpha nodus",F41))),"Yes","No"))</f>
        <v/>
      </c>
      <c r="O41" s="33" t="str">
        <f aca="false">IF(D41="","",IF(N41="Yes","No",IF(OR(AND(F41&lt;&gt;"",COUNTIF('Target &amp; Team Lists'!$A$5:$A$504,F41)&gt;0),COUNTIF('Target &amp; Team Lists'!$E$5:$E$504,D41)&gt;0),"Yes","No")))</f>
        <v/>
      </c>
      <c r="P41" s="31"/>
    </row>
    <row r="42" customFormat="false" ht="15" hidden="false" customHeight="false" outlineLevel="0" collapsed="false">
      <c r="A42" s="34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2" t="str">
        <f aca="false">IF(D42="","",IF(SUM(H42:K42)&gt;0,1,0))</f>
        <v/>
      </c>
      <c r="N42" s="33" t="str">
        <f aca="false">IF(D42="","",IF(OR(COUNTIF('Target &amp; Team Lists'!$J$5:$J$204,D42)&gt;0,ISNUMBER(SEARCH("alpha nodus",F42))),"Yes","No"))</f>
        <v/>
      </c>
      <c r="O42" s="33" t="str">
        <f aca="false">IF(D42="","",IF(N42="Yes","No",IF(OR(AND(F42&lt;&gt;"",COUNTIF('Target &amp; Team Lists'!$A$5:$A$504,F42)&gt;0),COUNTIF('Target &amp; Team Lists'!$E$5:$E$504,D42)&gt;0),"Yes","No")))</f>
        <v/>
      </c>
      <c r="P42" s="31"/>
    </row>
    <row r="43" customFormat="false" ht="15" hidden="false" customHeight="false" outlineLevel="0" collapsed="false">
      <c r="A43" s="34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2" t="str">
        <f aca="false">IF(D43="","",IF(SUM(H43:K43)&gt;0,1,0))</f>
        <v/>
      </c>
      <c r="N43" s="33" t="str">
        <f aca="false">IF(D43="","",IF(OR(COUNTIF('Target &amp; Team Lists'!$J$5:$J$204,D43)&gt;0,ISNUMBER(SEARCH("alpha nodus",F43))),"Yes","No"))</f>
        <v/>
      </c>
      <c r="O43" s="33" t="str">
        <f aca="false">IF(D43="","",IF(N43="Yes","No",IF(OR(AND(F43&lt;&gt;"",COUNTIF('Target &amp; Team Lists'!$A$5:$A$504,F43)&gt;0),COUNTIF('Target &amp; Team Lists'!$E$5:$E$504,D43)&gt;0),"Yes","No")))</f>
        <v/>
      </c>
      <c r="P43" s="31"/>
    </row>
    <row r="44" customFormat="false" ht="15" hidden="false" customHeight="false" outlineLevel="0" collapsed="false">
      <c r="A44" s="34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2" t="str">
        <f aca="false">IF(D44="","",IF(SUM(H44:K44)&gt;0,1,0))</f>
        <v/>
      </c>
      <c r="N44" s="33" t="str">
        <f aca="false">IF(D44="","",IF(OR(COUNTIF('Target &amp; Team Lists'!$J$5:$J$204,D44)&gt;0,ISNUMBER(SEARCH("alpha nodus",F44))),"Yes","No"))</f>
        <v/>
      </c>
      <c r="O44" s="33" t="str">
        <f aca="false">IF(D44="","",IF(N44="Yes","No",IF(OR(AND(F44&lt;&gt;"",COUNTIF('Target &amp; Team Lists'!$A$5:$A$504,F44)&gt;0),COUNTIF('Target &amp; Team Lists'!$E$5:$E$504,D44)&gt;0),"Yes","No")))</f>
        <v/>
      </c>
      <c r="P44" s="31"/>
    </row>
    <row r="45" customFormat="false" ht="15" hidden="false" customHeight="false" outlineLevel="0" collapsed="false">
      <c r="A45" s="34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2" t="str">
        <f aca="false">IF(D45="","",IF(SUM(H45:K45)&gt;0,1,0))</f>
        <v/>
      </c>
      <c r="N45" s="33" t="str">
        <f aca="false">IF(D45="","",IF(OR(COUNTIF('Target &amp; Team Lists'!$J$5:$J$204,D45)&gt;0,ISNUMBER(SEARCH("alpha nodus",F45))),"Yes","No"))</f>
        <v/>
      </c>
      <c r="O45" s="33" t="str">
        <f aca="false">IF(D45="","",IF(N45="Yes","No",IF(OR(AND(F45&lt;&gt;"",COUNTIF('Target &amp; Team Lists'!$A$5:$A$504,F45)&gt;0),COUNTIF('Target &amp; Team Lists'!$E$5:$E$504,D45)&gt;0),"Yes","No")))</f>
        <v/>
      </c>
      <c r="P45" s="31"/>
    </row>
    <row r="46" customFormat="false" ht="15" hidden="false" customHeight="false" outlineLevel="0" collapsed="false">
      <c r="A46" s="34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2" t="str">
        <f aca="false">IF(D46="","",IF(SUM(H46:K46)&gt;0,1,0))</f>
        <v/>
      </c>
      <c r="N46" s="33" t="str">
        <f aca="false">IF(D46="","",IF(OR(COUNTIF('Target &amp; Team Lists'!$J$5:$J$204,D46)&gt;0,ISNUMBER(SEARCH("alpha nodus",F46))),"Yes","No"))</f>
        <v/>
      </c>
      <c r="O46" s="33" t="str">
        <f aca="false">IF(D46="","",IF(N46="Yes","No",IF(OR(AND(F46&lt;&gt;"",COUNTIF('Target &amp; Team Lists'!$A$5:$A$504,F46)&gt;0),COUNTIF('Target &amp; Team Lists'!$E$5:$E$504,D46)&gt;0),"Yes","No")))</f>
        <v/>
      </c>
      <c r="P46" s="31"/>
    </row>
    <row r="47" customFormat="false" ht="15" hidden="false" customHeight="false" outlineLevel="0" collapsed="false">
      <c r="A47" s="34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2" t="str">
        <f aca="false">IF(D47="","",IF(SUM(H47:K47)&gt;0,1,0))</f>
        <v/>
      </c>
      <c r="N47" s="33" t="str">
        <f aca="false">IF(D47="","",IF(OR(COUNTIF('Target &amp; Team Lists'!$J$5:$J$204,D47)&gt;0,ISNUMBER(SEARCH("alpha nodus",F47))),"Yes","No"))</f>
        <v/>
      </c>
      <c r="O47" s="33" t="str">
        <f aca="false">IF(D47="","",IF(N47="Yes","No",IF(OR(AND(F47&lt;&gt;"",COUNTIF('Target &amp; Team Lists'!$A$5:$A$504,F47)&gt;0),COUNTIF('Target &amp; Team Lists'!$E$5:$E$504,D47)&gt;0),"Yes","No")))</f>
        <v/>
      </c>
      <c r="P47" s="31"/>
    </row>
    <row r="48" customFormat="false" ht="15" hidden="false" customHeight="false" outlineLevel="0" collapsed="false">
      <c r="A48" s="34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2" t="str">
        <f aca="false">IF(D48="","",IF(SUM(H48:K48)&gt;0,1,0))</f>
        <v/>
      </c>
      <c r="N48" s="33" t="str">
        <f aca="false">IF(D48="","",IF(OR(COUNTIF('Target &amp; Team Lists'!$J$5:$J$204,D48)&gt;0,ISNUMBER(SEARCH("alpha nodus",F48))),"Yes","No"))</f>
        <v/>
      </c>
      <c r="O48" s="33" t="str">
        <f aca="false">IF(D48="","",IF(N48="Yes","No",IF(OR(AND(F48&lt;&gt;"",COUNTIF('Target &amp; Team Lists'!$A$5:$A$504,F48)&gt;0),COUNTIF('Target &amp; Team Lists'!$E$5:$E$504,D48)&gt;0),"Yes","No")))</f>
        <v/>
      </c>
      <c r="P48" s="31"/>
    </row>
    <row r="49" customFormat="false" ht="15" hidden="false" customHeight="false" outlineLevel="0" collapsed="false">
      <c r="A49" s="34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2" t="str">
        <f aca="false">IF(D49="","",IF(SUM(H49:K49)&gt;0,1,0))</f>
        <v/>
      </c>
      <c r="N49" s="33" t="str">
        <f aca="false">IF(D49="","",IF(OR(COUNTIF('Target &amp; Team Lists'!$J$5:$J$204,D49)&gt;0,ISNUMBER(SEARCH("alpha nodus",F49))),"Yes","No"))</f>
        <v/>
      </c>
      <c r="O49" s="33" t="str">
        <f aca="false">IF(D49="","",IF(N49="Yes","No",IF(OR(AND(F49&lt;&gt;"",COUNTIF('Target &amp; Team Lists'!$A$5:$A$504,F49)&gt;0),COUNTIF('Target &amp; Team Lists'!$E$5:$E$504,D49)&gt;0),"Yes","No")))</f>
        <v/>
      </c>
      <c r="P49" s="31"/>
    </row>
    <row r="50" customFormat="false" ht="15" hidden="false" customHeight="false" outlineLevel="0" collapsed="false">
      <c r="A50" s="34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2" t="str">
        <f aca="false">IF(D50="","",IF(SUM(H50:K50)&gt;0,1,0))</f>
        <v/>
      </c>
      <c r="N50" s="33" t="str">
        <f aca="false">IF(D50="","",IF(OR(COUNTIF('Target &amp; Team Lists'!$J$5:$J$204,D50)&gt;0,ISNUMBER(SEARCH("alpha nodus",F50))),"Yes","No"))</f>
        <v/>
      </c>
      <c r="O50" s="33" t="str">
        <f aca="false">IF(D50="","",IF(N50="Yes","No",IF(OR(AND(F50&lt;&gt;"",COUNTIF('Target &amp; Team Lists'!$A$5:$A$504,F50)&gt;0),COUNTIF('Target &amp; Team Lists'!$E$5:$E$504,D50)&gt;0),"Yes","No")))</f>
        <v/>
      </c>
      <c r="P50" s="31"/>
    </row>
    <row r="51" customFormat="false" ht="15" hidden="false" customHeight="false" outlineLevel="0" collapsed="false">
      <c r="A51" s="34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2" t="str">
        <f aca="false">IF(D51="","",IF(SUM(H51:K51)&gt;0,1,0))</f>
        <v/>
      </c>
      <c r="N51" s="33" t="str">
        <f aca="false">IF(D51="","",IF(OR(COUNTIF('Target &amp; Team Lists'!$J$5:$J$204,D51)&gt;0,ISNUMBER(SEARCH("alpha nodus",F51))),"Yes","No"))</f>
        <v/>
      </c>
      <c r="O51" s="33" t="str">
        <f aca="false">IF(D51="","",IF(N51="Yes","No",IF(OR(AND(F51&lt;&gt;"",COUNTIF('Target &amp; Team Lists'!$A$5:$A$504,F51)&gt;0),COUNTIF('Target &amp; Team Lists'!$E$5:$E$504,D51)&gt;0),"Yes","No")))</f>
        <v/>
      </c>
      <c r="P51" s="31"/>
    </row>
    <row r="52" customFormat="false" ht="15" hidden="false" customHeight="false" outlineLevel="0" collapsed="false">
      <c r="A52" s="34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2" t="str">
        <f aca="false">IF(D52="","",IF(SUM(H52:K52)&gt;0,1,0))</f>
        <v/>
      </c>
      <c r="N52" s="33" t="str">
        <f aca="false">IF(D52="","",IF(OR(COUNTIF('Target &amp; Team Lists'!$J$5:$J$204,D52)&gt;0,ISNUMBER(SEARCH("alpha nodus",F52))),"Yes","No"))</f>
        <v/>
      </c>
      <c r="O52" s="33" t="str">
        <f aca="false">IF(D52="","",IF(N52="Yes","No",IF(OR(AND(F52&lt;&gt;"",COUNTIF('Target &amp; Team Lists'!$A$5:$A$504,F52)&gt;0),COUNTIF('Target &amp; Team Lists'!$E$5:$E$504,D52)&gt;0),"Yes","No")))</f>
        <v/>
      </c>
      <c r="P52" s="31"/>
    </row>
    <row r="53" customFormat="false" ht="15" hidden="false" customHeight="false" outlineLevel="0" collapsed="false">
      <c r="A53" s="34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2" t="str">
        <f aca="false">IF(D53="","",IF(SUM(H53:K53)&gt;0,1,0))</f>
        <v/>
      </c>
      <c r="N53" s="33" t="str">
        <f aca="false">IF(D53="","",IF(OR(COUNTIF('Target &amp; Team Lists'!$J$5:$J$204,D53)&gt;0,ISNUMBER(SEARCH("alpha nodus",F53))),"Yes","No"))</f>
        <v/>
      </c>
      <c r="O53" s="33" t="str">
        <f aca="false">IF(D53="","",IF(N53="Yes","No",IF(OR(AND(F53&lt;&gt;"",COUNTIF('Target &amp; Team Lists'!$A$5:$A$504,F53)&gt;0),COUNTIF('Target &amp; Team Lists'!$E$5:$E$504,D53)&gt;0),"Yes","No")))</f>
        <v/>
      </c>
      <c r="P53" s="31"/>
    </row>
    <row r="54" customFormat="false" ht="15" hidden="false" customHeight="false" outlineLevel="0" collapsed="false">
      <c r="A54" s="34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2" t="str">
        <f aca="false">IF(D54="","",IF(SUM(H54:K54)&gt;0,1,0))</f>
        <v/>
      </c>
      <c r="N54" s="33" t="str">
        <f aca="false">IF(D54="","",IF(OR(COUNTIF('Target &amp; Team Lists'!$J$5:$J$204,D54)&gt;0,ISNUMBER(SEARCH("alpha nodus",F54))),"Yes","No"))</f>
        <v/>
      </c>
      <c r="O54" s="33" t="str">
        <f aca="false">IF(D54="","",IF(N54="Yes","No",IF(OR(AND(F54&lt;&gt;"",COUNTIF('Target &amp; Team Lists'!$A$5:$A$504,F54)&gt;0),COUNTIF('Target &amp; Team Lists'!$E$5:$E$504,D54)&gt;0),"Yes","No")))</f>
        <v/>
      </c>
      <c r="P54" s="31"/>
    </row>
    <row r="55" customFormat="false" ht="15" hidden="false" customHeight="false" outlineLevel="0" collapsed="false">
      <c r="A55" s="34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2" t="str">
        <f aca="false">IF(D55="","",IF(SUM(H55:K55)&gt;0,1,0))</f>
        <v/>
      </c>
      <c r="N55" s="33" t="str">
        <f aca="false">IF(D55="","",IF(OR(COUNTIF('Target &amp; Team Lists'!$J$5:$J$204,D55)&gt;0,ISNUMBER(SEARCH("alpha nodus",F55))),"Yes","No"))</f>
        <v/>
      </c>
      <c r="O55" s="33" t="str">
        <f aca="false">IF(D55="","",IF(N55="Yes","No",IF(OR(AND(F55&lt;&gt;"",COUNTIF('Target &amp; Team Lists'!$A$5:$A$504,F55)&gt;0),COUNTIF('Target &amp; Team Lists'!$E$5:$E$504,D55)&gt;0),"Yes","No")))</f>
        <v/>
      </c>
      <c r="P55" s="31"/>
    </row>
    <row r="56" customFormat="false" ht="15" hidden="false" customHeight="false" outlineLevel="0" collapsed="false">
      <c r="A56" s="34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2" t="str">
        <f aca="false">IF(D56="","",IF(SUM(H56:K56)&gt;0,1,0))</f>
        <v/>
      </c>
      <c r="N56" s="33" t="str">
        <f aca="false">IF(D56="","",IF(OR(COUNTIF('Target &amp; Team Lists'!$J$5:$J$204,D56)&gt;0,ISNUMBER(SEARCH("alpha nodus",F56))),"Yes","No"))</f>
        <v/>
      </c>
      <c r="O56" s="33" t="str">
        <f aca="false">IF(D56="","",IF(N56="Yes","No",IF(OR(AND(F56&lt;&gt;"",COUNTIF('Target &amp; Team Lists'!$A$5:$A$504,F56)&gt;0),COUNTIF('Target &amp; Team Lists'!$E$5:$E$504,D56)&gt;0),"Yes","No")))</f>
        <v/>
      </c>
      <c r="P56" s="31"/>
    </row>
    <row r="57" customFormat="false" ht="15" hidden="false" customHeight="false" outlineLevel="0" collapsed="false">
      <c r="A57" s="34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2" t="str">
        <f aca="false">IF(D57="","",IF(SUM(H57:K57)&gt;0,1,0))</f>
        <v/>
      </c>
      <c r="N57" s="33" t="str">
        <f aca="false">IF(D57="","",IF(OR(COUNTIF('Target &amp; Team Lists'!$J$5:$J$204,D57)&gt;0,ISNUMBER(SEARCH("alpha nodus",F57))),"Yes","No"))</f>
        <v/>
      </c>
      <c r="O57" s="33" t="str">
        <f aca="false">IF(D57="","",IF(N57="Yes","No",IF(OR(AND(F57&lt;&gt;"",COUNTIF('Target &amp; Team Lists'!$A$5:$A$504,F57)&gt;0),COUNTIF('Target &amp; Team Lists'!$E$5:$E$504,D57)&gt;0),"Yes","No")))</f>
        <v/>
      </c>
      <c r="P57" s="31"/>
    </row>
    <row r="58" customFormat="false" ht="15" hidden="false" customHeight="false" outlineLevel="0" collapsed="false">
      <c r="A58" s="34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2" t="str">
        <f aca="false">IF(D58="","",IF(SUM(H58:K58)&gt;0,1,0))</f>
        <v/>
      </c>
      <c r="N58" s="33" t="str">
        <f aca="false">IF(D58="","",IF(OR(COUNTIF('Target &amp; Team Lists'!$J$5:$J$204,D58)&gt;0,ISNUMBER(SEARCH("alpha nodus",F58))),"Yes","No"))</f>
        <v/>
      </c>
      <c r="O58" s="33" t="str">
        <f aca="false">IF(D58="","",IF(N58="Yes","No",IF(OR(AND(F58&lt;&gt;"",COUNTIF('Target &amp; Team Lists'!$A$5:$A$504,F58)&gt;0),COUNTIF('Target &amp; Team Lists'!$E$5:$E$504,D58)&gt;0),"Yes","No")))</f>
        <v/>
      </c>
      <c r="P58" s="31"/>
    </row>
    <row r="59" customFormat="false" ht="15" hidden="false" customHeight="false" outlineLevel="0" collapsed="false">
      <c r="A59" s="34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2" t="str">
        <f aca="false">IF(D59="","",IF(SUM(H59:K59)&gt;0,1,0))</f>
        <v/>
      </c>
      <c r="N59" s="33" t="str">
        <f aca="false">IF(D59="","",IF(OR(COUNTIF('Target &amp; Team Lists'!$J$5:$J$204,D59)&gt;0,ISNUMBER(SEARCH("alpha nodus",F59))),"Yes","No"))</f>
        <v/>
      </c>
      <c r="O59" s="33" t="str">
        <f aca="false">IF(D59="","",IF(N59="Yes","No",IF(OR(AND(F59&lt;&gt;"",COUNTIF('Target &amp; Team Lists'!$A$5:$A$504,F59)&gt;0),COUNTIF('Target &amp; Team Lists'!$E$5:$E$504,D59)&gt;0),"Yes","No")))</f>
        <v/>
      </c>
      <c r="P59" s="31"/>
    </row>
    <row r="60" customFormat="false" ht="15" hidden="false" customHeight="false" outlineLevel="0" collapsed="false">
      <c r="A60" s="34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2" t="str">
        <f aca="false">IF(D60="","",IF(SUM(H60:K60)&gt;0,1,0))</f>
        <v/>
      </c>
      <c r="N60" s="33" t="str">
        <f aca="false">IF(D60="","",IF(OR(COUNTIF('Target &amp; Team Lists'!$J$5:$J$204,D60)&gt;0,ISNUMBER(SEARCH("alpha nodus",F60))),"Yes","No"))</f>
        <v/>
      </c>
      <c r="O60" s="33" t="str">
        <f aca="false">IF(D60="","",IF(N60="Yes","No",IF(OR(AND(F60&lt;&gt;"",COUNTIF('Target &amp; Team Lists'!$A$5:$A$504,F60)&gt;0),COUNTIF('Target &amp; Team Lists'!$E$5:$E$504,D60)&gt;0),"Yes","No")))</f>
        <v/>
      </c>
      <c r="P60" s="31"/>
    </row>
    <row r="61" customFormat="false" ht="15" hidden="false" customHeight="false" outlineLevel="0" collapsed="false">
      <c r="A61" s="34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2" t="str">
        <f aca="false">IF(D61="","",IF(SUM(H61:K61)&gt;0,1,0))</f>
        <v/>
      </c>
      <c r="N61" s="33" t="str">
        <f aca="false">IF(D61="","",IF(OR(COUNTIF('Target &amp; Team Lists'!$J$5:$J$204,D61)&gt;0,ISNUMBER(SEARCH("alpha nodus",F61))),"Yes","No"))</f>
        <v/>
      </c>
      <c r="O61" s="33" t="str">
        <f aca="false">IF(D61="","",IF(N61="Yes","No",IF(OR(AND(F61&lt;&gt;"",COUNTIF('Target &amp; Team Lists'!$A$5:$A$504,F61)&gt;0),COUNTIF('Target &amp; Team Lists'!$E$5:$E$504,D61)&gt;0),"Yes","No")))</f>
        <v/>
      </c>
      <c r="P61" s="31"/>
    </row>
    <row r="62" customFormat="false" ht="15" hidden="false" customHeight="false" outlineLevel="0" collapsed="false">
      <c r="A62" s="34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2" t="str">
        <f aca="false">IF(D62="","",IF(SUM(H62:K62)&gt;0,1,0))</f>
        <v/>
      </c>
      <c r="N62" s="33" t="str">
        <f aca="false">IF(D62="","",IF(OR(COUNTIF('Target &amp; Team Lists'!$J$5:$J$204,D62)&gt;0,ISNUMBER(SEARCH("alpha nodus",F62))),"Yes","No"))</f>
        <v/>
      </c>
      <c r="O62" s="33" t="str">
        <f aca="false">IF(D62="","",IF(N62="Yes","No",IF(OR(AND(F62&lt;&gt;"",COUNTIF('Target &amp; Team Lists'!$A$5:$A$504,F62)&gt;0),COUNTIF('Target &amp; Team Lists'!$E$5:$E$504,D62)&gt;0),"Yes","No")))</f>
        <v/>
      </c>
      <c r="P62" s="31"/>
    </row>
    <row r="63" customFormat="false" ht="15" hidden="false" customHeight="false" outlineLevel="0" collapsed="false">
      <c r="A63" s="34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2" t="str">
        <f aca="false">IF(D63="","",IF(SUM(H63:K63)&gt;0,1,0))</f>
        <v/>
      </c>
      <c r="N63" s="33" t="str">
        <f aca="false">IF(D63="","",IF(OR(COUNTIF('Target &amp; Team Lists'!$J$5:$J$204,D63)&gt;0,ISNUMBER(SEARCH("alpha nodus",F63))),"Yes","No"))</f>
        <v/>
      </c>
      <c r="O63" s="33" t="str">
        <f aca="false">IF(D63="","",IF(N63="Yes","No",IF(OR(AND(F63&lt;&gt;"",COUNTIF('Target &amp; Team Lists'!$A$5:$A$504,F63)&gt;0),COUNTIF('Target &amp; Team Lists'!$E$5:$E$504,D63)&gt;0),"Yes","No")))</f>
        <v/>
      </c>
      <c r="P63" s="31"/>
    </row>
    <row r="64" customFormat="false" ht="15" hidden="false" customHeight="false" outlineLevel="0" collapsed="false">
      <c r="A64" s="34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2" t="str">
        <f aca="false">IF(D64="","",IF(SUM(H64:K64)&gt;0,1,0))</f>
        <v/>
      </c>
      <c r="N64" s="33" t="str">
        <f aca="false">IF(D64="","",IF(OR(COUNTIF('Target &amp; Team Lists'!$J$5:$J$204,D64)&gt;0,ISNUMBER(SEARCH("alpha nodus",F64))),"Yes","No"))</f>
        <v/>
      </c>
      <c r="O64" s="33" t="str">
        <f aca="false">IF(D64="","",IF(N64="Yes","No",IF(OR(AND(F64&lt;&gt;"",COUNTIF('Target &amp; Team Lists'!$A$5:$A$504,F64)&gt;0),COUNTIF('Target &amp; Team Lists'!$E$5:$E$504,D64)&gt;0),"Yes","No")))</f>
        <v/>
      </c>
      <c r="P64" s="31"/>
    </row>
    <row r="65" customFormat="false" ht="15" hidden="false" customHeight="false" outlineLevel="0" collapsed="false">
      <c r="A65" s="34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2" t="str">
        <f aca="false">IF(D65="","",IF(SUM(H65:K65)&gt;0,1,0))</f>
        <v/>
      </c>
      <c r="N65" s="33" t="str">
        <f aca="false">IF(D65="","",IF(OR(COUNTIF('Target &amp; Team Lists'!$J$5:$J$204,D65)&gt;0,ISNUMBER(SEARCH("alpha nodus",F65))),"Yes","No"))</f>
        <v/>
      </c>
      <c r="O65" s="33" t="str">
        <f aca="false">IF(D65="","",IF(N65="Yes","No",IF(OR(AND(F65&lt;&gt;"",COUNTIF('Target &amp; Team Lists'!$A$5:$A$504,F65)&gt;0),COUNTIF('Target &amp; Team Lists'!$E$5:$E$504,D65)&gt;0),"Yes","No")))</f>
        <v/>
      </c>
      <c r="P65" s="31"/>
    </row>
    <row r="66" customFormat="false" ht="15" hidden="false" customHeight="false" outlineLevel="0" collapsed="false">
      <c r="A66" s="34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2" t="str">
        <f aca="false">IF(D66="","",IF(SUM(H66:K66)&gt;0,1,0))</f>
        <v/>
      </c>
      <c r="N66" s="33" t="str">
        <f aca="false">IF(D66="","",IF(OR(COUNTIF('Target &amp; Team Lists'!$J$5:$J$204,D66)&gt;0,ISNUMBER(SEARCH("alpha nodus",F66))),"Yes","No"))</f>
        <v/>
      </c>
      <c r="O66" s="33" t="str">
        <f aca="false">IF(D66="","",IF(N66="Yes","No",IF(OR(AND(F66&lt;&gt;"",COUNTIF('Target &amp; Team Lists'!$A$5:$A$504,F66)&gt;0),COUNTIF('Target &amp; Team Lists'!$E$5:$E$504,D66)&gt;0),"Yes","No")))</f>
        <v/>
      </c>
      <c r="P66" s="31"/>
    </row>
    <row r="67" customFormat="false" ht="15" hidden="false" customHeight="false" outlineLevel="0" collapsed="false">
      <c r="A67" s="34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2" t="str">
        <f aca="false">IF(D67="","",IF(SUM(H67:K67)&gt;0,1,0))</f>
        <v/>
      </c>
      <c r="N67" s="33" t="str">
        <f aca="false">IF(D67="","",IF(OR(COUNTIF('Target &amp; Team Lists'!$J$5:$J$204,D67)&gt;0,ISNUMBER(SEARCH("alpha nodus",F67))),"Yes","No"))</f>
        <v/>
      </c>
      <c r="O67" s="33" t="str">
        <f aca="false">IF(D67="","",IF(N67="Yes","No",IF(OR(AND(F67&lt;&gt;"",COUNTIF('Target &amp; Team Lists'!$A$5:$A$504,F67)&gt;0),COUNTIF('Target &amp; Team Lists'!$E$5:$E$504,D67)&gt;0),"Yes","No")))</f>
        <v/>
      </c>
      <c r="P67" s="31"/>
    </row>
    <row r="68" customFormat="false" ht="15" hidden="false" customHeight="false" outlineLevel="0" collapsed="false">
      <c r="A68" s="34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2" t="str">
        <f aca="false">IF(D68="","",IF(SUM(H68:K68)&gt;0,1,0))</f>
        <v/>
      </c>
      <c r="N68" s="33" t="str">
        <f aca="false">IF(D68="","",IF(OR(COUNTIF('Target &amp; Team Lists'!$J$5:$J$204,D68)&gt;0,ISNUMBER(SEARCH("alpha nodus",F68))),"Yes","No"))</f>
        <v/>
      </c>
      <c r="O68" s="33" t="str">
        <f aca="false">IF(D68="","",IF(N68="Yes","No",IF(OR(AND(F68&lt;&gt;"",COUNTIF('Target &amp; Team Lists'!$A$5:$A$504,F68)&gt;0),COUNTIF('Target &amp; Team Lists'!$E$5:$E$504,D68)&gt;0),"Yes","No")))</f>
        <v/>
      </c>
      <c r="P68" s="31"/>
    </row>
    <row r="69" customFormat="false" ht="15" hidden="false" customHeight="false" outlineLevel="0" collapsed="false">
      <c r="A69" s="34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2" t="str">
        <f aca="false">IF(D69="","",IF(SUM(H69:K69)&gt;0,1,0))</f>
        <v/>
      </c>
      <c r="N69" s="33" t="str">
        <f aca="false">IF(D69="","",IF(OR(COUNTIF('Target &amp; Team Lists'!$J$5:$J$204,D69)&gt;0,ISNUMBER(SEARCH("alpha nodus",F69))),"Yes","No"))</f>
        <v/>
      </c>
      <c r="O69" s="33" t="str">
        <f aca="false">IF(D69="","",IF(N69="Yes","No",IF(OR(AND(F69&lt;&gt;"",COUNTIF('Target &amp; Team Lists'!$A$5:$A$504,F69)&gt;0),COUNTIF('Target &amp; Team Lists'!$E$5:$E$504,D69)&gt;0),"Yes","No")))</f>
        <v/>
      </c>
      <c r="P69" s="31"/>
    </row>
    <row r="70" customFormat="false" ht="15" hidden="false" customHeight="false" outlineLevel="0" collapsed="false">
      <c r="A70" s="34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2" t="str">
        <f aca="false">IF(D70="","",IF(SUM(H70:K70)&gt;0,1,0))</f>
        <v/>
      </c>
      <c r="N70" s="33" t="str">
        <f aca="false">IF(D70="","",IF(OR(COUNTIF('Target &amp; Team Lists'!$J$5:$J$204,D70)&gt;0,ISNUMBER(SEARCH("alpha nodus",F70))),"Yes","No"))</f>
        <v/>
      </c>
      <c r="O70" s="33" t="str">
        <f aca="false">IF(D70="","",IF(N70="Yes","No",IF(OR(AND(F70&lt;&gt;"",COUNTIF('Target &amp; Team Lists'!$A$5:$A$504,F70)&gt;0),COUNTIF('Target &amp; Team Lists'!$E$5:$E$504,D70)&gt;0),"Yes","No")))</f>
        <v/>
      </c>
      <c r="P70" s="31"/>
    </row>
    <row r="71" customFormat="false" ht="15" hidden="false" customHeight="false" outlineLevel="0" collapsed="false">
      <c r="A71" s="34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2" t="str">
        <f aca="false">IF(D71="","",IF(SUM(H71:K71)&gt;0,1,0))</f>
        <v/>
      </c>
      <c r="N71" s="33" t="str">
        <f aca="false">IF(D71="","",IF(OR(COUNTIF('Target &amp; Team Lists'!$J$5:$J$204,D71)&gt;0,ISNUMBER(SEARCH("alpha nodus",F71))),"Yes","No"))</f>
        <v/>
      </c>
      <c r="O71" s="33" t="str">
        <f aca="false">IF(D71="","",IF(N71="Yes","No",IF(OR(AND(F71&lt;&gt;"",COUNTIF('Target &amp; Team Lists'!$A$5:$A$504,F71)&gt;0),COUNTIF('Target &amp; Team Lists'!$E$5:$E$504,D71)&gt;0),"Yes","No")))</f>
        <v/>
      </c>
      <c r="P71" s="31"/>
    </row>
    <row r="72" customFormat="false" ht="15" hidden="false" customHeight="false" outlineLevel="0" collapsed="false">
      <c r="A72" s="34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2" t="str">
        <f aca="false">IF(D72="","",IF(SUM(H72:K72)&gt;0,1,0))</f>
        <v/>
      </c>
      <c r="N72" s="33" t="str">
        <f aca="false">IF(D72="","",IF(OR(COUNTIF('Target &amp; Team Lists'!$J$5:$J$204,D72)&gt;0,ISNUMBER(SEARCH("alpha nodus",F72))),"Yes","No"))</f>
        <v/>
      </c>
      <c r="O72" s="33" t="str">
        <f aca="false">IF(D72="","",IF(N72="Yes","No",IF(OR(AND(F72&lt;&gt;"",COUNTIF('Target &amp; Team Lists'!$A$5:$A$504,F72)&gt;0),COUNTIF('Target &amp; Team Lists'!$E$5:$E$504,D72)&gt;0),"Yes","No")))</f>
        <v/>
      </c>
      <c r="P72" s="31"/>
    </row>
    <row r="73" customFormat="false" ht="15" hidden="false" customHeight="false" outlineLevel="0" collapsed="false">
      <c r="A73" s="34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2" t="str">
        <f aca="false">IF(D73="","",IF(SUM(H73:K73)&gt;0,1,0))</f>
        <v/>
      </c>
      <c r="N73" s="33" t="str">
        <f aca="false">IF(D73="","",IF(OR(COUNTIF('Target &amp; Team Lists'!$J$5:$J$204,D73)&gt;0,ISNUMBER(SEARCH("alpha nodus",F73))),"Yes","No"))</f>
        <v/>
      </c>
      <c r="O73" s="33" t="str">
        <f aca="false">IF(D73="","",IF(N73="Yes","No",IF(OR(AND(F73&lt;&gt;"",COUNTIF('Target &amp; Team Lists'!$A$5:$A$504,F73)&gt;0),COUNTIF('Target &amp; Team Lists'!$E$5:$E$504,D73)&gt;0),"Yes","No")))</f>
        <v/>
      </c>
      <c r="P73" s="31"/>
    </row>
    <row r="74" customFormat="false" ht="15" hidden="false" customHeight="false" outlineLevel="0" collapsed="false">
      <c r="A74" s="34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2" t="str">
        <f aca="false">IF(D74="","",IF(SUM(H74:K74)&gt;0,1,0))</f>
        <v/>
      </c>
      <c r="N74" s="33" t="str">
        <f aca="false">IF(D74="","",IF(OR(COUNTIF('Target &amp; Team Lists'!$J$5:$J$204,D74)&gt;0,ISNUMBER(SEARCH("alpha nodus",F74))),"Yes","No"))</f>
        <v/>
      </c>
      <c r="O74" s="33" t="str">
        <f aca="false">IF(D74="","",IF(N74="Yes","No",IF(OR(AND(F74&lt;&gt;"",COUNTIF('Target &amp; Team Lists'!$A$5:$A$504,F74)&gt;0),COUNTIF('Target &amp; Team Lists'!$E$5:$E$504,D74)&gt;0),"Yes","No")))</f>
        <v/>
      </c>
      <c r="P74" s="31"/>
    </row>
    <row r="75" customFormat="false" ht="15" hidden="false" customHeight="false" outlineLevel="0" collapsed="false">
      <c r="A75" s="34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2" t="str">
        <f aca="false">IF(D75="","",IF(SUM(H75:K75)&gt;0,1,0))</f>
        <v/>
      </c>
      <c r="N75" s="33" t="str">
        <f aca="false">IF(D75="","",IF(OR(COUNTIF('Target &amp; Team Lists'!$J$5:$J$204,D75)&gt;0,ISNUMBER(SEARCH("alpha nodus",F75))),"Yes","No"))</f>
        <v/>
      </c>
      <c r="O75" s="33" t="str">
        <f aca="false">IF(D75="","",IF(N75="Yes","No",IF(OR(AND(F75&lt;&gt;"",COUNTIF('Target &amp; Team Lists'!$A$5:$A$504,F75)&gt;0),COUNTIF('Target &amp; Team Lists'!$E$5:$E$504,D75)&gt;0),"Yes","No")))</f>
        <v/>
      </c>
      <c r="P75" s="31"/>
    </row>
    <row r="76" customFormat="false" ht="15" hidden="false" customHeight="false" outlineLevel="0" collapsed="false">
      <c r="A76" s="34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2" t="str">
        <f aca="false">IF(D76="","",IF(SUM(H76:K76)&gt;0,1,0))</f>
        <v/>
      </c>
      <c r="N76" s="33" t="str">
        <f aca="false">IF(D76="","",IF(OR(COUNTIF('Target &amp; Team Lists'!$J$5:$J$204,D76)&gt;0,ISNUMBER(SEARCH("alpha nodus",F76))),"Yes","No"))</f>
        <v/>
      </c>
      <c r="O76" s="33" t="str">
        <f aca="false">IF(D76="","",IF(N76="Yes","No",IF(OR(AND(F76&lt;&gt;"",COUNTIF('Target &amp; Team Lists'!$A$5:$A$504,F76)&gt;0),COUNTIF('Target &amp; Team Lists'!$E$5:$E$504,D76)&gt;0),"Yes","No")))</f>
        <v/>
      </c>
      <c r="P76" s="31"/>
    </row>
    <row r="77" customFormat="false" ht="15" hidden="false" customHeight="false" outlineLevel="0" collapsed="false">
      <c r="A77" s="34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2" t="str">
        <f aca="false">IF(D77="","",IF(SUM(H77:K77)&gt;0,1,0))</f>
        <v/>
      </c>
      <c r="N77" s="33" t="str">
        <f aca="false">IF(D77="","",IF(OR(COUNTIF('Target &amp; Team Lists'!$J$5:$J$204,D77)&gt;0,ISNUMBER(SEARCH("alpha nodus",F77))),"Yes","No"))</f>
        <v/>
      </c>
      <c r="O77" s="33" t="str">
        <f aca="false">IF(D77="","",IF(N77="Yes","No",IF(OR(AND(F77&lt;&gt;"",COUNTIF('Target &amp; Team Lists'!$A$5:$A$504,F77)&gt;0),COUNTIF('Target &amp; Team Lists'!$E$5:$E$504,D77)&gt;0),"Yes","No")))</f>
        <v/>
      </c>
      <c r="P77" s="31"/>
    </row>
    <row r="78" customFormat="false" ht="15" hidden="false" customHeight="false" outlineLevel="0" collapsed="false">
      <c r="A78" s="34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2" t="str">
        <f aca="false">IF(D78="","",IF(SUM(H78:K78)&gt;0,1,0))</f>
        <v/>
      </c>
      <c r="N78" s="33" t="str">
        <f aca="false">IF(D78="","",IF(OR(COUNTIF('Target &amp; Team Lists'!$J$5:$J$204,D78)&gt;0,ISNUMBER(SEARCH("alpha nodus",F78))),"Yes","No"))</f>
        <v/>
      </c>
      <c r="O78" s="33" t="str">
        <f aca="false">IF(D78="","",IF(N78="Yes","No",IF(OR(AND(F78&lt;&gt;"",COUNTIF('Target &amp; Team Lists'!$A$5:$A$504,F78)&gt;0),COUNTIF('Target &amp; Team Lists'!$E$5:$E$504,D78)&gt;0),"Yes","No")))</f>
        <v/>
      </c>
      <c r="P78" s="31"/>
    </row>
    <row r="79" customFormat="false" ht="15" hidden="false" customHeight="false" outlineLevel="0" collapsed="false">
      <c r="A79" s="34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2" t="str">
        <f aca="false">IF(D79="","",IF(SUM(H79:K79)&gt;0,1,0))</f>
        <v/>
      </c>
      <c r="N79" s="33" t="str">
        <f aca="false">IF(D79="","",IF(OR(COUNTIF('Target &amp; Team Lists'!$J$5:$J$204,D79)&gt;0,ISNUMBER(SEARCH("alpha nodus",F79))),"Yes","No"))</f>
        <v/>
      </c>
      <c r="O79" s="33" t="str">
        <f aca="false">IF(D79="","",IF(N79="Yes","No",IF(OR(AND(F79&lt;&gt;"",COUNTIF('Target &amp; Team Lists'!$A$5:$A$504,F79)&gt;0),COUNTIF('Target &amp; Team Lists'!$E$5:$E$504,D79)&gt;0),"Yes","No")))</f>
        <v/>
      </c>
      <c r="P79" s="31"/>
    </row>
    <row r="80" customFormat="false" ht="15" hidden="false" customHeight="false" outlineLevel="0" collapsed="false">
      <c r="A80" s="34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2" t="str">
        <f aca="false">IF(D80="","",IF(SUM(H80:K80)&gt;0,1,0))</f>
        <v/>
      </c>
      <c r="N80" s="33" t="str">
        <f aca="false">IF(D80="","",IF(OR(COUNTIF('Target &amp; Team Lists'!$J$5:$J$204,D80)&gt;0,ISNUMBER(SEARCH("alpha nodus",F80))),"Yes","No"))</f>
        <v/>
      </c>
      <c r="O80" s="33" t="str">
        <f aca="false">IF(D80="","",IF(N80="Yes","No",IF(OR(AND(F80&lt;&gt;"",COUNTIF('Target &amp; Team Lists'!$A$5:$A$504,F80)&gt;0),COUNTIF('Target &amp; Team Lists'!$E$5:$E$504,D80)&gt;0),"Yes","No")))</f>
        <v/>
      </c>
      <c r="P80" s="31"/>
    </row>
    <row r="81" customFormat="false" ht="15" hidden="false" customHeight="false" outlineLevel="0" collapsed="false">
      <c r="A81" s="34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2" t="str">
        <f aca="false">IF(D81="","",IF(SUM(H81:K81)&gt;0,1,0))</f>
        <v/>
      </c>
      <c r="N81" s="33" t="str">
        <f aca="false">IF(D81="","",IF(OR(COUNTIF('Target &amp; Team Lists'!$J$5:$J$204,D81)&gt;0,ISNUMBER(SEARCH("alpha nodus",F81))),"Yes","No"))</f>
        <v/>
      </c>
      <c r="O81" s="33" t="str">
        <f aca="false">IF(D81="","",IF(N81="Yes","No",IF(OR(AND(F81&lt;&gt;"",COUNTIF('Target &amp; Team Lists'!$A$5:$A$504,F81)&gt;0),COUNTIF('Target &amp; Team Lists'!$E$5:$E$504,D81)&gt;0),"Yes","No")))</f>
        <v/>
      </c>
      <c r="P81" s="31"/>
    </row>
    <row r="82" customFormat="false" ht="15" hidden="false" customHeight="false" outlineLevel="0" collapsed="false">
      <c r="A82" s="34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2" t="str">
        <f aca="false">IF(D82="","",IF(SUM(H82:K82)&gt;0,1,0))</f>
        <v/>
      </c>
      <c r="N82" s="33" t="str">
        <f aca="false">IF(D82="","",IF(OR(COUNTIF('Target &amp; Team Lists'!$J$5:$J$204,D82)&gt;0,ISNUMBER(SEARCH("alpha nodus",F82))),"Yes","No"))</f>
        <v/>
      </c>
      <c r="O82" s="33" t="str">
        <f aca="false">IF(D82="","",IF(N82="Yes","No",IF(OR(AND(F82&lt;&gt;"",COUNTIF('Target &amp; Team Lists'!$A$5:$A$504,F82)&gt;0),COUNTIF('Target &amp; Team Lists'!$E$5:$E$504,D82)&gt;0),"Yes","No")))</f>
        <v/>
      </c>
      <c r="P82" s="31"/>
    </row>
    <row r="83" customFormat="false" ht="15" hidden="false" customHeight="false" outlineLevel="0" collapsed="false">
      <c r="A83" s="34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2" t="str">
        <f aca="false">IF(D83="","",IF(SUM(H83:K83)&gt;0,1,0))</f>
        <v/>
      </c>
      <c r="N83" s="33" t="str">
        <f aca="false">IF(D83="","",IF(OR(COUNTIF('Target &amp; Team Lists'!$J$5:$J$204,D83)&gt;0,ISNUMBER(SEARCH("alpha nodus",F83))),"Yes","No"))</f>
        <v/>
      </c>
      <c r="O83" s="33" t="str">
        <f aca="false">IF(D83="","",IF(N83="Yes","No",IF(OR(AND(F83&lt;&gt;"",COUNTIF('Target &amp; Team Lists'!$A$5:$A$504,F83)&gt;0),COUNTIF('Target &amp; Team Lists'!$E$5:$E$504,D83)&gt;0),"Yes","No")))</f>
        <v/>
      </c>
      <c r="P83" s="31"/>
    </row>
    <row r="84" customFormat="false" ht="15" hidden="false" customHeight="false" outlineLevel="0" collapsed="false">
      <c r="A84" s="34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2" t="str">
        <f aca="false">IF(D84="","",IF(SUM(H84:K84)&gt;0,1,0))</f>
        <v/>
      </c>
      <c r="N84" s="33" t="str">
        <f aca="false">IF(D84="","",IF(OR(COUNTIF('Target &amp; Team Lists'!$J$5:$J$204,D84)&gt;0,ISNUMBER(SEARCH("alpha nodus",F84))),"Yes","No"))</f>
        <v/>
      </c>
      <c r="O84" s="33" t="str">
        <f aca="false">IF(D84="","",IF(N84="Yes","No",IF(OR(AND(F84&lt;&gt;"",COUNTIF('Target &amp; Team Lists'!$A$5:$A$504,F84)&gt;0),COUNTIF('Target &amp; Team Lists'!$E$5:$E$504,D84)&gt;0),"Yes","No")))</f>
        <v/>
      </c>
      <c r="P84" s="31"/>
    </row>
    <row r="85" customFormat="false" ht="15" hidden="false" customHeight="false" outlineLevel="0" collapsed="false">
      <c r="A85" s="34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2" t="str">
        <f aca="false">IF(D85="","",IF(SUM(H85:K85)&gt;0,1,0))</f>
        <v/>
      </c>
      <c r="N85" s="33" t="str">
        <f aca="false">IF(D85="","",IF(OR(COUNTIF('Target &amp; Team Lists'!$J$5:$J$204,D85)&gt;0,ISNUMBER(SEARCH("alpha nodus",F85))),"Yes","No"))</f>
        <v/>
      </c>
      <c r="O85" s="33" t="str">
        <f aca="false">IF(D85="","",IF(N85="Yes","No",IF(OR(AND(F85&lt;&gt;"",COUNTIF('Target &amp; Team Lists'!$A$5:$A$504,F85)&gt;0),COUNTIF('Target &amp; Team Lists'!$E$5:$E$504,D85)&gt;0),"Yes","No")))</f>
        <v/>
      </c>
      <c r="P85" s="31"/>
    </row>
    <row r="86" customFormat="false" ht="15" hidden="false" customHeight="false" outlineLevel="0" collapsed="false">
      <c r="A86" s="34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2" t="str">
        <f aca="false">IF(D86="","",IF(SUM(H86:K86)&gt;0,1,0))</f>
        <v/>
      </c>
      <c r="N86" s="33" t="str">
        <f aca="false">IF(D86="","",IF(OR(COUNTIF('Target &amp; Team Lists'!$J$5:$J$204,D86)&gt;0,ISNUMBER(SEARCH("alpha nodus",F86))),"Yes","No"))</f>
        <v/>
      </c>
      <c r="O86" s="33" t="str">
        <f aca="false">IF(D86="","",IF(N86="Yes","No",IF(OR(AND(F86&lt;&gt;"",COUNTIF('Target &amp; Team Lists'!$A$5:$A$504,F86)&gt;0),COUNTIF('Target &amp; Team Lists'!$E$5:$E$504,D86)&gt;0),"Yes","No")))</f>
        <v/>
      </c>
      <c r="P86" s="31"/>
    </row>
    <row r="87" customFormat="false" ht="15" hidden="false" customHeight="false" outlineLevel="0" collapsed="false">
      <c r="A87" s="34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2" t="str">
        <f aca="false">IF(D87="","",IF(SUM(H87:K87)&gt;0,1,0))</f>
        <v/>
      </c>
      <c r="N87" s="33" t="str">
        <f aca="false">IF(D87="","",IF(OR(COUNTIF('Target &amp; Team Lists'!$J$5:$J$204,D87)&gt;0,ISNUMBER(SEARCH("alpha nodus",F87))),"Yes","No"))</f>
        <v/>
      </c>
      <c r="O87" s="33" t="str">
        <f aca="false">IF(D87="","",IF(N87="Yes","No",IF(OR(AND(F87&lt;&gt;"",COUNTIF('Target &amp; Team Lists'!$A$5:$A$504,F87)&gt;0),COUNTIF('Target &amp; Team Lists'!$E$5:$E$504,D87)&gt;0),"Yes","No")))</f>
        <v/>
      </c>
      <c r="P87" s="31"/>
    </row>
    <row r="88" customFormat="false" ht="15" hidden="false" customHeight="false" outlineLevel="0" collapsed="false">
      <c r="A88" s="34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2" t="str">
        <f aca="false">IF(D88="","",IF(SUM(H88:K88)&gt;0,1,0))</f>
        <v/>
      </c>
      <c r="N88" s="33" t="str">
        <f aca="false">IF(D88="","",IF(OR(COUNTIF('Target &amp; Team Lists'!$J$5:$J$204,D88)&gt;0,ISNUMBER(SEARCH("alpha nodus",F88))),"Yes","No"))</f>
        <v/>
      </c>
      <c r="O88" s="33" t="str">
        <f aca="false">IF(D88="","",IF(N88="Yes","No",IF(OR(AND(F88&lt;&gt;"",COUNTIF('Target &amp; Team Lists'!$A$5:$A$504,F88)&gt;0),COUNTIF('Target &amp; Team Lists'!$E$5:$E$504,D88)&gt;0),"Yes","No")))</f>
        <v/>
      </c>
      <c r="P88" s="31"/>
    </row>
    <row r="89" customFormat="false" ht="15" hidden="false" customHeight="false" outlineLevel="0" collapsed="false">
      <c r="A89" s="34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2" t="str">
        <f aca="false">IF(D89="","",IF(SUM(H89:K89)&gt;0,1,0))</f>
        <v/>
      </c>
      <c r="N89" s="33" t="str">
        <f aca="false">IF(D89="","",IF(OR(COUNTIF('Target &amp; Team Lists'!$J$5:$J$204,D89)&gt;0,ISNUMBER(SEARCH("alpha nodus",F89))),"Yes","No"))</f>
        <v/>
      </c>
      <c r="O89" s="33" t="str">
        <f aca="false">IF(D89="","",IF(N89="Yes","No",IF(OR(AND(F89&lt;&gt;"",COUNTIF('Target &amp; Team Lists'!$A$5:$A$504,F89)&gt;0),COUNTIF('Target &amp; Team Lists'!$E$5:$E$504,D89)&gt;0),"Yes","No")))</f>
        <v/>
      </c>
      <c r="P89" s="31"/>
    </row>
    <row r="90" customFormat="false" ht="15" hidden="false" customHeight="false" outlineLevel="0" collapsed="false">
      <c r="A90" s="34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2" t="str">
        <f aca="false">IF(D90="","",IF(SUM(H90:K90)&gt;0,1,0))</f>
        <v/>
      </c>
      <c r="N90" s="33" t="str">
        <f aca="false">IF(D90="","",IF(OR(COUNTIF('Target &amp; Team Lists'!$J$5:$J$204,D90)&gt;0,ISNUMBER(SEARCH("alpha nodus",F90))),"Yes","No"))</f>
        <v/>
      </c>
      <c r="O90" s="33" t="str">
        <f aca="false">IF(D90="","",IF(N90="Yes","No",IF(OR(AND(F90&lt;&gt;"",COUNTIF('Target &amp; Team Lists'!$A$5:$A$504,F90)&gt;0),COUNTIF('Target &amp; Team Lists'!$E$5:$E$504,D90)&gt;0),"Yes","No")))</f>
        <v/>
      </c>
      <c r="P90" s="31"/>
    </row>
    <row r="91" customFormat="false" ht="15" hidden="false" customHeight="false" outlineLevel="0" collapsed="false">
      <c r="A91" s="34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2" t="str">
        <f aca="false">IF(D91="","",IF(SUM(H91:K91)&gt;0,1,0))</f>
        <v/>
      </c>
      <c r="N91" s="33" t="str">
        <f aca="false">IF(D91="","",IF(OR(COUNTIF('Target &amp; Team Lists'!$J$5:$J$204,D91)&gt;0,ISNUMBER(SEARCH("alpha nodus",F91))),"Yes","No"))</f>
        <v/>
      </c>
      <c r="O91" s="33" t="str">
        <f aca="false">IF(D91="","",IF(N91="Yes","No",IF(OR(AND(F91&lt;&gt;"",COUNTIF('Target &amp; Team Lists'!$A$5:$A$504,F91)&gt;0),COUNTIF('Target &amp; Team Lists'!$E$5:$E$504,D91)&gt;0),"Yes","No")))</f>
        <v/>
      </c>
      <c r="P91" s="31"/>
    </row>
    <row r="92" customFormat="false" ht="15" hidden="false" customHeight="false" outlineLevel="0" collapsed="false">
      <c r="A92" s="34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2" t="str">
        <f aca="false">IF(D92="","",IF(SUM(H92:K92)&gt;0,1,0))</f>
        <v/>
      </c>
      <c r="N92" s="33" t="str">
        <f aca="false">IF(D92="","",IF(OR(COUNTIF('Target &amp; Team Lists'!$J$5:$J$204,D92)&gt;0,ISNUMBER(SEARCH("alpha nodus",F92))),"Yes","No"))</f>
        <v/>
      </c>
      <c r="O92" s="33" t="str">
        <f aca="false">IF(D92="","",IF(N92="Yes","No",IF(OR(AND(F92&lt;&gt;"",COUNTIF('Target &amp; Team Lists'!$A$5:$A$504,F92)&gt;0),COUNTIF('Target &amp; Team Lists'!$E$5:$E$504,D92)&gt;0),"Yes","No")))</f>
        <v/>
      </c>
      <c r="P92" s="31"/>
    </row>
    <row r="93" customFormat="false" ht="15" hidden="false" customHeight="false" outlineLevel="0" collapsed="false">
      <c r="A93" s="34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2" t="str">
        <f aca="false">IF(D93="","",IF(SUM(H93:K93)&gt;0,1,0))</f>
        <v/>
      </c>
      <c r="N93" s="33" t="str">
        <f aca="false">IF(D93="","",IF(OR(COUNTIF('Target &amp; Team Lists'!$J$5:$J$204,D93)&gt;0,ISNUMBER(SEARCH("alpha nodus",F93))),"Yes","No"))</f>
        <v/>
      </c>
      <c r="O93" s="33" t="str">
        <f aca="false">IF(D93="","",IF(N93="Yes","No",IF(OR(AND(F93&lt;&gt;"",COUNTIF('Target &amp; Team Lists'!$A$5:$A$504,F93)&gt;0),COUNTIF('Target &amp; Team Lists'!$E$5:$E$504,D93)&gt;0),"Yes","No")))</f>
        <v/>
      </c>
      <c r="P93" s="31"/>
    </row>
    <row r="94" customFormat="false" ht="15" hidden="false" customHeight="false" outlineLevel="0" collapsed="false">
      <c r="A94" s="34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2" t="str">
        <f aca="false">IF(D94="","",IF(SUM(H94:K94)&gt;0,1,0))</f>
        <v/>
      </c>
      <c r="N94" s="33" t="str">
        <f aca="false">IF(D94="","",IF(OR(COUNTIF('Target &amp; Team Lists'!$J$5:$J$204,D94)&gt;0,ISNUMBER(SEARCH("alpha nodus",F94))),"Yes","No"))</f>
        <v/>
      </c>
      <c r="O94" s="33" t="str">
        <f aca="false">IF(D94="","",IF(N94="Yes","No",IF(OR(AND(F94&lt;&gt;"",COUNTIF('Target &amp; Team Lists'!$A$5:$A$504,F94)&gt;0),COUNTIF('Target &amp; Team Lists'!$E$5:$E$504,D94)&gt;0),"Yes","No")))</f>
        <v/>
      </c>
      <c r="P94" s="31"/>
    </row>
    <row r="95" customFormat="false" ht="15" hidden="false" customHeight="false" outlineLevel="0" collapsed="false">
      <c r="A95" s="34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2" t="str">
        <f aca="false">IF(D95="","",IF(SUM(H95:K95)&gt;0,1,0))</f>
        <v/>
      </c>
      <c r="N95" s="33" t="str">
        <f aca="false">IF(D95="","",IF(OR(COUNTIF('Target &amp; Team Lists'!$J$5:$J$204,D95)&gt;0,ISNUMBER(SEARCH("alpha nodus",F95))),"Yes","No"))</f>
        <v/>
      </c>
      <c r="O95" s="33" t="str">
        <f aca="false">IF(D95="","",IF(N95="Yes","No",IF(OR(AND(F95&lt;&gt;"",COUNTIF('Target &amp; Team Lists'!$A$5:$A$504,F95)&gt;0),COUNTIF('Target &amp; Team Lists'!$E$5:$E$504,D95)&gt;0),"Yes","No")))</f>
        <v/>
      </c>
      <c r="P95" s="31"/>
    </row>
    <row r="96" customFormat="false" ht="15" hidden="false" customHeight="false" outlineLevel="0" collapsed="false">
      <c r="A96" s="34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2" t="str">
        <f aca="false">IF(D96="","",IF(SUM(H96:K96)&gt;0,1,0))</f>
        <v/>
      </c>
      <c r="N96" s="33" t="str">
        <f aca="false">IF(D96="","",IF(OR(COUNTIF('Target &amp; Team Lists'!$J$5:$J$204,D96)&gt;0,ISNUMBER(SEARCH("alpha nodus",F96))),"Yes","No"))</f>
        <v/>
      </c>
      <c r="O96" s="33" t="str">
        <f aca="false">IF(D96="","",IF(N96="Yes","No",IF(OR(AND(F96&lt;&gt;"",COUNTIF('Target &amp; Team Lists'!$A$5:$A$504,F96)&gt;0),COUNTIF('Target &amp; Team Lists'!$E$5:$E$504,D96)&gt;0),"Yes","No")))</f>
        <v/>
      </c>
      <c r="P96" s="31"/>
    </row>
    <row r="97" customFormat="false" ht="15" hidden="false" customHeight="false" outlineLevel="0" collapsed="false">
      <c r="A97" s="34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2" t="str">
        <f aca="false">IF(D97="","",IF(SUM(H97:K97)&gt;0,1,0))</f>
        <v/>
      </c>
      <c r="N97" s="33" t="str">
        <f aca="false">IF(D97="","",IF(OR(COUNTIF('Target &amp; Team Lists'!$J$5:$J$204,D97)&gt;0,ISNUMBER(SEARCH("alpha nodus",F97))),"Yes","No"))</f>
        <v/>
      </c>
      <c r="O97" s="33" t="str">
        <f aca="false">IF(D97="","",IF(N97="Yes","No",IF(OR(AND(F97&lt;&gt;"",COUNTIF('Target &amp; Team Lists'!$A$5:$A$504,F97)&gt;0),COUNTIF('Target &amp; Team Lists'!$E$5:$E$504,D97)&gt;0),"Yes","No")))</f>
        <v/>
      </c>
      <c r="P97" s="31"/>
    </row>
    <row r="98" customFormat="false" ht="15" hidden="false" customHeight="false" outlineLevel="0" collapsed="false">
      <c r="A98" s="34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2" t="str">
        <f aca="false">IF(D98="","",IF(SUM(H98:K98)&gt;0,1,0))</f>
        <v/>
      </c>
      <c r="N98" s="33" t="str">
        <f aca="false">IF(D98="","",IF(OR(COUNTIF('Target &amp; Team Lists'!$J$5:$J$204,D98)&gt;0,ISNUMBER(SEARCH("alpha nodus",F98))),"Yes","No"))</f>
        <v/>
      </c>
      <c r="O98" s="33" t="str">
        <f aca="false">IF(D98="","",IF(N98="Yes","No",IF(OR(AND(F98&lt;&gt;"",COUNTIF('Target &amp; Team Lists'!$A$5:$A$504,F98)&gt;0),COUNTIF('Target &amp; Team Lists'!$E$5:$E$504,D98)&gt;0),"Yes","No")))</f>
        <v/>
      </c>
      <c r="P98" s="31"/>
    </row>
    <row r="99" customFormat="false" ht="15" hidden="false" customHeight="false" outlineLevel="0" collapsed="false">
      <c r="A99" s="34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2" t="str">
        <f aca="false">IF(D99="","",IF(SUM(H99:K99)&gt;0,1,0))</f>
        <v/>
      </c>
      <c r="N99" s="33" t="str">
        <f aca="false">IF(D99="","",IF(OR(COUNTIF('Target &amp; Team Lists'!$J$5:$J$204,D99)&gt;0,ISNUMBER(SEARCH("alpha nodus",F99))),"Yes","No"))</f>
        <v/>
      </c>
      <c r="O99" s="33" t="str">
        <f aca="false">IF(D99="","",IF(N99="Yes","No",IF(OR(AND(F99&lt;&gt;"",COUNTIF('Target &amp; Team Lists'!$A$5:$A$504,F99)&gt;0),COUNTIF('Target &amp; Team Lists'!$E$5:$E$504,D99)&gt;0),"Yes","No")))</f>
        <v/>
      </c>
      <c r="P99" s="31"/>
    </row>
    <row r="100" customFormat="false" ht="15" hidden="false" customHeight="false" outlineLevel="0" collapsed="false">
      <c r="A100" s="34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2" t="str">
        <f aca="false">IF(D100="","",IF(SUM(H100:K100)&gt;0,1,0))</f>
        <v/>
      </c>
      <c r="N100" s="33" t="str">
        <f aca="false">IF(D100="","",IF(OR(COUNTIF('Target &amp; Team Lists'!$J$5:$J$204,D100)&gt;0,ISNUMBER(SEARCH("alpha nodus",F100))),"Yes","No"))</f>
        <v/>
      </c>
      <c r="O100" s="33" t="str">
        <f aca="false">IF(D100="","",IF(N100="Yes","No",IF(OR(AND(F100&lt;&gt;"",COUNTIF('Target &amp; Team Lists'!$A$5:$A$504,F100)&gt;0),COUNTIF('Target &amp; Team Lists'!$E$5:$E$504,D100)&gt;0),"Yes","No")))</f>
        <v/>
      </c>
      <c r="P100" s="31"/>
    </row>
    <row r="101" customFormat="false" ht="15" hidden="false" customHeight="false" outlineLevel="0" collapsed="false">
      <c r="A101" s="34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2" t="str">
        <f aca="false">IF(D101="","",IF(SUM(H101:K101)&gt;0,1,0))</f>
        <v/>
      </c>
      <c r="N101" s="33" t="str">
        <f aca="false">IF(D101="","",IF(OR(COUNTIF('Target &amp; Team Lists'!$J$5:$J$204,D101)&gt;0,ISNUMBER(SEARCH("alpha nodus",F101))),"Yes","No"))</f>
        <v/>
      </c>
      <c r="O101" s="33" t="str">
        <f aca="false">IF(D101="","",IF(N101="Yes","No",IF(OR(AND(F101&lt;&gt;"",COUNTIF('Target &amp; Team Lists'!$A$5:$A$504,F101)&gt;0),COUNTIF('Target &amp; Team Lists'!$E$5:$E$504,D101)&gt;0),"Yes","No")))</f>
        <v/>
      </c>
      <c r="P101" s="31"/>
    </row>
    <row r="102" customFormat="false" ht="15" hidden="false" customHeight="false" outlineLevel="0" collapsed="false">
      <c r="A102" s="34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2" t="str">
        <f aca="false">IF(D102="","",IF(SUM(H102:K102)&gt;0,1,0))</f>
        <v/>
      </c>
      <c r="N102" s="33" t="str">
        <f aca="false">IF(D102="","",IF(OR(COUNTIF('Target &amp; Team Lists'!$J$5:$J$204,D102)&gt;0,ISNUMBER(SEARCH("alpha nodus",F102))),"Yes","No"))</f>
        <v/>
      </c>
      <c r="O102" s="33" t="str">
        <f aca="false">IF(D102="","",IF(N102="Yes","No",IF(OR(AND(F102&lt;&gt;"",COUNTIF('Target &amp; Team Lists'!$A$5:$A$504,F102)&gt;0),COUNTIF('Target &amp; Team Lists'!$E$5:$E$504,D102)&gt;0),"Yes","No")))</f>
        <v/>
      </c>
      <c r="P102" s="31"/>
    </row>
    <row r="103" customFormat="false" ht="15" hidden="false" customHeight="false" outlineLevel="0" collapsed="false">
      <c r="A103" s="34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2" t="str">
        <f aca="false">IF(D103="","",IF(SUM(H103:K103)&gt;0,1,0))</f>
        <v/>
      </c>
      <c r="N103" s="33" t="str">
        <f aca="false">IF(D103="","",IF(OR(COUNTIF('Target &amp; Team Lists'!$J$5:$J$204,D103)&gt;0,ISNUMBER(SEARCH("alpha nodus",F103))),"Yes","No"))</f>
        <v/>
      </c>
      <c r="O103" s="33" t="str">
        <f aca="false">IF(D103="","",IF(N103="Yes","No",IF(OR(AND(F103&lt;&gt;"",COUNTIF('Target &amp; Team Lists'!$A$5:$A$504,F103)&gt;0),COUNTIF('Target &amp; Team Lists'!$E$5:$E$504,D103)&gt;0),"Yes","No")))</f>
        <v/>
      </c>
      <c r="P103" s="31"/>
    </row>
    <row r="104" customFormat="false" ht="15" hidden="false" customHeight="false" outlineLevel="0" collapsed="false">
      <c r="A104" s="34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2" t="str">
        <f aca="false">IF(D104="","",IF(SUM(H104:K104)&gt;0,1,0))</f>
        <v/>
      </c>
      <c r="N104" s="33" t="str">
        <f aca="false">IF(D104="","",IF(OR(COUNTIF('Target &amp; Team Lists'!$J$5:$J$204,D104)&gt;0,ISNUMBER(SEARCH("alpha nodus",F104))),"Yes","No"))</f>
        <v/>
      </c>
      <c r="O104" s="33" t="str">
        <f aca="false">IF(D104="","",IF(N104="Yes","No",IF(OR(AND(F104&lt;&gt;"",COUNTIF('Target &amp; Team Lists'!$A$5:$A$504,F104)&gt;0),COUNTIF('Target &amp; Team Lists'!$E$5:$E$504,D104)&gt;0),"Yes","No")))</f>
        <v/>
      </c>
      <c r="P104" s="31"/>
    </row>
    <row r="105" customFormat="false" ht="15" hidden="false" customHeight="false" outlineLevel="0" collapsed="false">
      <c r="A105" s="34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2" t="str">
        <f aca="false">IF(D105="","",IF(SUM(H105:K105)&gt;0,1,0))</f>
        <v/>
      </c>
      <c r="N105" s="33" t="str">
        <f aca="false">IF(D105="","",IF(OR(COUNTIF('Target &amp; Team Lists'!$J$5:$J$204,D105)&gt;0,ISNUMBER(SEARCH("alpha nodus",F105))),"Yes","No"))</f>
        <v/>
      </c>
      <c r="O105" s="33" t="str">
        <f aca="false">IF(D105="","",IF(N105="Yes","No",IF(OR(AND(F105&lt;&gt;"",COUNTIF('Target &amp; Team Lists'!$A$5:$A$504,F105)&gt;0),COUNTIF('Target &amp; Team Lists'!$E$5:$E$504,D105)&gt;0),"Yes","No")))</f>
        <v/>
      </c>
      <c r="P105" s="31"/>
    </row>
    <row r="106" customFormat="false" ht="15" hidden="false" customHeight="false" outlineLevel="0" collapsed="false">
      <c r="A106" s="34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2" t="str">
        <f aca="false">IF(D106="","",IF(SUM(H106:K106)&gt;0,1,0))</f>
        <v/>
      </c>
      <c r="N106" s="33" t="str">
        <f aca="false">IF(D106="","",IF(OR(COUNTIF('Target &amp; Team Lists'!$J$5:$J$204,D106)&gt;0,ISNUMBER(SEARCH("alpha nodus",F106))),"Yes","No"))</f>
        <v/>
      </c>
      <c r="O106" s="33" t="str">
        <f aca="false">IF(D106="","",IF(N106="Yes","No",IF(OR(AND(F106&lt;&gt;"",COUNTIF('Target &amp; Team Lists'!$A$5:$A$504,F106)&gt;0),COUNTIF('Target &amp; Team Lists'!$E$5:$E$504,D106)&gt;0),"Yes","No")))</f>
        <v/>
      </c>
      <c r="P106" s="31"/>
    </row>
    <row r="107" customFormat="false" ht="15" hidden="false" customHeight="false" outlineLevel="0" collapsed="false">
      <c r="A107" s="34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2" t="str">
        <f aca="false">IF(D107="","",IF(SUM(H107:K107)&gt;0,1,0))</f>
        <v/>
      </c>
      <c r="N107" s="33" t="str">
        <f aca="false">IF(D107="","",IF(OR(COUNTIF('Target &amp; Team Lists'!$J$5:$J$204,D107)&gt;0,ISNUMBER(SEARCH("alpha nodus",F107))),"Yes","No"))</f>
        <v/>
      </c>
      <c r="O107" s="33" t="str">
        <f aca="false">IF(D107="","",IF(N107="Yes","No",IF(OR(AND(F107&lt;&gt;"",COUNTIF('Target &amp; Team Lists'!$A$5:$A$504,F107)&gt;0),COUNTIF('Target &amp; Team Lists'!$E$5:$E$504,D107)&gt;0),"Yes","No")))</f>
        <v/>
      </c>
      <c r="P107" s="31"/>
    </row>
    <row r="108" customFormat="false" ht="15" hidden="false" customHeight="false" outlineLevel="0" collapsed="false">
      <c r="A108" s="34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2" t="str">
        <f aca="false">IF(D108="","",IF(SUM(H108:K108)&gt;0,1,0))</f>
        <v/>
      </c>
      <c r="N108" s="33" t="str">
        <f aca="false">IF(D108="","",IF(OR(COUNTIF('Target &amp; Team Lists'!$J$5:$J$204,D108)&gt;0,ISNUMBER(SEARCH("alpha nodus",F108))),"Yes","No"))</f>
        <v/>
      </c>
      <c r="O108" s="33" t="str">
        <f aca="false">IF(D108="","",IF(N108="Yes","No",IF(OR(AND(F108&lt;&gt;"",COUNTIF('Target &amp; Team Lists'!$A$5:$A$504,F108)&gt;0),COUNTIF('Target &amp; Team Lists'!$E$5:$E$504,D108)&gt;0),"Yes","No")))</f>
        <v/>
      </c>
      <c r="P108" s="31"/>
    </row>
    <row r="109" customFormat="false" ht="15" hidden="false" customHeight="false" outlineLevel="0" collapsed="false">
      <c r="A109" s="34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2" t="str">
        <f aca="false">IF(D109="","",IF(SUM(H109:K109)&gt;0,1,0))</f>
        <v/>
      </c>
      <c r="N109" s="33" t="str">
        <f aca="false">IF(D109="","",IF(OR(COUNTIF('Target &amp; Team Lists'!$J$5:$J$204,D109)&gt;0,ISNUMBER(SEARCH("alpha nodus",F109))),"Yes","No"))</f>
        <v/>
      </c>
      <c r="O109" s="33" t="str">
        <f aca="false">IF(D109="","",IF(N109="Yes","No",IF(OR(AND(F109&lt;&gt;"",COUNTIF('Target &amp; Team Lists'!$A$5:$A$504,F109)&gt;0),COUNTIF('Target &amp; Team Lists'!$E$5:$E$504,D109)&gt;0),"Yes","No")))</f>
        <v/>
      </c>
      <c r="P109" s="31"/>
    </row>
    <row r="110" customFormat="false" ht="15" hidden="false" customHeight="false" outlineLevel="0" collapsed="false">
      <c r="A110" s="34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2" t="str">
        <f aca="false">IF(D110="","",IF(SUM(H110:K110)&gt;0,1,0))</f>
        <v/>
      </c>
      <c r="N110" s="33" t="str">
        <f aca="false">IF(D110="","",IF(OR(COUNTIF('Target &amp; Team Lists'!$J$5:$J$204,D110)&gt;0,ISNUMBER(SEARCH("alpha nodus",F110))),"Yes","No"))</f>
        <v/>
      </c>
      <c r="O110" s="33" t="str">
        <f aca="false">IF(D110="","",IF(N110="Yes","No",IF(OR(AND(F110&lt;&gt;"",COUNTIF('Target &amp; Team Lists'!$A$5:$A$504,F110)&gt;0),COUNTIF('Target &amp; Team Lists'!$E$5:$E$504,D110)&gt;0),"Yes","No")))</f>
        <v/>
      </c>
      <c r="P110" s="31"/>
    </row>
    <row r="111" customFormat="false" ht="15" hidden="false" customHeight="false" outlineLevel="0" collapsed="false">
      <c r="A111" s="34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2" t="str">
        <f aca="false">IF(D111="","",IF(SUM(H111:K111)&gt;0,1,0))</f>
        <v/>
      </c>
      <c r="N111" s="33" t="str">
        <f aca="false">IF(D111="","",IF(OR(COUNTIF('Target &amp; Team Lists'!$J$5:$J$204,D111)&gt;0,ISNUMBER(SEARCH("alpha nodus",F111))),"Yes","No"))</f>
        <v/>
      </c>
      <c r="O111" s="33" t="str">
        <f aca="false">IF(D111="","",IF(N111="Yes","No",IF(OR(AND(F111&lt;&gt;"",COUNTIF('Target &amp; Team Lists'!$A$5:$A$504,F111)&gt;0),COUNTIF('Target &amp; Team Lists'!$E$5:$E$504,D111)&gt;0),"Yes","No")))</f>
        <v/>
      </c>
      <c r="P111" s="31"/>
    </row>
    <row r="112" customFormat="false" ht="15" hidden="false" customHeight="false" outlineLevel="0" collapsed="false">
      <c r="A112" s="34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2" t="str">
        <f aca="false">IF(D112="","",IF(SUM(H112:K112)&gt;0,1,0))</f>
        <v/>
      </c>
      <c r="N112" s="33" t="str">
        <f aca="false">IF(D112="","",IF(OR(COUNTIF('Target &amp; Team Lists'!$J$5:$J$204,D112)&gt;0,ISNUMBER(SEARCH("alpha nodus",F112))),"Yes","No"))</f>
        <v/>
      </c>
      <c r="O112" s="33" t="str">
        <f aca="false">IF(D112="","",IF(N112="Yes","No",IF(OR(AND(F112&lt;&gt;"",COUNTIF('Target &amp; Team Lists'!$A$5:$A$504,F112)&gt;0),COUNTIF('Target &amp; Team Lists'!$E$5:$E$504,D112)&gt;0),"Yes","No")))</f>
        <v/>
      </c>
      <c r="P112" s="31"/>
    </row>
    <row r="113" customFormat="false" ht="15" hidden="false" customHeight="false" outlineLevel="0" collapsed="false">
      <c r="A113" s="34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2" t="str">
        <f aca="false">IF(D113="","",IF(SUM(H113:K113)&gt;0,1,0))</f>
        <v/>
      </c>
      <c r="N113" s="33" t="str">
        <f aca="false">IF(D113="","",IF(OR(COUNTIF('Target &amp; Team Lists'!$J$5:$J$204,D113)&gt;0,ISNUMBER(SEARCH("alpha nodus",F113))),"Yes","No"))</f>
        <v/>
      </c>
      <c r="O113" s="33" t="str">
        <f aca="false">IF(D113="","",IF(N113="Yes","No",IF(OR(AND(F113&lt;&gt;"",COUNTIF('Target &amp; Team Lists'!$A$5:$A$504,F113)&gt;0),COUNTIF('Target &amp; Team Lists'!$E$5:$E$504,D113)&gt;0),"Yes","No")))</f>
        <v/>
      </c>
      <c r="P113" s="31"/>
    </row>
    <row r="114" customFormat="false" ht="15" hidden="false" customHeight="false" outlineLevel="0" collapsed="false">
      <c r="A114" s="34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2" t="str">
        <f aca="false">IF(D114="","",IF(SUM(H114:K114)&gt;0,1,0))</f>
        <v/>
      </c>
      <c r="N114" s="33" t="str">
        <f aca="false">IF(D114="","",IF(OR(COUNTIF('Target &amp; Team Lists'!$J$5:$J$204,D114)&gt;0,ISNUMBER(SEARCH("alpha nodus",F114))),"Yes","No"))</f>
        <v/>
      </c>
      <c r="O114" s="33" t="str">
        <f aca="false">IF(D114="","",IF(N114="Yes","No",IF(OR(AND(F114&lt;&gt;"",COUNTIF('Target &amp; Team Lists'!$A$5:$A$504,F114)&gt;0),COUNTIF('Target &amp; Team Lists'!$E$5:$E$504,D114)&gt;0),"Yes","No")))</f>
        <v/>
      </c>
      <c r="P114" s="31"/>
    </row>
    <row r="115" customFormat="false" ht="15" hidden="false" customHeight="false" outlineLevel="0" collapsed="false">
      <c r="A115" s="34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2" t="str">
        <f aca="false">IF(D115="","",IF(SUM(H115:K115)&gt;0,1,0))</f>
        <v/>
      </c>
      <c r="N115" s="33" t="str">
        <f aca="false">IF(D115="","",IF(OR(COUNTIF('Target &amp; Team Lists'!$J$5:$J$204,D115)&gt;0,ISNUMBER(SEARCH("alpha nodus",F115))),"Yes","No"))</f>
        <v/>
      </c>
      <c r="O115" s="33" t="str">
        <f aca="false">IF(D115="","",IF(N115="Yes","No",IF(OR(AND(F115&lt;&gt;"",COUNTIF('Target &amp; Team Lists'!$A$5:$A$504,F115)&gt;0),COUNTIF('Target &amp; Team Lists'!$E$5:$E$504,D115)&gt;0),"Yes","No")))</f>
        <v/>
      </c>
      <c r="P115" s="31"/>
    </row>
    <row r="116" customFormat="false" ht="15" hidden="false" customHeight="false" outlineLevel="0" collapsed="false">
      <c r="A116" s="34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2" t="str">
        <f aca="false">IF(D116="","",IF(SUM(H116:K116)&gt;0,1,0))</f>
        <v/>
      </c>
      <c r="N116" s="33" t="str">
        <f aca="false">IF(D116="","",IF(OR(COUNTIF('Target &amp; Team Lists'!$J$5:$J$204,D116)&gt;0,ISNUMBER(SEARCH("alpha nodus",F116))),"Yes","No"))</f>
        <v/>
      </c>
      <c r="O116" s="33" t="str">
        <f aca="false">IF(D116="","",IF(N116="Yes","No",IF(OR(AND(F116&lt;&gt;"",COUNTIF('Target &amp; Team Lists'!$A$5:$A$504,F116)&gt;0),COUNTIF('Target &amp; Team Lists'!$E$5:$E$504,D116)&gt;0),"Yes","No")))</f>
        <v/>
      </c>
      <c r="P116" s="31"/>
    </row>
    <row r="117" customFormat="false" ht="15" hidden="false" customHeight="false" outlineLevel="0" collapsed="false">
      <c r="A117" s="34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2" t="str">
        <f aca="false">IF(D117="","",IF(SUM(H117:K117)&gt;0,1,0))</f>
        <v/>
      </c>
      <c r="N117" s="33" t="str">
        <f aca="false">IF(D117="","",IF(OR(COUNTIF('Target &amp; Team Lists'!$J$5:$J$204,D117)&gt;0,ISNUMBER(SEARCH("alpha nodus",F117))),"Yes","No"))</f>
        <v/>
      </c>
      <c r="O117" s="33" t="str">
        <f aca="false">IF(D117="","",IF(N117="Yes","No",IF(OR(AND(F117&lt;&gt;"",COUNTIF('Target &amp; Team Lists'!$A$5:$A$504,F117)&gt;0),COUNTIF('Target &amp; Team Lists'!$E$5:$E$504,D117)&gt;0),"Yes","No")))</f>
        <v/>
      </c>
      <c r="P117" s="31"/>
    </row>
    <row r="118" customFormat="false" ht="15" hidden="false" customHeight="false" outlineLevel="0" collapsed="false">
      <c r="A118" s="34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2" t="str">
        <f aca="false">IF(D118="","",IF(SUM(H118:K118)&gt;0,1,0))</f>
        <v/>
      </c>
      <c r="N118" s="33" t="str">
        <f aca="false">IF(D118="","",IF(OR(COUNTIF('Target &amp; Team Lists'!$J$5:$J$204,D118)&gt;0,ISNUMBER(SEARCH("alpha nodus",F118))),"Yes","No"))</f>
        <v/>
      </c>
      <c r="O118" s="33" t="str">
        <f aca="false">IF(D118="","",IF(N118="Yes","No",IF(OR(AND(F118&lt;&gt;"",COUNTIF('Target &amp; Team Lists'!$A$5:$A$504,F118)&gt;0),COUNTIF('Target &amp; Team Lists'!$E$5:$E$504,D118)&gt;0),"Yes","No")))</f>
        <v/>
      </c>
      <c r="P118" s="31"/>
    </row>
    <row r="119" customFormat="false" ht="15" hidden="false" customHeight="false" outlineLevel="0" collapsed="false">
      <c r="A119" s="34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2" t="str">
        <f aca="false">IF(D119="","",IF(SUM(H119:K119)&gt;0,1,0))</f>
        <v/>
      </c>
      <c r="N119" s="33" t="str">
        <f aca="false">IF(D119="","",IF(OR(COUNTIF('Target &amp; Team Lists'!$J$5:$J$204,D119)&gt;0,ISNUMBER(SEARCH("alpha nodus",F119))),"Yes","No"))</f>
        <v/>
      </c>
      <c r="O119" s="33" t="str">
        <f aca="false">IF(D119="","",IF(N119="Yes","No",IF(OR(AND(F119&lt;&gt;"",COUNTIF('Target &amp; Team Lists'!$A$5:$A$504,F119)&gt;0),COUNTIF('Target &amp; Team Lists'!$E$5:$E$504,D119)&gt;0),"Yes","No")))</f>
        <v/>
      </c>
      <c r="P119" s="31"/>
    </row>
    <row r="120" customFormat="false" ht="15" hidden="false" customHeight="false" outlineLevel="0" collapsed="false">
      <c r="A120" s="34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2" t="str">
        <f aca="false">IF(D120="","",IF(SUM(H120:K120)&gt;0,1,0))</f>
        <v/>
      </c>
      <c r="N120" s="33" t="str">
        <f aca="false">IF(D120="","",IF(OR(COUNTIF('Target &amp; Team Lists'!$J$5:$J$204,D120)&gt;0,ISNUMBER(SEARCH("alpha nodus",F120))),"Yes","No"))</f>
        <v/>
      </c>
      <c r="O120" s="33" t="str">
        <f aca="false">IF(D120="","",IF(N120="Yes","No",IF(OR(AND(F120&lt;&gt;"",COUNTIF('Target &amp; Team Lists'!$A$5:$A$504,F120)&gt;0),COUNTIF('Target &amp; Team Lists'!$E$5:$E$504,D120)&gt;0),"Yes","No")))</f>
        <v/>
      </c>
      <c r="P120" s="31"/>
    </row>
    <row r="121" customFormat="false" ht="15" hidden="false" customHeight="false" outlineLevel="0" collapsed="false">
      <c r="A121" s="34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2" t="str">
        <f aca="false">IF(D121="","",IF(SUM(H121:K121)&gt;0,1,0))</f>
        <v/>
      </c>
      <c r="N121" s="33" t="str">
        <f aca="false">IF(D121="","",IF(OR(COUNTIF('Target &amp; Team Lists'!$J$5:$J$204,D121)&gt;0,ISNUMBER(SEARCH("alpha nodus",F121))),"Yes","No"))</f>
        <v/>
      </c>
      <c r="O121" s="33" t="str">
        <f aca="false">IF(D121="","",IF(N121="Yes","No",IF(OR(AND(F121&lt;&gt;"",COUNTIF('Target &amp; Team Lists'!$A$5:$A$504,F121)&gt;0),COUNTIF('Target &amp; Team Lists'!$E$5:$E$504,D121)&gt;0),"Yes","No")))</f>
        <v/>
      </c>
      <c r="P121" s="31"/>
    </row>
    <row r="122" customFormat="false" ht="15" hidden="false" customHeight="false" outlineLevel="0" collapsed="false">
      <c r="A122" s="34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2" t="str">
        <f aca="false">IF(D122="","",IF(SUM(H122:K122)&gt;0,1,0))</f>
        <v/>
      </c>
      <c r="N122" s="33" t="str">
        <f aca="false">IF(D122="","",IF(OR(COUNTIF('Target &amp; Team Lists'!$J$5:$J$204,D122)&gt;0,ISNUMBER(SEARCH("alpha nodus",F122))),"Yes","No"))</f>
        <v/>
      </c>
      <c r="O122" s="33" t="str">
        <f aca="false">IF(D122="","",IF(N122="Yes","No",IF(OR(AND(F122&lt;&gt;"",COUNTIF('Target &amp; Team Lists'!$A$5:$A$504,F122)&gt;0),COUNTIF('Target &amp; Team Lists'!$E$5:$E$504,D122)&gt;0),"Yes","No")))</f>
        <v/>
      </c>
      <c r="P122" s="31"/>
    </row>
    <row r="123" customFormat="false" ht="15" hidden="false" customHeight="false" outlineLevel="0" collapsed="false">
      <c r="A123" s="34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2" t="str">
        <f aca="false">IF(D123="","",IF(SUM(H123:K123)&gt;0,1,0))</f>
        <v/>
      </c>
      <c r="N123" s="33" t="str">
        <f aca="false">IF(D123="","",IF(OR(COUNTIF('Target &amp; Team Lists'!$J$5:$J$204,D123)&gt;0,ISNUMBER(SEARCH("alpha nodus",F123))),"Yes","No"))</f>
        <v/>
      </c>
      <c r="O123" s="33" t="str">
        <f aca="false">IF(D123="","",IF(N123="Yes","No",IF(OR(AND(F123&lt;&gt;"",COUNTIF('Target &amp; Team Lists'!$A$5:$A$504,F123)&gt;0),COUNTIF('Target &amp; Team Lists'!$E$5:$E$504,D123)&gt;0),"Yes","No")))</f>
        <v/>
      </c>
      <c r="P123" s="31"/>
    </row>
    <row r="124" customFormat="false" ht="15" hidden="false" customHeight="false" outlineLevel="0" collapsed="false">
      <c r="A124" s="34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2" t="str">
        <f aca="false">IF(D124="","",IF(SUM(H124:K124)&gt;0,1,0))</f>
        <v/>
      </c>
      <c r="N124" s="33" t="str">
        <f aca="false">IF(D124="","",IF(OR(COUNTIF('Target &amp; Team Lists'!$J$5:$J$204,D124)&gt;0,ISNUMBER(SEARCH("alpha nodus",F124))),"Yes","No"))</f>
        <v/>
      </c>
      <c r="O124" s="33" t="str">
        <f aca="false">IF(D124="","",IF(N124="Yes","No",IF(OR(AND(F124&lt;&gt;"",COUNTIF('Target &amp; Team Lists'!$A$5:$A$504,F124)&gt;0),COUNTIF('Target &amp; Team Lists'!$E$5:$E$504,D124)&gt;0),"Yes","No")))</f>
        <v/>
      </c>
      <c r="P124" s="31"/>
    </row>
    <row r="125" customFormat="false" ht="15" hidden="false" customHeight="false" outlineLevel="0" collapsed="false">
      <c r="A125" s="34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2" t="str">
        <f aca="false">IF(D125="","",IF(SUM(H125:K125)&gt;0,1,0))</f>
        <v/>
      </c>
      <c r="N125" s="33" t="str">
        <f aca="false">IF(D125="","",IF(OR(COUNTIF('Target &amp; Team Lists'!$J$5:$J$204,D125)&gt;0,ISNUMBER(SEARCH("alpha nodus",F125))),"Yes","No"))</f>
        <v/>
      </c>
      <c r="O125" s="33" t="str">
        <f aca="false">IF(D125="","",IF(N125="Yes","No",IF(OR(AND(F125&lt;&gt;"",COUNTIF('Target &amp; Team Lists'!$A$5:$A$504,F125)&gt;0),COUNTIF('Target &amp; Team Lists'!$E$5:$E$504,D125)&gt;0),"Yes","No")))</f>
        <v/>
      </c>
      <c r="P125" s="31"/>
    </row>
    <row r="126" customFormat="false" ht="15" hidden="false" customHeight="false" outlineLevel="0" collapsed="false">
      <c r="A126" s="34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2" t="str">
        <f aca="false">IF(D126="","",IF(SUM(H126:K126)&gt;0,1,0))</f>
        <v/>
      </c>
      <c r="N126" s="33" t="str">
        <f aca="false">IF(D126="","",IF(OR(COUNTIF('Target &amp; Team Lists'!$J$5:$J$204,D126)&gt;0,ISNUMBER(SEARCH("alpha nodus",F126))),"Yes","No"))</f>
        <v/>
      </c>
      <c r="O126" s="33" t="str">
        <f aca="false">IF(D126="","",IF(N126="Yes","No",IF(OR(AND(F126&lt;&gt;"",COUNTIF('Target &amp; Team Lists'!$A$5:$A$504,F126)&gt;0),COUNTIF('Target &amp; Team Lists'!$E$5:$E$504,D126)&gt;0),"Yes","No")))</f>
        <v/>
      </c>
      <c r="P126" s="31"/>
    </row>
    <row r="127" customFormat="false" ht="15" hidden="false" customHeight="false" outlineLevel="0" collapsed="false">
      <c r="A127" s="34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2" t="str">
        <f aca="false">IF(D127="","",IF(SUM(H127:K127)&gt;0,1,0))</f>
        <v/>
      </c>
      <c r="N127" s="33" t="str">
        <f aca="false">IF(D127="","",IF(OR(COUNTIF('Target &amp; Team Lists'!$J$5:$J$204,D127)&gt;0,ISNUMBER(SEARCH("alpha nodus",F127))),"Yes","No"))</f>
        <v/>
      </c>
      <c r="O127" s="33" t="str">
        <f aca="false">IF(D127="","",IF(N127="Yes","No",IF(OR(AND(F127&lt;&gt;"",COUNTIF('Target &amp; Team Lists'!$A$5:$A$504,F127)&gt;0),COUNTIF('Target &amp; Team Lists'!$E$5:$E$504,D127)&gt;0),"Yes","No")))</f>
        <v/>
      </c>
      <c r="P127" s="31"/>
    </row>
    <row r="128" customFormat="false" ht="15" hidden="false" customHeight="false" outlineLevel="0" collapsed="false">
      <c r="A128" s="34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2" t="str">
        <f aca="false">IF(D128="","",IF(SUM(H128:K128)&gt;0,1,0))</f>
        <v/>
      </c>
      <c r="N128" s="33" t="str">
        <f aca="false">IF(D128="","",IF(OR(COUNTIF('Target &amp; Team Lists'!$J$5:$J$204,D128)&gt;0,ISNUMBER(SEARCH("alpha nodus",F128))),"Yes","No"))</f>
        <v/>
      </c>
      <c r="O128" s="33" t="str">
        <f aca="false">IF(D128="","",IF(N128="Yes","No",IF(OR(AND(F128&lt;&gt;"",COUNTIF('Target &amp; Team Lists'!$A$5:$A$504,F128)&gt;0),COUNTIF('Target &amp; Team Lists'!$E$5:$E$504,D128)&gt;0),"Yes","No")))</f>
        <v/>
      </c>
      <c r="P128" s="31"/>
    </row>
    <row r="129" customFormat="false" ht="15" hidden="false" customHeight="false" outlineLevel="0" collapsed="false">
      <c r="A129" s="34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2" t="str">
        <f aca="false">IF(D129="","",IF(SUM(H129:K129)&gt;0,1,0))</f>
        <v/>
      </c>
      <c r="N129" s="33" t="str">
        <f aca="false">IF(D129="","",IF(OR(COUNTIF('Target &amp; Team Lists'!$J$5:$J$204,D129)&gt;0,ISNUMBER(SEARCH("alpha nodus",F129))),"Yes","No"))</f>
        <v/>
      </c>
      <c r="O129" s="33" t="str">
        <f aca="false">IF(D129="","",IF(N129="Yes","No",IF(OR(AND(F129&lt;&gt;"",COUNTIF('Target &amp; Team Lists'!$A$5:$A$504,F129)&gt;0),COUNTIF('Target &amp; Team Lists'!$E$5:$E$504,D129)&gt;0),"Yes","No")))</f>
        <v/>
      </c>
      <c r="P129" s="31"/>
    </row>
    <row r="130" customFormat="false" ht="15" hidden="false" customHeight="false" outlineLevel="0" collapsed="false">
      <c r="A130" s="34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2" t="str">
        <f aca="false">IF(D130="","",IF(SUM(H130:K130)&gt;0,1,0))</f>
        <v/>
      </c>
      <c r="N130" s="33" t="str">
        <f aca="false">IF(D130="","",IF(OR(COUNTIF('Target &amp; Team Lists'!$J$5:$J$204,D130)&gt;0,ISNUMBER(SEARCH("alpha nodus",F130))),"Yes","No"))</f>
        <v/>
      </c>
      <c r="O130" s="33" t="str">
        <f aca="false">IF(D130="","",IF(N130="Yes","No",IF(OR(AND(F130&lt;&gt;"",COUNTIF('Target &amp; Team Lists'!$A$5:$A$504,F130)&gt;0),COUNTIF('Target &amp; Team Lists'!$E$5:$E$504,D130)&gt;0),"Yes","No")))</f>
        <v/>
      </c>
      <c r="P130" s="31"/>
    </row>
    <row r="131" customFormat="false" ht="15" hidden="false" customHeight="false" outlineLevel="0" collapsed="false">
      <c r="A131" s="34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2" t="str">
        <f aca="false">IF(D131="","",IF(SUM(H131:K131)&gt;0,1,0))</f>
        <v/>
      </c>
      <c r="N131" s="33" t="str">
        <f aca="false">IF(D131="","",IF(OR(COUNTIF('Target &amp; Team Lists'!$J$5:$J$204,D131)&gt;0,ISNUMBER(SEARCH("alpha nodus",F131))),"Yes","No"))</f>
        <v/>
      </c>
      <c r="O131" s="33" t="str">
        <f aca="false">IF(D131="","",IF(N131="Yes","No",IF(OR(AND(F131&lt;&gt;"",COUNTIF('Target &amp; Team Lists'!$A$5:$A$504,F131)&gt;0),COUNTIF('Target &amp; Team Lists'!$E$5:$E$504,D131)&gt;0),"Yes","No")))</f>
        <v/>
      </c>
      <c r="P131" s="31"/>
    </row>
    <row r="132" customFormat="false" ht="15" hidden="false" customHeight="false" outlineLevel="0" collapsed="false">
      <c r="A132" s="34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2" t="str">
        <f aca="false">IF(D132="","",IF(SUM(H132:K132)&gt;0,1,0))</f>
        <v/>
      </c>
      <c r="N132" s="33" t="str">
        <f aca="false">IF(D132="","",IF(OR(COUNTIF('Target &amp; Team Lists'!$J$5:$J$204,D132)&gt;0,ISNUMBER(SEARCH("alpha nodus",F132))),"Yes","No"))</f>
        <v/>
      </c>
      <c r="O132" s="33" t="str">
        <f aca="false">IF(D132="","",IF(N132="Yes","No",IF(OR(AND(F132&lt;&gt;"",COUNTIF('Target &amp; Team Lists'!$A$5:$A$504,F132)&gt;0),COUNTIF('Target &amp; Team Lists'!$E$5:$E$504,D132)&gt;0),"Yes","No")))</f>
        <v/>
      </c>
      <c r="P132" s="31"/>
    </row>
    <row r="133" customFormat="false" ht="15" hidden="false" customHeight="false" outlineLevel="0" collapsed="false">
      <c r="A133" s="34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2" t="str">
        <f aca="false">IF(D133="","",IF(SUM(H133:K133)&gt;0,1,0))</f>
        <v/>
      </c>
      <c r="N133" s="33" t="str">
        <f aca="false">IF(D133="","",IF(OR(COUNTIF('Target &amp; Team Lists'!$J$5:$J$204,D133)&gt;0,ISNUMBER(SEARCH("alpha nodus",F133))),"Yes","No"))</f>
        <v/>
      </c>
      <c r="O133" s="33" t="str">
        <f aca="false">IF(D133="","",IF(N133="Yes","No",IF(OR(AND(F133&lt;&gt;"",COUNTIF('Target &amp; Team Lists'!$A$5:$A$504,F133)&gt;0),COUNTIF('Target &amp; Team Lists'!$E$5:$E$504,D133)&gt;0),"Yes","No")))</f>
        <v/>
      </c>
      <c r="P133" s="31"/>
    </row>
    <row r="134" customFormat="false" ht="15" hidden="false" customHeight="false" outlineLevel="0" collapsed="false">
      <c r="A134" s="34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2" t="str">
        <f aca="false">IF(D134="","",IF(SUM(H134:K134)&gt;0,1,0))</f>
        <v/>
      </c>
      <c r="N134" s="33" t="str">
        <f aca="false">IF(D134="","",IF(OR(COUNTIF('Target &amp; Team Lists'!$J$5:$J$204,D134)&gt;0,ISNUMBER(SEARCH("alpha nodus",F134))),"Yes","No"))</f>
        <v/>
      </c>
      <c r="O134" s="33" t="str">
        <f aca="false">IF(D134="","",IF(N134="Yes","No",IF(OR(AND(F134&lt;&gt;"",COUNTIF('Target &amp; Team Lists'!$A$5:$A$504,F134)&gt;0),COUNTIF('Target &amp; Team Lists'!$E$5:$E$504,D134)&gt;0),"Yes","No")))</f>
        <v/>
      </c>
      <c r="P134" s="31"/>
    </row>
    <row r="135" customFormat="false" ht="15" hidden="false" customHeight="false" outlineLevel="0" collapsed="false">
      <c r="A135" s="34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2" t="str">
        <f aca="false">IF(D135="","",IF(SUM(H135:K135)&gt;0,1,0))</f>
        <v/>
      </c>
      <c r="N135" s="33" t="str">
        <f aca="false">IF(D135="","",IF(OR(COUNTIF('Target &amp; Team Lists'!$J$5:$J$204,D135)&gt;0,ISNUMBER(SEARCH("alpha nodus",F135))),"Yes","No"))</f>
        <v/>
      </c>
      <c r="O135" s="33" t="str">
        <f aca="false">IF(D135="","",IF(N135="Yes","No",IF(OR(AND(F135&lt;&gt;"",COUNTIF('Target &amp; Team Lists'!$A$5:$A$504,F135)&gt;0),COUNTIF('Target &amp; Team Lists'!$E$5:$E$504,D135)&gt;0),"Yes","No")))</f>
        <v/>
      </c>
      <c r="P135" s="31"/>
    </row>
    <row r="136" customFormat="false" ht="15" hidden="false" customHeight="false" outlineLevel="0" collapsed="false">
      <c r="A136" s="34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2" t="str">
        <f aca="false">IF(D136="","",IF(SUM(H136:K136)&gt;0,1,0))</f>
        <v/>
      </c>
      <c r="N136" s="33" t="str">
        <f aca="false">IF(D136="","",IF(OR(COUNTIF('Target &amp; Team Lists'!$J$5:$J$204,D136)&gt;0,ISNUMBER(SEARCH("alpha nodus",F136))),"Yes","No"))</f>
        <v/>
      </c>
      <c r="O136" s="33" t="str">
        <f aca="false">IF(D136="","",IF(N136="Yes","No",IF(OR(AND(F136&lt;&gt;"",COUNTIF('Target &amp; Team Lists'!$A$5:$A$504,F136)&gt;0),COUNTIF('Target &amp; Team Lists'!$E$5:$E$504,D136)&gt;0),"Yes","No")))</f>
        <v/>
      </c>
      <c r="P136" s="31"/>
    </row>
    <row r="137" customFormat="false" ht="15" hidden="false" customHeight="false" outlineLevel="0" collapsed="false">
      <c r="A137" s="34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2" t="str">
        <f aca="false">IF(D137="","",IF(SUM(H137:K137)&gt;0,1,0))</f>
        <v/>
      </c>
      <c r="N137" s="33" t="str">
        <f aca="false">IF(D137="","",IF(OR(COUNTIF('Target &amp; Team Lists'!$J$5:$J$204,D137)&gt;0,ISNUMBER(SEARCH("alpha nodus",F137))),"Yes","No"))</f>
        <v/>
      </c>
      <c r="O137" s="33" t="str">
        <f aca="false">IF(D137="","",IF(N137="Yes","No",IF(OR(AND(F137&lt;&gt;"",COUNTIF('Target &amp; Team Lists'!$A$5:$A$504,F137)&gt;0),COUNTIF('Target &amp; Team Lists'!$E$5:$E$504,D137)&gt;0),"Yes","No")))</f>
        <v/>
      </c>
      <c r="P137" s="31"/>
    </row>
    <row r="138" customFormat="false" ht="15" hidden="false" customHeight="false" outlineLevel="0" collapsed="false">
      <c r="A138" s="34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2" t="str">
        <f aca="false">IF(D138="","",IF(SUM(H138:K138)&gt;0,1,0))</f>
        <v/>
      </c>
      <c r="N138" s="33" t="str">
        <f aca="false">IF(D138="","",IF(OR(COUNTIF('Target &amp; Team Lists'!$J$5:$J$204,D138)&gt;0,ISNUMBER(SEARCH("alpha nodus",F138))),"Yes","No"))</f>
        <v/>
      </c>
      <c r="O138" s="33" t="str">
        <f aca="false">IF(D138="","",IF(N138="Yes","No",IF(OR(AND(F138&lt;&gt;"",COUNTIF('Target &amp; Team Lists'!$A$5:$A$504,F138)&gt;0),COUNTIF('Target &amp; Team Lists'!$E$5:$E$504,D138)&gt;0),"Yes","No")))</f>
        <v/>
      </c>
      <c r="P138" s="31"/>
    </row>
    <row r="139" customFormat="false" ht="15" hidden="false" customHeight="false" outlineLevel="0" collapsed="false">
      <c r="A139" s="34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2" t="str">
        <f aca="false">IF(D139="","",IF(SUM(H139:K139)&gt;0,1,0))</f>
        <v/>
      </c>
      <c r="N139" s="33" t="str">
        <f aca="false">IF(D139="","",IF(OR(COUNTIF('Target &amp; Team Lists'!$J$5:$J$204,D139)&gt;0,ISNUMBER(SEARCH("alpha nodus",F139))),"Yes","No"))</f>
        <v/>
      </c>
      <c r="O139" s="33" t="str">
        <f aca="false">IF(D139="","",IF(N139="Yes","No",IF(OR(AND(F139&lt;&gt;"",COUNTIF('Target &amp; Team Lists'!$A$5:$A$504,F139)&gt;0),COUNTIF('Target &amp; Team Lists'!$E$5:$E$504,D139)&gt;0),"Yes","No")))</f>
        <v/>
      </c>
      <c r="P139" s="31"/>
    </row>
    <row r="140" customFormat="false" ht="15" hidden="false" customHeight="false" outlineLevel="0" collapsed="false">
      <c r="A140" s="34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2" t="str">
        <f aca="false">IF(D140="","",IF(SUM(H140:K140)&gt;0,1,0))</f>
        <v/>
      </c>
      <c r="N140" s="33" t="str">
        <f aca="false">IF(D140="","",IF(OR(COUNTIF('Target &amp; Team Lists'!$J$5:$J$204,D140)&gt;0,ISNUMBER(SEARCH("alpha nodus",F140))),"Yes","No"))</f>
        <v/>
      </c>
      <c r="O140" s="33" t="str">
        <f aca="false">IF(D140="","",IF(N140="Yes","No",IF(OR(AND(F140&lt;&gt;"",COUNTIF('Target &amp; Team Lists'!$A$5:$A$504,F140)&gt;0),COUNTIF('Target &amp; Team Lists'!$E$5:$E$504,D140)&gt;0),"Yes","No")))</f>
        <v/>
      </c>
      <c r="P140" s="31"/>
    </row>
    <row r="141" customFormat="false" ht="15" hidden="false" customHeight="false" outlineLevel="0" collapsed="false">
      <c r="A141" s="34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2" t="str">
        <f aca="false">IF(D141="","",IF(SUM(H141:K141)&gt;0,1,0))</f>
        <v/>
      </c>
      <c r="N141" s="33" t="str">
        <f aca="false">IF(D141="","",IF(OR(COUNTIF('Target &amp; Team Lists'!$J$5:$J$204,D141)&gt;0,ISNUMBER(SEARCH("alpha nodus",F141))),"Yes","No"))</f>
        <v/>
      </c>
      <c r="O141" s="33" t="str">
        <f aca="false">IF(D141="","",IF(N141="Yes","No",IF(OR(AND(F141&lt;&gt;"",COUNTIF('Target &amp; Team Lists'!$A$5:$A$504,F141)&gt;0),COUNTIF('Target &amp; Team Lists'!$E$5:$E$504,D141)&gt;0),"Yes","No")))</f>
        <v/>
      </c>
      <c r="P141" s="31"/>
    </row>
    <row r="142" customFormat="false" ht="15" hidden="false" customHeight="false" outlineLevel="0" collapsed="false">
      <c r="A142" s="34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2" t="str">
        <f aca="false">IF(D142="","",IF(SUM(H142:K142)&gt;0,1,0))</f>
        <v/>
      </c>
      <c r="N142" s="33" t="str">
        <f aca="false">IF(D142="","",IF(OR(COUNTIF('Target &amp; Team Lists'!$J$5:$J$204,D142)&gt;0,ISNUMBER(SEARCH("alpha nodus",F142))),"Yes","No"))</f>
        <v/>
      </c>
      <c r="O142" s="33" t="str">
        <f aca="false">IF(D142="","",IF(N142="Yes","No",IF(OR(AND(F142&lt;&gt;"",COUNTIF('Target &amp; Team Lists'!$A$5:$A$504,F142)&gt;0),COUNTIF('Target &amp; Team Lists'!$E$5:$E$504,D142)&gt;0),"Yes","No")))</f>
        <v/>
      </c>
      <c r="P142" s="31"/>
    </row>
    <row r="143" customFormat="false" ht="15" hidden="false" customHeight="false" outlineLevel="0" collapsed="false">
      <c r="A143" s="34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2" t="str">
        <f aca="false">IF(D143="","",IF(SUM(H143:K143)&gt;0,1,0))</f>
        <v/>
      </c>
      <c r="N143" s="33" t="str">
        <f aca="false">IF(D143="","",IF(OR(COUNTIF('Target &amp; Team Lists'!$J$5:$J$204,D143)&gt;0,ISNUMBER(SEARCH("alpha nodus",F143))),"Yes","No"))</f>
        <v/>
      </c>
      <c r="O143" s="33" t="str">
        <f aca="false">IF(D143="","",IF(N143="Yes","No",IF(OR(AND(F143&lt;&gt;"",COUNTIF('Target &amp; Team Lists'!$A$5:$A$504,F143)&gt;0),COUNTIF('Target &amp; Team Lists'!$E$5:$E$504,D143)&gt;0),"Yes","No")))</f>
        <v/>
      </c>
      <c r="P143" s="31"/>
    </row>
    <row r="144" customFormat="false" ht="15" hidden="false" customHeight="false" outlineLevel="0" collapsed="false">
      <c r="A144" s="34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2" t="str">
        <f aca="false">IF(D144="","",IF(SUM(H144:K144)&gt;0,1,0))</f>
        <v/>
      </c>
      <c r="N144" s="33" t="str">
        <f aca="false">IF(D144="","",IF(OR(COUNTIF('Target &amp; Team Lists'!$J$5:$J$204,D144)&gt;0,ISNUMBER(SEARCH("alpha nodus",F144))),"Yes","No"))</f>
        <v/>
      </c>
      <c r="O144" s="33" t="str">
        <f aca="false">IF(D144="","",IF(N144="Yes","No",IF(OR(AND(F144&lt;&gt;"",COUNTIF('Target &amp; Team Lists'!$A$5:$A$504,F144)&gt;0),COUNTIF('Target &amp; Team Lists'!$E$5:$E$504,D144)&gt;0),"Yes","No")))</f>
        <v/>
      </c>
      <c r="P144" s="31"/>
    </row>
    <row r="145" customFormat="false" ht="15" hidden="false" customHeight="false" outlineLevel="0" collapsed="false">
      <c r="A145" s="34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2" t="str">
        <f aca="false">IF(D145="","",IF(SUM(H145:K145)&gt;0,1,0))</f>
        <v/>
      </c>
      <c r="N145" s="33" t="str">
        <f aca="false">IF(D145="","",IF(OR(COUNTIF('Target &amp; Team Lists'!$J$5:$J$204,D145)&gt;0,ISNUMBER(SEARCH("alpha nodus",F145))),"Yes","No"))</f>
        <v/>
      </c>
      <c r="O145" s="33" t="str">
        <f aca="false">IF(D145="","",IF(N145="Yes","No",IF(OR(AND(F145&lt;&gt;"",COUNTIF('Target &amp; Team Lists'!$A$5:$A$504,F145)&gt;0),COUNTIF('Target &amp; Team Lists'!$E$5:$E$504,D145)&gt;0),"Yes","No")))</f>
        <v/>
      </c>
      <c r="P145" s="31"/>
    </row>
    <row r="146" customFormat="false" ht="15" hidden="false" customHeight="false" outlineLevel="0" collapsed="false">
      <c r="A146" s="34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2" t="str">
        <f aca="false">IF(D146="","",IF(SUM(H146:K146)&gt;0,1,0))</f>
        <v/>
      </c>
      <c r="N146" s="33" t="str">
        <f aca="false">IF(D146="","",IF(OR(COUNTIF('Target &amp; Team Lists'!$J$5:$J$204,D146)&gt;0,ISNUMBER(SEARCH("alpha nodus",F146))),"Yes","No"))</f>
        <v/>
      </c>
      <c r="O146" s="33" t="str">
        <f aca="false">IF(D146="","",IF(N146="Yes","No",IF(OR(AND(F146&lt;&gt;"",COUNTIF('Target &amp; Team Lists'!$A$5:$A$504,F146)&gt;0),COUNTIF('Target &amp; Team Lists'!$E$5:$E$504,D146)&gt;0),"Yes","No")))</f>
        <v/>
      </c>
      <c r="P146" s="31"/>
    </row>
    <row r="147" customFormat="false" ht="15" hidden="false" customHeight="false" outlineLevel="0" collapsed="false">
      <c r="A147" s="34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2" t="str">
        <f aca="false">IF(D147="","",IF(SUM(H147:K147)&gt;0,1,0))</f>
        <v/>
      </c>
      <c r="N147" s="33" t="str">
        <f aca="false">IF(D147="","",IF(OR(COUNTIF('Target &amp; Team Lists'!$J$5:$J$204,D147)&gt;0,ISNUMBER(SEARCH("alpha nodus",F147))),"Yes","No"))</f>
        <v/>
      </c>
      <c r="O147" s="33" t="str">
        <f aca="false">IF(D147="","",IF(N147="Yes","No",IF(OR(AND(F147&lt;&gt;"",COUNTIF('Target &amp; Team Lists'!$A$5:$A$504,F147)&gt;0),COUNTIF('Target &amp; Team Lists'!$E$5:$E$504,D147)&gt;0),"Yes","No")))</f>
        <v/>
      </c>
      <c r="P147" s="31"/>
    </row>
    <row r="148" customFormat="false" ht="15" hidden="false" customHeight="false" outlineLevel="0" collapsed="false">
      <c r="A148" s="34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2" t="str">
        <f aca="false">IF(D148="","",IF(SUM(H148:K148)&gt;0,1,0))</f>
        <v/>
      </c>
      <c r="N148" s="33" t="str">
        <f aca="false">IF(D148="","",IF(OR(COUNTIF('Target &amp; Team Lists'!$J$5:$J$204,D148)&gt;0,ISNUMBER(SEARCH("alpha nodus",F148))),"Yes","No"))</f>
        <v/>
      </c>
      <c r="O148" s="33" t="str">
        <f aca="false">IF(D148="","",IF(N148="Yes","No",IF(OR(AND(F148&lt;&gt;"",COUNTIF('Target &amp; Team Lists'!$A$5:$A$504,F148)&gt;0),COUNTIF('Target &amp; Team Lists'!$E$5:$E$504,D148)&gt;0),"Yes","No")))</f>
        <v/>
      </c>
      <c r="P148" s="31"/>
    </row>
    <row r="149" customFormat="false" ht="15" hidden="false" customHeight="false" outlineLevel="0" collapsed="false">
      <c r="A149" s="34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2" t="str">
        <f aca="false">IF(D149="","",IF(SUM(H149:K149)&gt;0,1,0))</f>
        <v/>
      </c>
      <c r="N149" s="33" t="str">
        <f aca="false">IF(D149="","",IF(OR(COUNTIF('Target &amp; Team Lists'!$J$5:$J$204,D149)&gt;0,ISNUMBER(SEARCH("alpha nodus",F149))),"Yes","No"))</f>
        <v/>
      </c>
      <c r="O149" s="33" t="str">
        <f aca="false">IF(D149="","",IF(N149="Yes","No",IF(OR(AND(F149&lt;&gt;"",COUNTIF('Target &amp; Team Lists'!$A$5:$A$504,F149)&gt;0),COUNTIF('Target &amp; Team Lists'!$E$5:$E$504,D149)&gt;0),"Yes","No")))</f>
        <v/>
      </c>
      <c r="P149" s="31"/>
    </row>
    <row r="150" customFormat="false" ht="15" hidden="false" customHeight="false" outlineLevel="0" collapsed="false">
      <c r="A150" s="34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2" t="str">
        <f aca="false">IF(D150="","",IF(SUM(H150:K150)&gt;0,1,0))</f>
        <v/>
      </c>
      <c r="N150" s="33" t="str">
        <f aca="false">IF(D150="","",IF(OR(COUNTIF('Target &amp; Team Lists'!$J$5:$J$204,D150)&gt;0,ISNUMBER(SEARCH("alpha nodus",F150))),"Yes","No"))</f>
        <v/>
      </c>
      <c r="O150" s="33" t="str">
        <f aca="false">IF(D150="","",IF(N150="Yes","No",IF(OR(AND(F150&lt;&gt;"",COUNTIF('Target &amp; Team Lists'!$A$5:$A$504,F150)&gt;0),COUNTIF('Target &amp; Team Lists'!$E$5:$E$504,D150)&gt;0),"Yes","No")))</f>
        <v/>
      </c>
      <c r="P150" s="31"/>
    </row>
    <row r="151" customFormat="false" ht="15" hidden="false" customHeight="false" outlineLevel="0" collapsed="false">
      <c r="A151" s="34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2" t="str">
        <f aca="false">IF(D151="","",IF(SUM(H151:K151)&gt;0,1,0))</f>
        <v/>
      </c>
      <c r="N151" s="33" t="str">
        <f aca="false">IF(D151="","",IF(OR(COUNTIF('Target &amp; Team Lists'!$J$5:$J$204,D151)&gt;0,ISNUMBER(SEARCH("alpha nodus",F151))),"Yes","No"))</f>
        <v/>
      </c>
      <c r="O151" s="33" t="str">
        <f aca="false">IF(D151="","",IF(N151="Yes","No",IF(OR(AND(F151&lt;&gt;"",COUNTIF('Target &amp; Team Lists'!$A$5:$A$504,F151)&gt;0),COUNTIF('Target &amp; Team Lists'!$E$5:$E$504,D151)&gt;0),"Yes","No")))</f>
        <v/>
      </c>
      <c r="P151" s="31"/>
    </row>
    <row r="152" customFormat="false" ht="15" hidden="false" customHeight="false" outlineLevel="0" collapsed="false">
      <c r="A152" s="34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2" t="str">
        <f aca="false">IF(D152="","",IF(SUM(H152:K152)&gt;0,1,0))</f>
        <v/>
      </c>
      <c r="N152" s="33" t="str">
        <f aca="false">IF(D152="","",IF(OR(COUNTIF('Target &amp; Team Lists'!$J$5:$J$204,D152)&gt;0,ISNUMBER(SEARCH("alpha nodus",F152))),"Yes","No"))</f>
        <v/>
      </c>
      <c r="O152" s="33" t="str">
        <f aca="false">IF(D152="","",IF(N152="Yes","No",IF(OR(AND(F152&lt;&gt;"",COUNTIF('Target &amp; Team Lists'!$A$5:$A$504,F152)&gt;0),COUNTIF('Target &amp; Team Lists'!$E$5:$E$504,D152)&gt;0),"Yes","No")))</f>
        <v/>
      </c>
      <c r="P152" s="31"/>
    </row>
    <row r="153" customFormat="false" ht="15" hidden="false" customHeight="false" outlineLevel="0" collapsed="false">
      <c r="A153" s="34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2" t="str">
        <f aca="false">IF(D153="","",IF(SUM(H153:K153)&gt;0,1,0))</f>
        <v/>
      </c>
      <c r="N153" s="33" t="str">
        <f aca="false">IF(D153="","",IF(OR(COUNTIF('Target &amp; Team Lists'!$J$5:$J$204,D153)&gt;0,ISNUMBER(SEARCH("alpha nodus",F153))),"Yes","No"))</f>
        <v/>
      </c>
      <c r="O153" s="33" t="str">
        <f aca="false">IF(D153="","",IF(N153="Yes","No",IF(OR(AND(F153&lt;&gt;"",COUNTIF('Target &amp; Team Lists'!$A$5:$A$504,F153)&gt;0),COUNTIF('Target &amp; Team Lists'!$E$5:$E$504,D153)&gt;0),"Yes","No")))</f>
        <v/>
      </c>
      <c r="P153" s="31"/>
    </row>
    <row r="154" customFormat="false" ht="15" hidden="false" customHeight="false" outlineLevel="0" collapsed="false">
      <c r="A154" s="34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2" t="str">
        <f aca="false">IF(D154="","",IF(SUM(H154:K154)&gt;0,1,0))</f>
        <v/>
      </c>
      <c r="N154" s="33" t="str">
        <f aca="false">IF(D154="","",IF(OR(COUNTIF('Target &amp; Team Lists'!$J$5:$J$204,D154)&gt;0,ISNUMBER(SEARCH("alpha nodus",F154))),"Yes","No"))</f>
        <v/>
      </c>
      <c r="O154" s="33" t="str">
        <f aca="false">IF(D154="","",IF(N154="Yes","No",IF(OR(AND(F154&lt;&gt;"",COUNTIF('Target &amp; Team Lists'!$A$5:$A$504,F154)&gt;0),COUNTIF('Target &amp; Team Lists'!$E$5:$E$504,D154)&gt;0),"Yes","No")))</f>
        <v/>
      </c>
      <c r="P154" s="31"/>
    </row>
    <row r="155" customFormat="false" ht="15" hidden="false" customHeight="false" outlineLevel="0" collapsed="false">
      <c r="A155" s="34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2" t="str">
        <f aca="false">IF(D155="","",IF(SUM(H155:K155)&gt;0,1,0))</f>
        <v/>
      </c>
      <c r="N155" s="33" t="str">
        <f aca="false">IF(D155="","",IF(OR(COUNTIF('Target &amp; Team Lists'!$J$5:$J$204,D155)&gt;0,ISNUMBER(SEARCH("alpha nodus",F155))),"Yes","No"))</f>
        <v/>
      </c>
      <c r="O155" s="33" t="str">
        <f aca="false">IF(D155="","",IF(N155="Yes","No",IF(OR(AND(F155&lt;&gt;"",COUNTIF('Target &amp; Team Lists'!$A$5:$A$504,F155)&gt;0),COUNTIF('Target &amp; Team Lists'!$E$5:$E$504,D155)&gt;0),"Yes","No")))</f>
        <v/>
      </c>
      <c r="P155" s="31"/>
    </row>
    <row r="156" customFormat="false" ht="15" hidden="false" customHeight="false" outlineLevel="0" collapsed="false">
      <c r="A156" s="34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2" t="str">
        <f aca="false">IF(D156="","",IF(SUM(H156:K156)&gt;0,1,0))</f>
        <v/>
      </c>
      <c r="N156" s="33" t="str">
        <f aca="false">IF(D156="","",IF(OR(COUNTIF('Target &amp; Team Lists'!$J$5:$J$204,D156)&gt;0,ISNUMBER(SEARCH("alpha nodus",F156))),"Yes","No"))</f>
        <v/>
      </c>
      <c r="O156" s="33" t="str">
        <f aca="false">IF(D156="","",IF(N156="Yes","No",IF(OR(AND(F156&lt;&gt;"",COUNTIF('Target &amp; Team Lists'!$A$5:$A$504,F156)&gt;0),COUNTIF('Target &amp; Team Lists'!$E$5:$E$504,D156)&gt;0),"Yes","No")))</f>
        <v/>
      </c>
      <c r="P156" s="31"/>
    </row>
    <row r="157" customFormat="false" ht="15" hidden="false" customHeight="false" outlineLevel="0" collapsed="false">
      <c r="A157" s="34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2" t="str">
        <f aca="false">IF(D157="","",IF(SUM(H157:K157)&gt;0,1,0))</f>
        <v/>
      </c>
      <c r="N157" s="33" t="str">
        <f aca="false">IF(D157="","",IF(OR(COUNTIF('Target &amp; Team Lists'!$J$5:$J$204,D157)&gt;0,ISNUMBER(SEARCH("alpha nodus",F157))),"Yes","No"))</f>
        <v/>
      </c>
      <c r="O157" s="33" t="str">
        <f aca="false">IF(D157="","",IF(N157="Yes","No",IF(OR(AND(F157&lt;&gt;"",COUNTIF('Target &amp; Team Lists'!$A$5:$A$504,F157)&gt;0),COUNTIF('Target &amp; Team Lists'!$E$5:$E$504,D157)&gt;0),"Yes","No")))</f>
        <v/>
      </c>
      <c r="P157" s="31"/>
    </row>
    <row r="158" customFormat="false" ht="15" hidden="false" customHeight="false" outlineLevel="0" collapsed="false">
      <c r="A158" s="34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2" t="str">
        <f aca="false">IF(D158="","",IF(SUM(H158:K158)&gt;0,1,0))</f>
        <v/>
      </c>
      <c r="N158" s="33" t="str">
        <f aca="false">IF(D158="","",IF(OR(COUNTIF('Target &amp; Team Lists'!$J$5:$J$204,D158)&gt;0,ISNUMBER(SEARCH("alpha nodus",F158))),"Yes","No"))</f>
        <v/>
      </c>
      <c r="O158" s="33" t="str">
        <f aca="false">IF(D158="","",IF(N158="Yes","No",IF(OR(AND(F158&lt;&gt;"",COUNTIF('Target &amp; Team Lists'!$A$5:$A$504,F158)&gt;0),COUNTIF('Target &amp; Team Lists'!$E$5:$E$504,D158)&gt;0),"Yes","No")))</f>
        <v/>
      </c>
      <c r="P158" s="31"/>
    </row>
    <row r="159" customFormat="false" ht="15" hidden="false" customHeight="false" outlineLevel="0" collapsed="false">
      <c r="A159" s="34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2" t="str">
        <f aca="false">IF(D159="","",IF(SUM(H159:K159)&gt;0,1,0))</f>
        <v/>
      </c>
      <c r="N159" s="33" t="str">
        <f aca="false">IF(D159="","",IF(OR(COUNTIF('Target &amp; Team Lists'!$J$5:$J$204,D159)&gt;0,ISNUMBER(SEARCH("alpha nodus",F159))),"Yes","No"))</f>
        <v/>
      </c>
      <c r="O159" s="33" t="str">
        <f aca="false">IF(D159="","",IF(N159="Yes","No",IF(OR(AND(F159&lt;&gt;"",COUNTIF('Target &amp; Team Lists'!$A$5:$A$504,F159)&gt;0),COUNTIF('Target &amp; Team Lists'!$E$5:$E$504,D159)&gt;0),"Yes","No")))</f>
        <v/>
      </c>
      <c r="P159" s="31"/>
    </row>
    <row r="160" customFormat="false" ht="15" hidden="false" customHeight="false" outlineLevel="0" collapsed="false">
      <c r="A160" s="34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2" t="str">
        <f aca="false">IF(D160="","",IF(SUM(H160:K160)&gt;0,1,0))</f>
        <v/>
      </c>
      <c r="N160" s="33" t="str">
        <f aca="false">IF(D160="","",IF(OR(COUNTIF('Target &amp; Team Lists'!$J$5:$J$204,D160)&gt;0,ISNUMBER(SEARCH("alpha nodus",F160))),"Yes","No"))</f>
        <v/>
      </c>
      <c r="O160" s="33" t="str">
        <f aca="false">IF(D160="","",IF(N160="Yes","No",IF(OR(AND(F160&lt;&gt;"",COUNTIF('Target &amp; Team Lists'!$A$5:$A$504,F160)&gt;0),COUNTIF('Target &amp; Team Lists'!$E$5:$E$504,D160)&gt;0),"Yes","No")))</f>
        <v/>
      </c>
      <c r="P160" s="31"/>
    </row>
    <row r="161" customFormat="false" ht="15" hidden="false" customHeight="false" outlineLevel="0" collapsed="false">
      <c r="A161" s="34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2" t="str">
        <f aca="false">IF(D161="","",IF(SUM(H161:K161)&gt;0,1,0))</f>
        <v/>
      </c>
      <c r="N161" s="33" t="str">
        <f aca="false">IF(D161="","",IF(OR(COUNTIF('Target &amp; Team Lists'!$J$5:$J$204,D161)&gt;0,ISNUMBER(SEARCH("alpha nodus",F161))),"Yes","No"))</f>
        <v/>
      </c>
      <c r="O161" s="33" t="str">
        <f aca="false">IF(D161="","",IF(N161="Yes","No",IF(OR(AND(F161&lt;&gt;"",COUNTIF('Target &amp; Team Lists'!$A$5:$A$504,F161)&gt;0),COUNTIF('Target &amp; Team Lists'!$E$5:$E$504,D161)&gt;0),"Yes","No")))</f>
        <v/>
      </c>
      <c r="P161" s="31"/>
    </row>
    <row r="162" customFormat="false" ht="15" hidden="false" customHeight="false" outlineLevel="0" collapsed="false">
      <c r="A162" s="34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2" t="str">
        <f aca="false">IF(D162="","",IF(SUM(H162:K162)&gt;0,1,0))</f>
        <v/>
      </c>
      <c r="N162" s="33" t="str">
        <f aca="false">IF(D162="","",IF(OR(COUNTIF('Target &amp; Team Lists'!$J$5:$J$204,D162)&gt;0,ISNUMBER(SEARCH("alpha nodus",F162))),"Yes","No"))</f>
        <v/>
      </c>
      <c r="O162" s="33" t="str">
        <f aca="false">IF(D162="","",IF(N162="Yes","No",IF(OR(AND(F162&lt;&gt;"",COUNTIF('Target &amp; Team Lists'!$A$5:$A$504,F162)&gt;0),COUNTIF('Target &amp; Team Lists'!$E$5:$E$504,D162)&gt;0),"Yes","No")))</f>
        <v/>
      </c>
      <c r="P162" s="31"/>
    </row>
    <row r="163" customFormat="false" ht="15" hidden="false" customHeight="false" outlineLevel="0" collapsed="false">
      <c r="A163" s="34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2" t="str">
        <f aca="false">IF(D163="","",IF(SUM(H163:K163)&gt;0,1,0))</f>
        <v/>
      </c>
      <c r="N163" s="33" t="str">
        <f aca="false">IF(D163="","",IF(OR(COUNTIF('Target &amp; Team Lists'!$J$5:$J$204,D163)&gt;0,ISNUMBER(SEARCH("alpha nodus",F163))),"Yes","No"))</f>
        <v/>
      </c>
      <c r="O163" s="33" t="str">
        <f aca="false">IF(D163="","",IF(N163="Yes","No",IF(OR(AND(F163&lt;&gt;"",COUNTIF('Target &amp; Team Lists'!$A$5:$A$504,F163)&gt;0),COUNTIF('Target &amp; Team Lists'!$E$5:$E$504,D163)&gt;0),"Yes","No")))</f>
        <v/>
      </c>
      <c r="P163" s="31"/>
    </row>
    <row r="164" customFormat="false" ht="15" hidden="false" customHeight="false" outlineLevel="0" collapsed="false">
      <c r="A164" s="34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2" t="str">
        <f aca="false">IF(D164="","",IF(SUM(H164:K164)&gt;0,1,0))</f>
        <v/>
      </c>
      <c r="N164" s="33" t="str">
        <f aca="false">IF(D164="","",IF(OR(COUNTIF('Target &amp; Team Lists'!$J$5:$J$204,D164)&gt;0,ISNUMBER(SEARCH("alpha nodus",F164))),"Yes","No"))</f>
        <v/>
      </c>
      <c r="O164" s="33" t="str">
        <f aca="false">IF(D164="","",IF(N164="Yes","No",IF(OR(AND(F164&lt;&gt;"",COUNTIF('Target &amp; Team Lists'!$A$5:$A$504,F164)&gt;0),COUNTIF('Target &amp; Team Lists'!$E$5:$E$504,D164)&gt;0),"Yes","No")))</f>
        <v/>
      </c>
      <c r="P164" s="31"/>
    </row>
    <row r="165" customFormat="false" ht="15" hidden="false" customHeight="false" outlineLevel="0" collapsed="false">
      <c r="A165" s="34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2" t="str">
        <f aca="false">IF(D165="","",IF(SUM(H165:K165)&gt;0,1,0))</f>
        <v/>
      </c>
      <c r="N165" s="33" t="str">
        <f aca="false">IF(D165="","",IF(OR(COUNTIF('Target &amp; Team Lists'!$J$5:$J$204,D165)&gt;0,ISNUMBER(SEARCH("alpha nodus",F165))),"Yes","No"))</f>
        <v/>
      </c>
      <c r="O165" s="33" t="str">
        <f aca="false">IF(D165="","",IF(N165="Yes","No",IF(OR(AND(F165&lt;&gt;"",COUNTIF('Target &amp; Team Lists'!$A$5:$A$504,F165)&gt;0),COUNTIF('Target &amp; Team Lists'!$E$5:$E$504,D165)&gt;0),"Yes","No")))</f>
        <v/>
      </c>
      <c r="P165" s="31"/>
    </row>
    <row r="166" customFormat="false" ht="15" hidden="false" customHeight="false" outlineLevel="0" collapsed="false">
      <c r="A166" s="34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2" t="str">
        <f aca="false">IF(D166="","",IF(SUM(H166:K166)&gt;0,1,0))</f>
        <v/>
      </c>
      <c r="N166" s="33" t="str">
        <f aca="false">IF(D166="","",IF(OR(COUNTIF('Target &amp; Team Lists'!$J$5:$J$204,D166)&gt;0,ISNUMBER(SEARCH("alpha nodus",F166))),"Yes","No"))</f>
        <v/>
      </c>
      <c r="O166" s="33" t="str">
        <f aca="false">IF(D166="","",IF(N166="Yes","No",IF(OR(AND(F166&lt;&gt;"",COUNTIF('Target &amp; Team Lists'!$A$5:$A$504,F166)&gt;0),COUNTIF('Target &amp; Team Lists'!$E$5:$E$504,D166)&gt;0),"Yes","No")))</f>
        <v/>
      </c>
      <c r="P166" s="31"/>
    </row>
    <row r="167" customFormat="false" ht="15" hidden="false" customHeight="false" outlineLevel="0" collapsed="false">
      <c r="A167" s="34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2" t="str">
        <f aca="false">IF(D167="","",IF(SUM(H167:K167)&gt;0,1,0))</f>
        <v/>
      </c>
      <c r="N167" s="33" t="str">
        <f aca="false">IF(D167="","",IF(OR(COUNTIF('Target &amp; Team Lists'!$J$5:$J$204,D167)&gt;0,ISNUMBER(SEARCH("alpha nodus",F167))),"Yes","No"))</f>
        <v/>
      </c>
      <c r="O167" s="33" t="str">
        <f aca="false">IF(D167="","",IF(N167="Yes","No",IF(OR(AND(F167&lt;&gt;"",COUNTIF('Target &amp; Team Lists'!$A$5:$A$504,F167)&gt;0),COUNTIF('Target &amp; Team Lists'!$E$5:$E$504,D167)&gt;0),"Yes","No")))</f>
        <v/>
      </c>
      <c r="P167" s="31"/>
    </row>
    <row r="168" customFormat="false" ht="15" hidden="false" customHeight="false" outlineLevel="0" collapsed="false">
      <c r="A168" s="34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2" t="str">
        <f aca="false">IF(D168="","",IF(SUM(H168:K168)&gt;0,1,0))</f>
        <v/>
      </c>
      <c r="N168" s="33" t="str">
        <f aca="false">IF(D168="","",IF(OR(COUNTIF('Target &amp; Team Lists'!$J$5:$J$204,D168)&gt;0,ISNUMBER(SEARCH("alpha nodus",F168))),"Yes","No"))</f>
        <v/>
      </c>
      <c r="O168" s="33" t="str">
        <f aca="false">IF(D168="","",IF(N168="Yes","No",IF(OR(AND(F168&lt;&gt;"",COUNTIF('Target &amp; Team Lists'!$A$5:$A$504,F168)&gt;0),COUNTIF('Target &amp; Team Lists'!$E$5:$E$504,D168)&gt;0),"Yes","No")))</f>
        <v/>
      </c>
      <c r="P168" s="31"/>
    </row>
    <row r="169" customFormat="false" ht="15" hidden="false" customHeight="false" outlineLevel="0" collapsed="false">
      <c r="A169" s="34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2" t="str">
        <f aca="false">IF(D169="","",IF(SUM(H169:K169)&gt;0,1,0))</f>
        <v/>
      </c>
      <c r="N169" s="33" t="str">
        <f aca="false">IF(D169="","",IF(OR(COUNTIF('Target &amp; Team Lists'!$J$5:$J$204,D169)&gt;0,ISNUMBER(SEARCH("alpha nodus",F169))),"Yes","No"))</f>
        <v/>
      </c>
      <c r="O169" s="33" t="str">
        <f aca="false">IF(D169="","",IF(N169="Yes","No",IF(OR(AND(F169&lt;&gt;"",COUNTIF('Target &amp; Team Lists'!$A$5:$A$504,F169)&gt;0),COUNTIF('Target &amp; Team Lists'!$E$5:$E$504,D169)&gt;0),"Yes","No")))</f>
        <v/>
      </c>
      <c r="P169" s="31"/>
    </row>
    <row r="170" customFormat="false" ht="15" hidden="false" customHeight="false" outlineLevel="0" collapsed="false">
      <c r="A170" s="34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2" t="str">
        <f aca="false">IF(D170="","",IF(SUM(H170:K170)&gt;0,1,0))</f>
        <v/>
      </c>
      <c r="N170" s="33" t="str">
        <f aca="false">IF(D170="","",IF(OR(COUNTIF('Target &amp; Team Lists'!$J$5:$J$204,D170)&gt;0,ISNUMBER(SEARCH("alpha nodus",F170))),"Yes","No"))</f>
        <v/>
      </c>
      <c r="O170" s="33" t="str">
        <f aca="false">IF(D170="","",IF(N170="Yes","No",IF(OR(AND(F170&lt;&gt;"",COUNTIF('Target &amp; Team Lists'!$A$5:$A$504,F170)&gt;0),COUNTIF('Target &amp; Team Lists'!$E$5:$E$504,D170)&gt;0),"Yes","No")))</f>
        <v/>
      </c>
      <c r="P170" s="31"/>
    </row>
    <row r="171" customFormat="false" ht="15" hidden="false" customHeight="false" outlineLevel="0" collapsed="false">
      <c r="A171" s="34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2" t="str">
        <f aca="false">IF(D171="","",IF(SUM(H171:K171)&gt;0,1,0))</f>
        <v/>
      </c>
      <c r="N171" s="33" t="str">
        <f aca="false">IF(D171="","",IF(OR(COUNTIF('Target &amp; Team Lists'!$J$5:$J$204,D171)&gt;0,ISNUMBER(SEARCH("alpha nodus",F171))),"Yes","No"))</f>
        <v/>
      </c>
      <c r="O171" s="33" t="str">
        <f aca="false">IF(D171="","",IF(N171="Yes","No",IF(OR(AND(F171&lt;&gt;"",COUNTIF('Target &amp; Team Lists'!$A$5:$A$504,F171)&gt;0),COUNTIF('Target &amp; Team Lists'!$E$5:$E$504,D171)&gt;0),"Yes","No")))</f>
        <v/>
      </c>
      <c r="P171" s="31"/>
    </row>
    <row r="172" customFormat="false" ht="15" hidden="false" customHeight="false" outlineLevel="0" collapsed="false">
      <c r="A172" s="34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2" t="str">
        <f aca="false">IF(D172="","",IF(SUM(H172:K172)&gt;0,1,0))</f>
        <v/>
      </c>
      <c r="N172" s="33" t="str">
        <f aca="false">IF(D172="","",IF(OR(COUNTIF('Target &amp; Team Lists'!$J$5:$J$204,D172)&gt;0,ISNUMBER(SEARCH("alpha nodus",F172))),"Yes","No"))</f>
        <v/>
      </c>
      <c r="O172" s="33" t="str">
        <f aca="false">IF(D172="","",IF(N172="Yes","No",IF(OR(AND(F172&lt;&gt;"",COUNTIF('Target &amp; Team Lists'!$A$5:$A$504,F172)&gt;0),COUNTIF('Target &amp; Team Lists'!$E$5:$E$504,D172)&gt;0),"Yes","No")))</f>
        <v/>
      </c>
      <c r="P172" s="31"/>
    </row>
    <row r="173" customFormat="false" ht="15" hidden="false" customHeight="false" outlineLevel="0" collapsed="false">
      <c r="A173" s="34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2" t="str">
        <f aca="false">IF(D173="","",IF(SUM(H173:K173)&gt;0,1,0))</f>
        <v/>
      </c>
      <c r="N173" s="33" t="str">
        <f aca="false">IF(D173="","",IF(OR(COUNTIF('Target &amp; Team Lists'!$J$5:$J$204,D173)&gt;0,ISNUMBER(SEARCH("alpha nodus",F173))),"Yes","No"))</f>
        <v/>
      </c>
      <c r="O173" s="33" t="str">
        <f aca="false">IF(D173="","",IF(N173="Yes","No",IF(OR(AND(F173&lt;&gt;"",COUNTIF('Target &amp; Team Lists'!$A$5:$A$504,F173)&gt;0),COUNTIF('Target &amp; Team Lists'!$E$5:$E$504,D173)&gt;0),"Yes","No")))</f>
        <v/>
      </c>
      <c r="P173" s="31"/>
    </row>
    <row r="174" customFormat="false" ht="15" hidden="false" customHeight="false" outlineLevel="0" collapsed="false">
      <c r="A174" s="34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2" t="str">
        <f aca="false">IF(D174="","",IF(SUM(H174:K174)&gt;0,1,0))</f>
        <v/>
      </c>
      <c r="N174" s="33" t="str">
        <f aca="false">IF(D174="","",IF(OR(COUNTIF('Target &amp; Team Lists'!$J$5:$J$204,D174)&gt;0,ISNUMBER(SEARCH("alpha nodus",F174))),"Yes","No"))</f>
        <v/>
      </c>
      <c r="O174" s="33" t="str">
        <f aca="false">IF(D174="","",IF(N174="Yes","No",IF(OR(AND(F174&lt;&gt;"",COUNTIF('Target &amp; Team Lists'!$A$5:$A$504,F174)&gt;0),COUNTIF('Target &amp; Team Lists'!$E$5:$E$504,D174)&gt;0),"Yes","No")))</f>
        <v/>
      </c>
      <c r="P174" s="31"/>
    </row>
    <row r="175" customFormat="false" ht="15" hidden="false" customHeight="false" outlineLevel="0" collapsed="false">
      <c r="A175" s="34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2" t="str">
        <f aca="false">IF(D175="","",IF(SUM(H175:K175)&gt;0,1,0))</f>
        <v/>
      </c>
      <c r="N175" s="33" t="str">
        <f aca="false">IF(D175="","",IF(OR(COUNTIF('Target &amp; Team Lists'!$J$5:$J$204,D175)&gt;0,ISNUMBER(SEARCH("alpha nodus",F175))),"Yes","No"))</f>
        <v/>
      </c>
      <c r="O175" s="33" t="str">
        <f aca="false">IF(D175="","",IF(N175="Yes","No",IF(OR(AND(F175&lt;&gt;"",COUNTIF('Target &amp; Team Lists'!$A$5:$A$504,F175)&gt;0),COUNTIF('Target &amp; Team Lists'!$E$5:$E$504,D175)&gt;0),"Yes","No")))</f>
        <v/>
      </c>
      <c r="P175" s="31"/>
    </row>
    <row r="176" customFormat="false" ht="15" hidden="false" customHeight="false" outlineLevel="0" collapsed="false">
      <c r="A176" s="34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2" t="str">
        <f aca="false">IF(D176="","",IF(SUM(H176:K176)&gt;0,1,0))</f>
        <v/>
      </c>
      <c r="N176" s="33" t="str">
        <f aca="false">IF(D176="","",IF(OR(COUNTIF('Target &amp; Team Lists'!$J$5:$J$204,D176)&gt;0,ISNUMBER(SEARCH("alpha nodus",F176))),"Yes","No"))</f>
        <v/>
      </c>
      <c r="O176" s="33" t="str">
        <f aca="false">IF(D176="","",IF(N176="Yes","No",IF(OR(AND(F176&lt;&gt;"",COUNTIF('Target &amp; Team Lists'!$A$5:$A$504,F176)&gt;0),COUNTIF('Target &amp; Team Lists'!$E$5:$E$504,D176)&gt;0),"Yes","No")))</f>
        <v/>
      </c>
      <c r="P176" s="31"/>
    </row>
    <row r="177" customFormat="false" ht="15" hidden="false" customHeight="false" outlineLevel="0" collapsed="false">
      <c r="A177" s="34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2" t="str">
        <f aca="false">IF(D177="","",IF(SUM(H177:K177)&gt;0,1,0))</f>
        <v/>
      </c>
      <c r="N177" s="33" t="str">
        <f aca="false">IF(D177="","",IF(OR(COUNTIF('Target &amp; Team Lists'!$J$5:$J$204,D177)&gt;0,ISNUMBER(SEARCH("alpha nodus",F177))),"Yes","No"))</f>
        <v/>
      </c>
      <c r="O177" s="33" t="str">
        <f aca="false">IF(D177="","",IF(N177="Yes","No",IF(OR(AND(F177&lt;&gt;"",COUNTIF('Target &amp; Team Lists'!$A$5:$A$504,F177)&gt;0),COUNTIF('Target &amp; Team Lists'!$E$5:$E$504,D177)&gt;0),"Yes","No")))</f>
        <v/>
      </c>
      <c r="P177" s="31"/>
    </row>
    <row r="178" customFormat="false" ht="15" hidden="false" customHeight="false" outlineLevel="0" collapsed="false">
      <c r="A178" s="34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2" t="str">
        <f aca="false">IF(D178="","",IF(SUM(H178:K178)&gt;0,1,0))</f>
        <v/>
      </c>
      <c r="N178" s="33" t="str">
        <f aca="false">IF(D178="","",IF(OR(COUNTIF('Target &amp; Team Lists'!$J$5:$J$204,D178)&gt;0,ISNUMBER(SEARCH("alpha nodus",F178))),"Yes","No"))</f>
        <v/>
      </c>
      <c r="O178" s="33" t="str">
        <f aca="false">IF(D178="","",IF(N178="Yes","No",IF(OR(AND(F178&lt;&gt;"",COUNTIF('Target &amp; Team Lists'!$A$5:$A$504,F178)&gt;0),COUNTIF('Target &amp; Team Lists'!$E$5:$E$504,D178)&gt;0),"Yes","No")))</f>
        <v/>
      </c>
      <c r="P178" s="31"/>
    </row>
    <row r="179" customFormat="false" ht="15" hidden="false" customHeight="false" outlineLevel="0" collapsed="false">
      <c r="A179" s="34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2" t="str">
        <f aca="false">IF(D179="","",IF(SUM(H179:K179)&gt;0,1,0))</f>
        <v/>
      </c>
      <c r="N179" s="33" t="str">
        <f aca="false">IF(D179="","",IF(OR(COUNTIF('Target &amp; Team Lists'!$J$5:$J$204,D179)&gt;0,ISNUMBER(SEARCH("alpha nodus",F179))),"Yes","No"))</f>
        <v/>
      </c>
      <c r="O179" s="33" t="str">
        <f aca="false">IF(D179="","",IF(N179="Yes","No",IF(OR(AND(F179&lt;&gt;"",COUNTIF('Target &amp; Team Lists'!$A$5:$A$504,F179)&gt;0),COUNTIF('Target &amp; Team Lists'!$E$5:$E$504,D179)&gt;0),"Yes","No")))</f>
        <v/>
      </c>
      <c r="P179" s="31"/>
    </row>
    <row r="180" customFormat="false" ht="15" hidden="false" customHeight="false" outlineLevel="0" collapsed="false">
      <c r="A180" s="34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2" t="str">
        <f aca="false">IF(D180="","",IF(SUM(H180:K180)&gt;0,1,0))</f>
        <v/>
      </c>
      <c r="N180" s="33" t="str">
        <f aca="false">IF(D180="","",IF(OR(COUNTIF('Target &amp; Team Lists'!$J$5:$J$204,D180)&gt;0,ISNUMBER(SEARCH("alpha nodus",F180))),"Yes","No"))</f>
        <v/>
      </c>
      <c r="O180" s="33" t="str">
        <f aca="false">IF(D180="","",IF(N180="Yes","No",IF(OR(AND(F180&lt;&gt;"",COUNTIF('Target &amp; Team Lists'!$A$5:$A$504,F180)&gt;0),COUNTIF('Target &amp; Team Lists'!$E$5:$E$504,D180)&gt;0),"Yes","No")))</f>
        <v/>
      </c>
      <c r="P180" s="31"/>
    </row>
    <row r="181" customFormat="false" ht="15" hidden="false" customHeight="false" outlineLevel="0" collapsed="false">
      <c r="A181" s="34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2" t="str">
        <f aca="false">IF(D181="","",IF(SUM(H181:K181)&gt;0,1,0))</f>
        <v/>
      </c>
      <c r="N181" s="33" t="str">
        <f aca="false">IF(D181="","",IF(OR(COUNTIF('Target &amp; Team Lists'!$J$5:$J$204,D181)&gt;0,ISNUMBER(SEARCH("alpha nodus",F181))),"Yes","No"))</f>
        <v/>
      </c>
      <c r="O181" s="33" t="str">
        <f aca="false">IF(D181="","",IF(N181="Yes","No",IF(OR(AND(F181&lt;&gt;"",COUNTIF('Target &amp; Team Lists'!$A$5:$A$504,F181)&gt;0),COUNTIF('Target &amp; Team Lists'!$E$5:$E$504,D181)&gt;0),"Yes","No")))</f>
        <v/>
      </c>
      <c r="P181" s="31"/>
    </row>
    <row r="182" customFormat="false" ht="15" hidden="false" customHeight="false" outlineLevel="0" collapsed="false">
      <c r="A182" s="34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2" t="str">
        <f aca="false">IF(D182="","",IF(SUM(H182:K182)&gt;0,1,0))</f>
        <v/>
      </c>
      <c r="N182" s="33" t="str">
        <f aca="false">IF(D182="","",IF(OR(COUNTIF('Target &amp; Team Lists'!$J$5:$J$204,D182)&gt;0,ISNUMBER(SEARCH("alpha nodus",F182))),"Yes","No"))</f>
        <v/>
      </c>
      <c r="O182" s="33" t="str">
        <f aca="false">IF(D182="","",IF(N182="Yes","No",IF(OR(AND(F182&lt;&gt;"",COUNTIF('Target &amp; Team Lists'!$A$5:$A$504,F182)&gt;0),COUNTIF('Target &amp; Team Lists'!$E$5:$E$504,D182)&gt;0),"Yes","No")))</f>
        <v/>
      </c>
      <c r="P182" s="31"/>
    </row>
    <row r="183" customFormat="false" ht="15" hidden="false" customHeight="false" outlineLevel="0" collapsed="false">
      <c r="A183" s="34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2" t="str">
        <f aca="false">IF(D183="","",IF(SUM(H183:K183)&gt;0,1,0))</f>
        <v/>
      </c>
      <c r="N183" s="33" t="str">
        <f aca="false">IF(D183="","",IF(OR(COUNTIF('Target &amp; Team Lists'!$J$5:$J$204,D183)&gt;0,ISNUMBER(SEARCH("alpha nodus",F183))),"Yes","No"))</f>
        <v/>
      </c>
      <c r="O183" s="33" t="str">
        <f aca="false">IF(D183="","",IF(N183="Yes","No",IF(OR(AND(F183&lt;&gt;"",COUNTIF('Target &amp; Team Lists'!$A$5:$A$504,F183)&gt;0),COUNTIF('Target &amp; Team Lists'!$E$5:$E$504,D183)&gt;0),"Yes","No")))</f>
        <v/>
      </c>
      <c r="P183" s="31"/>
    </row>
    <row r="184" customFormat="false" ht="15" hidden="false" customHeight="false" outlineLevel="0" collapsed="false">
      <c r="A184" s="34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2" t="str">
        <f aca="false">IF(D184="","",IF(SUM(H184:K184)&gt;0,1,0))</f>
        <v/>
      </c>
      <c r="N184" s="33" t="str">
        <f aca="false">IF(D184="","",IF(OR(COUNTIF('Target &amp; Team Lists'!$J$5:$J$204,D184)&gt;0,ISNUMBER(SEARCH("alpha nodus",F184))),"Yes","No"))</f>
        <v/>
      </c>
      <c r="O184" s="33" t="str">
        <f aca="false">IF(D184="","",IF(N184="Yes","No",IF(OR(AND(F184&lt;&gt;"",COUNTIF('Target &amp; Team Lists'!$A$5:$A$504,F184)&gt;0),COUNTIF('Target &amp; Team Lists'!$E$5:$E$504,D184)&gt;0),"Yes","No")))</f>
        <v/>
      </c>
      <c r="P184" s="31"/>
    </row>
    <row r="185" customFormat="false" ht="15" hidden="false" customHeight="false" outlineLevel="0" collapsed="false">
      <c r="A185" s="34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2" t="str">
        <f aca="false">IF(D185="","",IF(SUM(H185:K185)&gt;0,1,0))</f>
        <v/>
      </c>
      <c r="N185" s="33" t="str">
        <f aca="false">IF(D185="","",IF(OR(COUNTIF('Target &amp; Team Lists'!$J$5:$J$204,D185)&gt;0,ISNUMBER(SEARCH("alpha nodus",F185))),"Yes","No"))</f>
        <v/>
      </c>
      <c r="O185" s="33" t="str">
        <f aca="false">IF(D185="","",IF(N185="Yes","No",IF(OR(AND(F185&lt;&gt;"",COUNTIF('Target &amp; Team Lists'!$A$5:$A$504,F185)&gt;0),COUNTIF('Target &amp; Team Lists'!$E$5:$E$504,D185)&gt;0),"Yes","No")))</f>
        <v/>
      </c>
      <c r="P185" s="31"/>
    </row>
    <row r="186" customFormat="false" ht="15" hidden="false" customHeight="false" outlineLevel="0" collapsed="false">
      <c r="A186" s="34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2" t="str">
        <f aca="false">IF(D186="","",IF(SUM(H186:K186)&gt;0,1,0))</f>
        <v/>
      </c>
      <c r="N186" s="33" t="str">
        <f aca="false">IF(D186="","",IF(OR(COUNTIF('Target &amp; Team Lists'!$J$5:$J$204,D186)&gt;0,ISNUMBER(SEARCH("alpha nodus",F186))),"Yes","No"))</f>
        <v/>
      </c>
      <c r="O186" s="33" t="str">
        <f aca="false">IF(D186="","",IF(N186="Yes","No",IF(OR(AND(F186&lt;&gt;"",COUNTIF('Target &amp; Team Lists'!$A$5:$A$504,F186)&gt;0),COUNTIF('Target &amp; Team Lists'!$E$5:$E$504,D186)&gt;0),"Yes","No")))</f>
        <v/>
      </c>
      <c r="P186" s="31"/>
    </row>
    <row r="187" customFormat="false" ht="15" hidden="false" customHeight="false" outlineLevel="0" collapsed="false">
      <c r="A187" s="34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2" t="str">
        <f aca="false">IF(D187="","",IF(SUM(H187:K187)&gt;0,1,0))</f>
        <v/>
      </c>
      <c r="N187" s="33" t="str">
        <f aca="false">IF(D187="","",IF(OR(COUNTIF('Target &amp; Team Lists'!$J$5:$J$204,D187)&gt;0,ISNUMBER(SEARCH("alpha nodus",F187))),"Yes","No"))</f>
        <v/>
      </c>
      <c r="O187" s="33" t="str">
        <f aca="false">IF(D187="","",IF(N187="Yes","No",IF(OR(AND(F187&lt;&gt;"",COUNTIF('Target &amp; Team Lists'!$A$5:$A$504,F187)&gt;0),COUNTIF('Target &amp; Team Lists'!$E$5:$E$504,D187)&gt;0),"Yes","No")))</f>
        <v/>
      </c>
      <c r="P187" s="31"/>
    </row>
    <row r="188" customFormat="false" ht="15" hidden="false" customHeight="false" outlineLevel="0" collapsed="false">
      <c r="A188" s="34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2" t="str">
        <f aca="false">IF(D188="","",IF(SUM(H188:K188)&gt;0,1,0))</f>
        <v/>
      </c>
      <c r="N188" s="33" t="str">
        <f aca="false">IF(D188="","",IF(OR(COUNTIF('Target &amp; Team Lists'!$J$5:$J$204,D188)&gt;0,ISNUMBER(SEARCH("alpha nodus",F188))),"Yes","No"))</f>
        <v/>
      </c>
      <c r="O188" s="33" t="str">
        <f aca="false">IF(D188="","",IF(N188="Yes","No",IF(OR(AND(F188&lt;&gt;"",COUNTIF('Target &amp; Team Lists'!$A$5:$A$504,F188)&gt;0),COUNTIF('Target &amp; Team Lists'!$E$5:$E$504,D188)&gt;0),"Yes","No")))</f>
        <v/>
      </c>
      <c r="P188" s="31"/>
    </row>
    <row r="189" customFormat="false" ht="15" hidden="false" customHeight="false" outlineLevel="0" collapsed="false">
      <c r="A189" s="34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2" t="str">
        <f aca="false">IF(D189="","",IF(SUM(H189:K189)&gt;0,1,0))</f>
        <v/>
      </c>
      <c r="N189" s="33" t="str">
        <f aca="false">IF(D189="","",IF(OR(COUNTIF('Target &amp; Team Lists'!$J$5:$J$204,D189)&gt;0,ISNUMBER(SEARCH("alpha nodus",F189))),"Yes","No"))</f>
        <v/>
      </c>
      <c r="O189" s="33" t="str">
        <f aca="false">IF(D189="","",IF(N189="Yes","No",IF(OR(AND(F189&lt;&gt;"",COUNTIF('Target &amp; Team Lists'!$A$5:$A$504,F189)&gt;0),COUNTIF('Target &amp; Team Lists'!$E$5:$E$504,D189)&gt;0),"Yes","No")))</f>
        <v/>
      </c>
      <c r="P189" s="31"/>
    </row>
    <row r="190" customFormat="false" ht="15" hidden="false" customHeight="false" outlineLevel="0" collapsed="false">
      <c r="A190" s="34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2" t="str">
        <f aca="false">IF(D190="","",IF(SUM(H190:K190)&gt;0,1,0))</f>
        <v/>
      </c>
      <c r="N190" s="33" t="str">
        <f aca="false">IF(D190="","",IF(OR(COUNTIF('Target &amp; Team Lists'!$J$5:$J$204,D190)&gt;0,ISNUMBER(SEARCH("alpha nodus",F190))),"Yes","No"))</f>
        <v/>
      </c>
      <c r="O190" s="33" t="str">
        <f aca="false">IF(D190="","",IF(N190="Yes","No",IF(OR(AND(F190&lt;&gt;"",COUNTIF('Target &amp; Team Lists'!$A$5:$A$504,F190)&gt;0),COUNTIF('Target &amp; Team Lists'!$E$5:$E$504,D190)&gt;0),"Yes","No")))</f>
        <v/>
      </c>
      <c r="P190" s="31"/>
    </row>
    <row r="191" customFormat="false" ht="15" hidden="false" customHeight="false" outlineLevel="0" collapsed="false">
      <c r="A191" s="34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2" t="str">
        <f aca="false">IF(D191="","",IF(SUM(H191:K191)&gt;0,1,0))</f>
        <v/>
      </c>
      <c r="N191" s="33" t="str">
        <f aca="false">IF(D191="","",IF(OR(COUNTIF('Target &amp; Team Lists'!$J$5:$J$204,D191)&gt;0,ISNUMBER(SEARCH("alpha nodus",F191))),"Yes","No"))</f>
        <v/>
      </c>
      <c r="O191" s="33" t="str">
        <f aca="false">IF(D191="","",IF(N191="Yes","No",IF(OR(AND(F191&lt;&gt;"",COUNTIF('Target &amp; Team Lists'!$A$5:$A$504,F191)&gt;0),COUNTIF('Target &amp; Team Lists'!$E$5:$E$504,D191)&gt;0),"Yes","No")))</f>
        <v/>
      </c>
      <c r="P191" s="31"/>
    </row>
    <row r="192" customFormat="false" ht="15" hidden="false" customHeight="false" outlineLevel="0" collapsed="false">
      <c r="A192" s="34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2" t="str">
        <f aca="false">IF(D192="","",IF(SUM(H192:K192)&gt;0,1,0))</f>
        <v/>
      </c>
      <c r="N192" s="33" t="str">
        <f aca="false">IF(D192="","",IF(OR(COUNTIF('Target &amp; Team Lists'!$J$5:$J$204,D192)&gt;0,ISNUMBER(SEARCH("alpha nodus",F192))),"Yes","No"))</f>
        <v/>
      </c>
      <c r="O192" s="33" t="str">
        <f aca="false">IF(D192="","",IF(N192="Yes","No",IF(OR(AND(F192&lt;&gt;"",COUNTIF('Target &amp; Team Lists'!$A$5:$A$504,F192)&gt;0),COUNTIF('Target &amp; Team Lists'!$E$5:$E$504,D192)&gt;0),"Yes","No")))</f>
        <v/>
      </c>
      <c r="P192" s="31"/>
    </row>
    <row r="193" customFormat="false" ht="15" hidden="false" customHeight="false" outlineLevel="0" collapsed="false">
      <c r="A193" s="34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2" t="str">
        <f aca="false">IF(D193="","",IF(SUM(H193:K193)&gt;0,1,0))</f>
        <v/>
      </c>
      <c r="N193" s="33" t="str">
        <f aca="false">IF(D193="","",IF(OR(COUNTIF('Target &amp; Team Lists'!$J$5:$J$204,D193)&gt;0,ISNUMBER(SEARCH("alpha nodus",F193))),"Yes","No"))</f>
        <v/>
      </c>
      <c r="O193" s="33" t="str">
        <f aca="false">IF(D193="","",IF(N193="Yes","No",IF(OR(AND(F193&lt;&gt;"",COUNTIF('Target &amp; Team Lists'!$A$5:$A$504,F193)&gt;0),COUNTIF('Target &amp; Team Lists'!$E$5:$E$504,D193)&gt;0),"Yes","No")))</f>
        <v/>
      </c>
      <c r="P193" s="31"/>
    </row>
    <row r="194" customFormat="false" ht="15" hidden="false" customHeight="false" outlineLevel="0" collapsed="false">
      <c r="A194" s="34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2" t="str">
        <f aca="false">IF(D194="","",IF(SUM(H194:K194)&gt;0,1,0))</f>
        <v/>
      </c>
      <c r="N194" s="33" t="str">
        <f aca="false">IF(D194="","",IF(OR(COUNTIF('Target &amp; Team Lists'!$J$5:$J$204,D194)&gt;0,ISNUMBER(SEARCH("alpha nodus",F194))),"Yes","No"))</f>
        <v/>
      </c>
      <c r="O194" s="33" t="str">
        <f aca="false">IF(D194="","",IF(N194="Yes","No",IF(OR(AND(F194&lt;&gt;"",COUNTIF('Target &amp; Team Lists'!$A$5:$A$504,F194)&gt;0),COUNTIF('Target &amp; Team Lists'!$E$5:$E$504,D194)&gt;0),"Yes","No")))</f>
        <v/>
      </c>
      <c r="P194" s="31"/>
    </row>
    <row r="195" customFormat="false" ht="15" hidden="false" customHeight="false" outlineLevel="0" collapsed="false">
      <c r="A195" s="34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2" t="str">
        <f aca="false">IF(D195="","",IF(SUM(H195:K195)&gt;0,1,0))</f>
        <v/>
      </c>
      <c r="N195" s="33" t="str">
        <f aca="false">IF(D195="","",IF(OR(COUNTIF('Target &amp; Team Lists'!$J$5:$J$204,D195)&gt;0,ISNUMBER(SEARCH("alpha nodus",F195))),"Yes","No"))</f>
        <v/>
      </c>
      <c r="O195" s="33" t="str">
        <f aca="false">IF(D195="","",IF(N195="Yes","No",IF(OR(AND(F195&lt;&gt;"",COUNTIF('Target &amp; Team Lists'!$A$5:$A$504,F195)&gt;0),COUNTIF('Target &amp; Team Lists'!$E$5:$E$504,D195)&gt;0),"Yes","No")))</f>
        <v/>
      </c>
      <c r="P195" s="31"/>
    </row>
    <row r="196" customFormat="false" ht="15" hidden="false" customHeight="false" outlineLevel="0" collapsed="false">
      <c r="A196" s="34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2" t="str">
        <f aca="false">IF(D196="","",IF(SUM(H196:K196)&gt;0,1,0))</f>
        <v/>
      </c>
      <c r="N196" s="33" t="str">
        <f aca="false">IF(D196="","",IF(OR(COUNTIF('Target &amp; Team Lists'!$J$5:$J$204,D196)&gt;0,ISNUMBER(SEARCH("alpha nodus",F196))),"Yes","No"))</f>
        <v/>
      </c>
      <c r="O196" s="33" t="str">
        <f aca="false">IF(D196="","",IF(N196="Yes","No",IF(OR(AND(F196&lt;&gt;"",COUNTIF('Target &amp; Team Lists'!$A$5:$A$504,F196)&gt;0),COUNTIF('Target &amp; Team Lists'!$E$5:$E$504,D196)&gt;0),"Yes","No")))</f>
        <v/>
      </c>
      <c r="P196" s="31"/>
    </row>
    <row r="197" customFormat="false" ht="15" hidden="false" customHeight="false" outlineLevel="0" collapsed="false">
      <c r="A197" s="34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2" t="str">
        <f aca="false">IF(D197="","",IF(SUM(H197:K197)&gt;0,1,0))</f>
        <v/>
      </c>
      <c r="N197" s="33" t="str">
        <f aca="false">IF(D197="","",IF(OR(COUNTIF('Target &amp; Team Lists'!$J$5:$J$204,D197)&gt;0,ISNUMBER(SEARCH("alpha nodus",F197))),"Yes","No"))</f>
        <v/>
      </c>
      <c r="O197" s="33" t="str">
        <f aca="false">IF(D197="","",IF(N197="Yes","No",IF(OR(AND(F197&lt;&gt;"",COUNTIF('Target &amp; Team Lists'!$A$5:$A$504,F197)&gt;0),COUNTIF('Target &amp; Team Lists'!$E$5:$E$504,D197)&gt;0),"Yes","No")))</f>
        <v/>
      </c>
      <c r="P197" s="31"/>
    </row>
    <row r="198" customFormat="false" ht="15" hidden="false" customHeight="false" outlineLevel="0" collapsed="false">
      <c r="A198" s="34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2" t="str">
        <f aca="false">IF(D198="","",IF(SUM(H198:K198)&gt;0,1,0))</f>
        <v/>
      </c>
      <c r="N198" s="33" t="str">
        <f aca="false">IF(D198="","",IF(OR(COUNTIF('Target &amp; Team Lists'!$J$5:$J$204,D198)&gt;0,ISNUMBER(SEARCH("alpha nodus",F198))),"Yes","No"))</f>
        <v/>
      </c>
      <c r="O198" s="33" t="str">
        <f aca="false">IF(D198="","",IF(N198="Yes","No",IF(OR(AND(F198&lt;&gt;"",COUNTIF('Target &amp; Team Lists'!$A$5:$A$504,F198)&gt;0),COUNTIF('Target &amp; Team Lists'!$E$5:$E$504,D198)&gt;0),"Yes","No")))</f>
        <v/>
      </c>
      <c r="P198" s="31"/>
    </row>
    <row r="199" customFormat="false" ht="15" hidden="false" customHeight="false" outlineLevel="0" collapsed="false">
      <c r="A199" s="34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2" t="str">
        <f aca="false">IF(D199="","",IF(SUM(H199:K199)&gt;0,1,0))</f>
        <v/>
      </c>
      <c r="N199" s="33" t="str">
        <f aca="false">IF(D199="","",IF(OR(COUNTIF('Target &amp; Team Lists'!$J$5:$J$204,D199)&gt;0,ISNUMBER(SEARCH("alpha nodus",F199))),"Yes","No"))</f>
        <v/>
      </c>
      <c r="O199" s="33" t="str">
        <f aca="false">IF(D199="","",IF(N199="Yes","No",IF(OR(AND(F199&lt;&gt;"",COUNTIF('Target &amp; Team Lists'!$A$5:$A$504,F199)&gt;0),COUNTIF('Target &amp; Team Lists'!$E$5:$E$504,D199)&gt;0),"Yes","No")))</f>
        <v/>
      </c>
      <c r="P199" s="31"/>
    </row>
    <row r="200" customFormat="false" ht="15" hidden="false" customHeight="false" outlineLevel="0" collapsed="false">
      <c r="A200" s="34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2" t="str">
        <f aca="false">IF(D200="","",IF(SUM(H200:K200)&gt;0,1,0))</f>
        <v/>
      </c>
      <c r="N200" s="33" t="str">
        <f aca="false">IF(D200="","",IF(OR(COUNTIF('Target &amp; Team Lists'!$J$5:$J$204,D200)&gt;0,ISNUMBER(SEARCH("alpha nodus",F200))),"Yes","No"))</f>
        <v/>
      </c>
      <c r="O200" s="33" t="str">
        <f aca="false">IF(D200="","",IF(N200="Yes","No",IF(OR(AND(F200&lt;&gt;"",COUNTIF('Target &amp; Team Lists'!$A$5:$A$504,F200)&gt;0),COUNTIF('Target &amp; Team Lists'!$E$5:$E$504,D200)&gt;0),"Yes","No")))</f>
        <v/>
      </c>
      <c r="P200" s="31"/>
    </row>
    <row r="201" customFormat="false" ht="15" hidden="false" customHeight="false" outlineLevel="0" collapsed="false">
      <c r="A201" s="34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2" t="str">
        <f aca="false">IF(D201="","",IF(SUM(H201:K201)&gt;0,1,0))</f>
        <v/>
      </c>
      <c r="N201" s="33" t="str">
        <f aca="false">IF(D201="","",IF(OR(COUNTIF('Target &amp; Team Lists'!$J$5:$J$204,D201)&gt;0,ISNUMBER(SEARCH("alpha nodus",F201))),"Yes","No"))</f>
        <v/>
      </c>
      <c r="O201" s="33" t="str">
        <f aca="false">IF(D201="","",IF(N201="Yes","No",IF(OR(AND(F201&lt;&gt;"",COUNTIF('Target &amp; Team Lists'!$A$5:$A$504,F201)&gt;0),COUNTIF('Target &amp; Team Lists'!$E$5:$E$504,D201)&gt;0),"Yes","No")))</f>
        <v/>
      </c>
      <c r="P201" s="31"/>
    </row>
    <row r="202" customFormat="false" ht="15" hidden="false" customHeight="false" outlineLevel="0" collapsed="false">
      <c r="A202" s="34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2" t="str">
        <f aca="false">IF(D202="","",IF(SUM(H202:K202)&gt;0,1,0))</f>
        <v/>
      </c>
      <c r="N202" s="33" t="str">
        <f aca="false">IF(D202="","",IF(OR(COUNTIF('Target &amp; Team Lists'!$J$5:$J$204,D202)&gt;0,ISNUMBER(SEARCH("alpha nodus",F202))),"Yes","No"))</f>
        <v/>
      </c>
      <c r="O202" s="33" t="str">
        <f aca="false">IF(D202="","",IF(N202="Yes","No",IF(OR(AND(F202&lt;&gt;"",COUNTIF('Target &amp; Team Lists'!$A$5:$A$504,F202)&gt;0),COUNTIF('Target &amp; Team Lists'!$E$5:$E$504,D202)&gt;0),"Yes","No")))</f>
        <v/>
      </c>
      <c r="P202" s="31"/>
    </row>
    <row r="203" customFormat="false" ht="15" hidden="false" customHeight="false" outlineLevel="0" collapsed="false">
      <c r="A203" s="34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2" t="str">
        <f aca="false">IF(D203="","",IF(SUM(H203:K203)&gt;0,1,0))</f>
        <v/>
      </c>
      <c r="N203" s="33" t="str">
        <f aca="false">IF(D203="","",IF(OR(COUNTIF('Target &amp; Team Lists'!$J$5:$J$204,D203)&gt;0,ISNUMBER(SEARCH("alpha nodus",F203))),"Yes","No"))</f>
        <v/>
      </c>
      <c r="O203" s="33" t="str">
        <f aca="false">IF(D203="","",IF(N203="Yes","No",IF(OR(AND(F203&lt;&gt;"",COUNTIF('Target &amp; Team Lists'!$A$5:$A$504,F203)&gt;0),COUNTIF('Target &amp; Team Lists'!$E$5:$E$504,D203)&gt;0),"Yes","No")))</f>
        <v/>
      </c>
      <c r="P203" s="31"/>
    </row>
    <row r="204" customFormat="false" ht="15" hidden="false" customHeight="false" outlineLevel="0" collapsed="false">
      <c r="A204" s="34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2" t="str">
        <f aca="false">IF(D204="","",IF(SUM(H204:K204)&gt;0,1,0))</f>
        <v/>
      </c>
      <c r="N204" s="33" t="str">
        <f aca="false">IF(D204="","",IF(OR(COUNTIF('Target &amp; Team Lists'!$J$5:$J$204,D204)&gt;0,ISNUMBER(SEARCH("alpha nodus",F204))),"Yes","No"))</f>
        <v/>
      </c>
      <c r="O204" s="33" t="str">
        <f aca="false">IF(D204="","",IF(N204="Yes","No",IF(OR(AND(F204&lt;&gt;"",COUNTIF('Target &amp; Team Lists'!$A$5:$A$504,F204)&gt;0),COUNTIF('Target &amp; Team Lists'!$E$5:$E$504,D204)&gt;0),"Yes","No")))</f>
        <v/>
      </c>
      <c r="P204" s="31"/>
    </row>
    <row r="205" customFormat="false" ht="15" hidden="false" customHeight="false" outlineLevel="0" collapsed="false">
      <c r="A205" s="34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2" t="str">
        <f aca="false">IF(D205="","",IF(SUM(H205:K205)&gt;0,1,0))</f>
        <v/>
      </c>
      <c r="N205" s="33" t="str">
        <f aca="false">IF(D205="","",IF(OR(COUNTIF('Target &amp; Team Lists'!$J$5:$J$204,D205)&gt;0,ISNUMBER(SEARCH("alpha nodus",F205))),"Yes","No"))</f>
        <v/>
      </c>
      <c r="O205" s="33" t="str">
        <f aca="false">IF(D205="","",IF(N205="Yes","No",IF(OR(AND(F205&lt;&gt;"",COUNTIF('Target &amp; Team Lists'!$A$5:$A$504,F205)&gt;0),COUNTIF('Target &amp; Team Lists'!$E$5:$E$504,D205)&gt;0),"Yes","No")))</f>
        <v/>
      </c>
      <c r="P205" s="31"/>
    </row>
    <row r="206" customFormat="false" ht="15" hidden="false" customHeight="false" outlineLevel="0" collapsed="false">
      <c r="A206" s="34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2" t="str">
        <f aca="false">IF(D206="","",IF(SUM(H206:K206)&gt;0,1,0))</f>
        <v/>
      </c>
      <c r="N206" s="33" t="str">
        <f aca="false">IF(D206="","",IF(OR(COUNTIF('Target &amp; Team Lists'!$J$5:$J$204,D206)&gt;0,ISNUMBER(SEARCH("alpha nodus",F206))),"Yes","No"))</f>
        <v/>
      </c>
      <c r="O206" s="33" t="str">
        <f aca="false">IF(D206="","",IF(N206="Yes","No",IF(OR(AND(F206&lt;&gt;"",COUNTIF('Target &amp; Team Lists'!$A$5:$A$504,F206)&gt;0),COUNTIF('Target &amp; Team Lists'!$E$5:$E$504,D206)&gt;0),"Yes","No")))</f>
        <v/>
      </c>
      <c r="P206" s="31"/>
    </row>
    <row r="207" customFormat="false" ht="15" hidden="false" customHeight="false" outlineLevel="0" collapsed="false">
      <c r="A207" s="34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2" t="str">
        <f aca="false">IF(D207="","",IF(SUM(H207:K207)&gt;0,1,0))</f>
        <v/>
      </c>
      <c r="N207" s="33" t="str">
        <f aca="false">IF(D207="","",IF(OR(COUNTIF('Target &amp; Team Lists'!$J$5:$J$204,D207)&gt;0,ISNUMBER(SEARCH("alpha nodus",F207))),"Yes","No"))</f>
        <v/>
      </c>
      <c r="O207" s="33" t="str">
        <f aca="false">IF(D207="","",IF(N207="Yes","No",IF(OR(AND(F207&lt;&gt;"",COUNTIF('Target &amp; Team Lists'!$A$5:$A$504,F207)&gt;0),COUNTIF('Target &amp; Team Lists'!$E$5:$E$504,D207)&gt;0),"Yes","No")))</f>
        <v/>
      </c>
      <c r="P207" s="31"/>
    </row>
    <row r="208" customFormat="false" ht="15" hidden="false" customHeight="false" outlineLevel="0" collapsed="false">
      <c r="A208" s="34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2" t="str">
        <f aca="false">IF(D208="","",IF(SUM(H208:K208)&gt;0,1,0))</f>
        <v/>
      </c>
      <c r="N208" s="33" t="str">
        <f aca="false">IF(D208="","",IF(OR(COUNTIF('Target &amp; Team Lists'!$J$5:$J$204,D208)&gt;0,ISNUMBER(SEARCH("alpha nodus",F208))),"Yes","No"))</f>
        <v/>
      </c>
      <c r="O208" s="33" t="str">
        <f aca="false">IF(D208="","",IF(N208="Yes","No",IF(OR(AND(F208&lt;&gt;"",COUNTIF('Target &amp; Team Lists'!$A$5:$A$504,F208)&gt;0),COUNTIF('Target &amp; Team Lists'!$E$5:$E$504,D208)&gt;0),"Yes","No")))</f>
        <v/>
      </c>
      <c r="P208" s="31"/>
    </row>
    <row r="209" customFormat="false" ht="15" hidden="false" customHeight="false" outlineLevel="0" collapsed="false">
      <c r="A209" s="34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2" t="str">
        <f aca="false">IF(D209="","",IF(SUM(H209:K209)&gt;0,1,0))</f>
        <v/>
      </c>
      <c r="N209" s="33" t="str">
        <f aca="false">IF(D209="","",IF(OR(COUNTIF('Target &amp; Team Lists'!$J$5:$J$204,D209)&gt;0,ISNUMBER(SEARCH("alpha nodus",F209))),"Yes","No"))</f>
        <v/>
      </c>
      <c r="O209" s="33" t="str">
        <f aca="false">IF(D209="","",IF(N209="Yes","No",IF(OR(AND(F209&lt;&gt;"",COUNTIF('Target &amp; Team Lists'!$A$5:$A$504,F209)&gt;0),COUNTIF('Target &amp; Team Lists'!$E$5:$E$504,D209)&gt;0),"Yes","No")))</f>
        <v/>
      </c>
      <c r="P209" s="31"/>
    </row>
    <row r="210" customFormat="false" ht="15" hidden="false" customHeight="false" outlineLevel="0" collapsed="false">
      <c r="A210" s="34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2" t="str">
        <f aca="false">IF(D210="","",IF(SUM(H210:K210)&gt;0,1,0))</f>
        <v/>
      </c>
      <c r="N210" s="33" t="str">
        <f aca="false">IF(D210="","",IF(OR(COUNTIF('Target &amp; Team Lists'!$J$5:$J$204,D210)&gt;0,ISNUMBER(SEARCH("alpha nodus",F210))),"Yes","No"))</f>
        <v/>
      </c>
      <c r="O210" s="33" t="str">
        <f aca="false">IF(D210="","",IF(N210="Yes","No",IF(OR(AND(F210&lt;&gt;"",COUNTIF('Target &amp; Team Lists'!$A$5:$A$504,F210)&gt;0),COUNTIF('Target &amp; Team Lists'!$E$5:$E$504,D210)&gt;0),"Yes","No")))</f>
        <v/>
      </c>
      <c r="P210" s="31"/>
    </row>
    <row r="211" customFormat="false" ht="15" hidden="false" customHeight="false" outlineLevel="0" collapsed="false">
      <c r="A211" s="34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2" t="str">
        <f aca="false">IF(D211="","",IF(SUM(H211:K211)&gt;0,1,0))</f>
        <v/>
      </c>
      <c r="N211" s="33" t="str">
        <f aca="false">IF(D211="","",IF(OR(COUNTIF('Target &amp; Team Lists'!$J$5:$J$204,D211)&gt;0,ISNUMBER(SEARCH("alpha nodus",F211))),"Yes","No"))</f>
        <v/>
      </c>
      <c r="O211" s="33" t="str">
        <f aca="false">IF(D211="","",IF(N211="Yes","No",IF(OR(AND(F211&lt;&gt;"",COUNTIF('Target &amp; Team Lists'!$A$5:$A$504,F211)&gt;0),COUNTIF('Target &amp; Team Lists'!$E$5:$E$504,D211)&gt;0),"Yes","No")))</f>
        <v/>
      </c>
      <c r="P211" s="31"/>
    </row>
    <row r="212" customFormat="false" ht="15" hidden="false" customHeight="false" outlineLevel="0" collapsed="false">
      <c r="A212" s="34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2" t="str">
        <f aca="false">IF(D212="","",IF(SUM(H212:K212)&gt;0,1,0))</f>
        <v/>
      </c>
      <c r="N212" s="33" t="str">
        <f aca="false">IF(D212="","",IF(OR(COUNTIF('Target &amp; Team Lists'!$J$5:$J$204,D212)&gt;0,ISNUMBER(SEARCH("alpha nodus",F212))),"Yes","No"))</f>
        <v/>
      </c>
      <c r="O212" s="33" t="str">
        <f aca="false">IF(D212="","",IF(N212="Yes","No",IF(OR(AND(F212&lt;&gt;"",COUNTIF('Target &amp; Team Lists'!$A$5:$A$504,F212)&gt;0),COUNTIF('Target &amp; Team Lists'!$E$5:$E$504,D212)&gt;0),"Yes","No")))</f>
        <v/>
      </c>
      <c r="P212" s="31"/>
    </row>
    <row r="213" customFormat="false" ht="15" hidden="false" customHeight="false" outlineLevel="0" collapsed="false">
      <c r="A213" s="34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2" t="str">
        <f aca="false">IF(D213="","",IF(SUM(H213:K213)&gt;0,1,0))</f>
        <v/>
      </c>
      <c r="N213" s="33" t="str">
        <f aca="false">IF(D213="","",IF(OR(COUNTIF('Target &amp; Team Lists'!$J$5:$J$204,D213)&gt;0,ISNUMBER(SEARCH("alpha nodus",F213))),"Yes","No"))</f>
        <v/>
      </c>
      <c r="O213" s="33" t="str">
        <f aca="false">IF(D213="","",IF(N213="Yes","No",IF(OR(AND(F213&lt;&gt;"",COUNTIF('Target &amp; Team Lists'!$A$5:$A$504,F213)&gt;0),COUNTIF('Target &amp; Team Lists'!$E$5:$E$504,D213)&gt;0),"Yes","No")))</f>
        <v/>
      </c>
      <c r="P213" s="31"/>
    </row>
    <row r="214" customFormat="false" ht="15" hidden="false" customHeight="false" outlineLevel="0" collapsed="false">
      <c r="A214" s="34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2" t="str">
        <f aca="false">IF(D214="","",IF(SUM(H214:K214)&gt;0,1,0))</f>
        <v/>
      </c>
      <c r="N214" s="33" t="str">
        <f aca="false">IF(D214="","",IF(OR(COUNTIF('Target &amp; Team Lists'!$J$5:$J$204,D214)&gt;0,ISNUMBER(SEARCH("alpha nodus",F214))),"Yes","No"))</f>
        <v/>
      </c>
      <c r="O214" s="33" t="str">
        <f aca="false">IF(D214="","",IF(N214="Yes","No",IF(OR(AND(F214&lt;&gt;"",COUNTIF('Target &amp; Team Lists'!$A$5:$A$504,F214)&gt;0),COUNTIF('Target &amp; Team Lists'!$E$5:$E$504,D214)&gt;0),"Yes","No")))</f>
        <v/>
      </c>
      <c r="P214" s="31"/>
    </row>
    <row r="215" customFormat="false" ht="15" hidden="false" customHeight="false" outlineLevel="0" collapsed="false">
      <c r="A215" s="34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2" t="str">
        <f aca="false">IF(D215="","",IF(SUM(H215:K215)&gt;0,1,0))</f>
        <v/>
      </c>
      <c r="N215" s="33" t="str">
        <f aca="false">IF(D215="","",IF(OR(COUNTIF('Target &amp; Team Lists'!$J$5:$J$204,D215)&gt;0,ISNUMBER(SEARCH("alpha nodus",F215))),"Yes","No"))</f>
        <v/>
      </c>
      <c r="O215" s="33" t="str">
        <f aca="false">IF(D215="","",IF(N215="Yes","No",IF(OR(AND(F215&lt;&gt;"",COUNTIF('Target &amp; Team Lists'!$A$5:$A$504,F215)&gt;0),COUNTIF('Target &amp; Team Lists'!$E$5:$E$504,D215)&gt;0),"Yes","No")))</f>
        <v/>
      </c>
      <c r="P215" s="31"/>
    </row>
    <row r="216" customFormat="false" ht="15" hidden="false" customHeight="false" outlineLevel="0" collapsed="false">
      <c r="A216" s="34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2" t="str">
        <f aca="false">IF(D216="","",IF(SUM(H216:K216)&gt;0,1,0))</f>
        <v/>
      </c>
      <c r="N216" s="33" t="str">
        <f aca="false">IF(D216="","",IF(OR(COUNTIF('Target &amp; Team Lists'!$J$5:$J$204,D216)&gt;0,ISNUMBER(SEARCH("alpha nodus",F216))),"Yes","No"))</f>
        <v/>
      </c>
      <c r="O216" s="33" t="str">
        <f aca="false">IF(D216="","",IF(N216="Yes","No",IF(OR(AND(F216&lt;&gt;"",COUNTIF('Target &amp; Team Lists'!$A$5:$A$504,F216)&gt;0),COUNTIF('Target &amp; Team Lists'!$E$5:$E$504,D216)&gt;0),"Yes","No")))</f>
        <v/>
      </c>
      <c r="P216" s="31"/>
    </row>
    <row r="217" customFormat="false" ht="15" hidden="false" customHeight="false" outlineLevel="0" collapsed="false">
      <c r="A217" s="34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2" t="str">
        <f aca="false">IF(D217="","",IF(SUM(H217:K217)&gt;0,1,0))</f>
        <v/>
      </c>
      <c r="N217" s="33" t="str">
        <f aca="false">IF(D217="","",IF(OR(COUNTIF('Target &amp; Team Lists'!$J$5:$J$204,D217)&gt;0,ISNUMBER(SEARCH("alpha nodus",F217))),"Yes","No"))</f>
        <v/>
      </c>
      <c r="O217" s="33" t="str">
        <f aca="false">IF(D217="","",IF(N217="Yes","No",IF(OR(AND(F217&lt;&gt;"",COUNTIF('Target &amp; Team Lists'!$A$5:$A$504,F217)&gt;0),COUNTIF('Target &amp; Team Lists'!$E$5:$E$504,D217)&gt;0),"Yes","No")))</f>
        <v/>
      </c>
      <c r="P217" s="31"/>
    </row>
    <row r="218" customFormat="false" ht="15" hidden="false" customHeight="false" outlineLevel="0" collapsed="false">
      <c r="A218" s="34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2" t="str">
        <f aca="false">IF(D218="","",IF(SUM(H218:K218)&gt;0,1,0))</f>
        <v/>
      </c>
      <c r="N218" s="33" t="str">
        <f aca="false">IF(D218="","",IF(OR(COUNTIF('Target &amp; Team Lists'!$J$5:$J$204,D218)&gt;0,ISNUMBER(SEARCH("alpha nodus",F218))),"Yes","No"))</f>
        <v/>
      </c>
      <c r="O218" s="33" t="str">
        <f aca="false">IF(D218="","",IF(N218="Yes","No",IF(OR(AND(F218&lt;&gt;"",COUNTIF('Target &amp; Team Lists'!$A$5:$A$504,F218)&gt;0),COUNTIF('Target &amp; Team Lists'!$E$5:$E$504,D218)&gt;0),"Yes","No")))</f>
        <v/>
      </c>
      <c r="P218" s="31"/>
    </row>
    <row r="219" customFormat="false" ht="15" hidden="false" customHeight="false" outlineLevel="0" collapsed="false">
      <c r="A219" s="34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2" t="str">
        <f aca="false">IF(D219="","",IF(SUM(H219:K219)&gt;0,1,0))</f>
        <v/>
      </c>
      <c r="N219" s="33" t="str">
        <f aca="false">IF(D219="","",IF(OR(COUNTIF('Target &amp; Team Lists'!$J$5:$J$204,D219)&gt;0,ISNUMBER(SEARCH("alpha nodus",F219))),"Yes","No"))</f>
        <v/>
      </c>
      <c r="O219" s="33" t="str">
        <f aca="false">IF(D219="","",IF(N219="Yes","No",IF(OR(AND(F219&lt;&gt;"",COUNTIF('Target &amp; Team Lists'!$A$5:$A$504,F219)&gt;0),COUNTIF('Target &amp; Team Lists'!$E$5:$E$504,D219)&gt;0),"Yes","No")))</f>
        <v/>
      </c>
      <c r="P219" s="31"/>
    </row>
    <row r="220" customFormat="false" ht="15" hidden="false" customHeight="false" outlineLevel="0" collapsed="false">
      <c r="A220" s="34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2" t="str">
        <f aca="false">IF(D220="","",IF(SUM(H220:K220)&gt;0,1,0))</f>
        <v/>
      </c>
      <c r="N220" s="33" t="str">
        <f aca="false">IF(D220="","",IF(OR(COUNTIF('Target &amp; Team Lists'!$J$5:$J$204,D220)&gt;0,ISNUMBER(SEARCH("alpha nodus",F220))),"Yes","No"))</f>
        <v/>
      </c>
      <c r="O220" s="33" t="str">
        <f aca="false">IF(D220="","",IF(N220="Yes","No",IF(OR(AND(F220&lt;&gt;"",COUNTIF('Target &amp; Team Lists'!$A$5:$A$504,F220)&gt;0),COUNTIF('Target &amp; Team Lists'!$E$5:$E$504,D220)&gt;0),"Yes","No")))</f>
        <v/>
      </c>
      <c r="P220" s="31"/>
    </row>
    <row r="221" customFormat="false" ht="15" hidden="false" customHeight="false" outlineLevel="0" collapsed="false">
      <c r="A221" s="34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2" t="str">
        <f aca="false">IF(D221="","",IF(SUM(H221:K221)&gt;0,1,0))</f>
        <v/>
      </c>
      <c r="N221" s="33" t="str">
        <f aca="false">IF(D221="","",IF(OR(COUNTIF('Target &amp; Team Lists'!$J$5:$J$204,D221)&gt;0,ISNUMBER(SEARCH("alpha nodus",F221))),"Yes","No"))</f>
        <v/>
      </c>
      <c r="O221" s="33" t="str">
        <f aca="false">IF(D221="","",IF(N221="Yes","No",IF(OR(AND(F221&lt;&gt;"",COUNTIF('Target &amp; Team Lists'!$A$5:$A$504,F221)&gt;0),COUNTIF('Target &amp; Team Lists'!$E$5:$E$504,D221)&gt;0),"Yes","No")))</f>
        <v/>
      </c>
      <c r="P221" s="31"/>
    </row>
    <row r="222" customFormat="false" ht="15" hidden="false" customHeight="false" outlineLevel="0" collapsed="false">
      <c r="A222" s="34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2" t="str">
        <f aca="false">IF(D222="","",IF(SUM(H222:K222)&gt;0,1,0))</f>
        <v/>
      </c>
      <c r="N222" s="33" t="str">
        <f aca="false">IF(D222="","",IF(OR(COUNTIF('Target &amp; Team Lists'!$J$5:$J$204,D222)&gt;0,ISNUMBER(SEARCH("alpha nodus",F222))),"Yes","No"))</f>
        <v/>
      </c>
      <c r="O222" s="33" t="str">
        <f aca="false">IF(D222="","",IF(N222="Yes","No",IF(OR(AND(F222&lt;&gt;"",COUNTIF('Target &amp; Team Lists'!$A$5:$A$504,F222)&gt;0),COUNTIF('Target &amp; Team Lists'!$E$5:$E$504,D222)&gt;0),"Yes","No")))</f>
        <v/>
      </c>
      <c r="P222" s="31"/>
    </row>
    <row r="223" customFormat="false" ht="15" hidden="false" customHeight="false" outlineLevel="0" collapsed="false">
      <c r="A223" s="34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2" t="str">
        <f aca="false">IF(D223="","",IF(SUM(H223:K223)&gt;0,1,0))</f>
        <v/>
      </c>
      <c r="N223" s="33" t="str">
        <f aca="false">IF(D223="","",IF(OR(COUNTIF('Target &amp; Team Lists'!$J$5:$J$204,D223)&gt;0,ISNUMBER(SEARCH("alpha nodus",F223))),"Yes","No"))</f>
        <v/>
      </c>
      <c r="O223" s="33" t="str">
        <f aca="false">IF(D223="","",IF(N223="Yes","No",IF(OR(AND(F223&lt;&gt;"",COUNTIF('Target &amp; Team Lists'!$A$5:$A$504,F223)&gt;0),COUNTIF('Target &amp; Team Lists'!$E$5:$E$504,D223)&gt;0),"Yes","No")))</f>
        <v/>
      </c>
      <c r="P223" s="31"/>
    </row>
    <row r="224" customFormat="false" ht="15" hidden="false" customHeight="false" outlineLevel="0" collapsed="false">
      <c r="A224" s="34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2" t="str">
        <f aca="false">IF(D224="","",IF(SUM(H224:K224)&gt;0,1,0))</f>
        <v/>
      </c>
      <c r="N224" s="33" t="str">
        <f aca="false">IF(D224="","",IF(OR(COUNTIF('Target &amp; Team Lists'!$J$5:$J$204,D224)&gt;0,ISNUMBER(SEARCH("alpha nodus",F224))),"Yes","No"))</f>
        <v/>
      </c>
      <c r="O224" s="33" t="str">
        <f aca="false">IF(D224="","",IF(N224="Yes","No",IF(OR(AND(F224&lt;&gt;"",COUNTIF('Target &amp; Team Lists'!$A$5:$A$504,F224)&gt;0),COUNTIF('Target &amp; Team Lists'!$E$5:$E$504,D224)&gt;0),"Yes","No")))</f>
        <v/>
      </c>
      <c r="P224" s="31"/>
    </row>
    <row r="225" customFormat="false" ht="15" hidden="false" customHeight="false" outlineLevel="0" collapsed="false">
      <c r="A225" s="34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2" t="str">
        <f aca="false">IF(D225="","",IF(SUM(H225:K225)&gt;0,1,0))</f>
        <v/>
      </c>
      <c r="N225" s="33" t="str">
        <f aca="false">IF(D225="","",IF(OR(COUNTIF('Target &amp; Team Lists'!$J$5:$J$204,D225)&gt;0,ISNUMBER(SEARCH("alpha nodus",F225))),"Yes","No"))</f>
        <v/>
      </c>
      <c r="O225" s="33" t="str">
        <f aca="false">IF(D225="","",IF(N225="Yes","No",IF(OR(AND(F225&lt;&gt;"",COUNTIF('Target &amp; Team Lists'!$A$5:$A$504,F225)&gt;0),COUNTIF('Target &amp; Team Lists'!$E$5:$E$504,D225)&gt;0),"Yes","No")))</f>
        <v/>
      </c>
      <c r="P225" s="31"/>
    </row>
    <row r="226" customFormat="false" ht="15" hidden="false" customHeight="false" outlineLevel="0" collapsed="false">
      <c r="A226" s="34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2" t="str">
        <f aca="false">IF(D226="","",IF(SUM(H226:K226)&gt;0,1,0))</f>
        <v/>
      </c>
      <c r="N226" s="33" t="str">
        <f aca="false">IF(D226="","",IF(OR(COUNTIF('Target &amp; Team Lists'!$J$5:$J$204,D226)&gt;0,ISNUMBER(SEARCH("alpha nodus",F226))),"Yes","No"))</f>
        <v/>
      </c>
      <c r="O226" s="33" t="str">
        <f aca="false">IF(D226="","",IF(N226="Yes","No",IF(OR(AND(F226&lt;&gt;"",COUNTIF('Target &amp; Team Lists'!$A$5:$A$504,F226)&gt;0),COUNTIF('Target &amp; Team Lists'!$E$5:$E$504,D226)&gt;0),"Yes","No")))</f>
        <v/>
      </c>
      <c r="P226" s="31"/>
    </row>
    <row r="227" customFormat="false" ht="15" hidden="false" customHeight="false" outlineLevel="0" collapsed="false">
      <c r="A227" s="34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2" t="str">
        <f aca="false">IF(D227="","",IF(SUM(H227:K227)&gt;0,1,0))</f>
        <v/>
      </c>
      <c r="N227" s="33" t="str">
        <f aca="false">IF(D227="","",IF(OR(COUNTIF('Target &amp; Team Lists'!$J$5:$J$204,D227)&gt;0,ISNUMBER(SEARCH("alpha nodus",F227))),"Yes","No"))</f>
        <v/>
      </c>
      <c r="O227" s="33" t="str">
        <f aca="false">IF(D227="","",IF(N227="Yes","No",IF(OR(AND(F227&lt;&gt;"",COUNTIF('Target &amp; Team Lists'!$A$5:$A$504,F227)&gt;0),COUNTIF('Target &amp; Team Lists'!$E$5:$E$504,D227)&gt;0),"Yes","No")))</f>
        <v/>
      </c>
      <c r="P227" s="31"/>
    </row>
    <row r="228" customFormat="false" ht="15" hidden="false" customHeight="false" outlineLevel="0" collapsed="false">
      <c r="A228" s="34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2" t="str">
        <f aca="false">IF(D228="","",IF(SUM(H228:K228)&gt;0,1,0))</f>
        <v/>
      </c>
      <c r="N228" s="33" t="str">
        <f aca="false">IF(D228="","",IF(OR(COUNTIF('Target &amp; Team Lists'!$J$5:$J$204,D228)&gt;0,ISNUMBER(SEARCH("alpha nodus",F228))),"Yes","No"))</f>
        <v/>
      </c>
      <c r="O228" s="33" t="str">
        <f aca="false">IF(D228="","",IF(N228="Yes","No",IF(OR(AND(F228&lt;&gt;"",COUNTIF('Target &amp; Team Lists'!$A$5:$A$504,F228)&gt;0),COUNTIF('Target &amp; Team Lists'!$E$5:$E$504,D228)&gt;0),"Yes","No")))</f>
        <v/>
      </c>
      <c r="P228" s="31"/>
    </row>
    <row r="229" customFormat="false" ht="15" hidden="false" customHeight="false" outlineLevel="0" collapsed="false">
      <c r="A229" s="34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2" t="str">
        <f aca="false">IF(D229="","",IF(SUM(H229:K229)&gt;0,1,0))</f>
        <v/>
      </c>
      <c r="N229" s="33" t="str">
        <f aca="false">IF(D229="","",IF(OR(COUNTIF('Target &amp; Team Lists'!$J$5:$J$204,D229)&gt;0,ISNUMBER(SEARCH("alpha nodus",F229))),"Yes","No"))</f>
        <v/>
      </c>
      <c r="O229" s="33" t="str">
        <f aca="false">IF(D229="","",IF(N229="Yes","No",IF(OR(AND(F229&lt;&gt;"",COUNTIF('Target &amp; Team Lists'!$A$5:$A$504,F229)&gt;0),COUNTIF('Target &amp; Team Lists'!$E$5:$E$504,D229)&gt;0),"Yes","No")))</f>
        <v/>
      </c>
      <c r="P229" s="31"/>
    </row>
    <row r="230" customFormat="false" ht="15" hidden="false" customHeight="false" outlineLevel="0" collapsed="false">
      <c r="A230" s="34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2" t="str">
        <f aca="false">IF(D230="","",IF(SUM(H230:K230)&gt;0,1,0))</f>
        <v/>
      </c>
      <c r="N230" s="33" t="str">
        <f aca="false">IF(D230="","",IF(OR(COUNTIF('Target &amp; Team Lists'!$J$5:$J$204,D230)&gt;0,ISNUMBER(SEARCH("alpha nodus",F230))),"Yes","No"))</f>
        <v/>
      </c>
      <c r="O230" s="33" t="str">
        <f aca="false">IF(D230="","",IF(N230="Yes","No",IF(OR(AND(F230&lt;&gt;"",COUNTIF('Target &amp; Team Lists'!$A$5:$A$504,F230)&gt;0),COUNTIF('Target &amp; Team Lists'!$E$5:$E$504,D230)&gt;0),"Yes","No")))</f>
        <v/>
      </c>
      <c r="P230" s="31"/>
    </row>
    <row r="231" customFormat="false" ht="15" hidden="false" customHeight="false" outlineLevel="0" collapsed="false">
      <c r="A231" s="34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2" t="str">
        <f aca="false">IF(D231="","",IF(SUM(H231:K231)&gt;0,1,0))</f>
        <v/>
      </c>
      <c r="N231" s="33" t="str">
        <f aca="false">IF(D231="","",IF(OR(COUNTIF('Target &amp; Team Lists'!$J$5:$J$204,D231)&gt;0,ISNUMBER(SEARCH("alpha nodus",F231))),"Yes","No"))</f>
        <v/>
      </c>
      <c r="O231" s="33" t="str">
        <f aca="false">IF(D231="","",IF(N231="Yes","No",IF(OR(AND(F231&lt;&gt;"",COUNTIF('Target &amp; Team Lists'!$A$5:$A$504,F231)&gt;0),COUNTIF('Target &amp; Team Lists'!$E$5:$E$504,D231)&gt;0),"Yes","No")))</f>
        <v/>
      </c>
      <c r="P231" s="31"/>
    </row>
    <row r="232" customFormat="false" ht="15" hidden="false" customHeight="false" outlineLevel="0" collapsed="false">
      <c r="A232" s="34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2" t="str">
        <f aca="false">IF(D232="","",IF(SUM(H232:K232)&gt;0,1,0))</f>
        <v/>
      </c>
      <c r="N232" s="33" t="str">
        <f aca="false">IF(D232="","",IF(OR(COUNTIF('Target &amp; Team Lists'!$J$5:$J$204,D232)&gt;0,ISNUMBER(SEARCH("alpha nodus",F232))),"Yes","No"))</f>
        <v/>
      </c>
      <c r="O232" s="33" t="str">
        <f aca="false">IF(D232="","",IF(N232="Yes","No",IF(OR(AND(F232&lt;&gt;"",COUNTIF('Target &amp; Team Lists'!$A$5:$A$504,F232)&gt;0),COUNTIF('Target &amp; Team Lists'!$E$5:$E$504,D232)&gt;0),"Yes","No")))</f>
        <v/>
      </c>
      <c r="P232" s="31"/>
    </row>
    <row r="233" customFormat="false" ht="15" hidden="false" customHeight="false" outlineLevel="0" collapsed="false">
      <c r="A233" s="34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2" t="str">
        <f aca="false">IF(D233="","",IF(SUM(H233:K233)&gt;0,1,0))</f>
        <v/>
      </c>
      <c r="N233" s="33" t="str">
        <f aca="false">IF(D233="","",IF(OR(COUNTIF('Target &amp; Team Lists'!$J$5:$J$204,D233)&gt;0,ISNUMBER(SEARCH("alpha nodus",F233))),"Yes","No"))</f>
        <v/>
      </c>
      <c r="O233" s="33" t="str">
        <f aca="false">IF(D233="","",IF(N233="Yes","No",IF(OR(AND(F233&lt;&gt;"",COUNTIF('Target &amp; Team Lists'!$A$5:$A$504,F233)&gt;0),COUNTIF('Target &amp; Team Lists'!$E$5:$E$504,D233)&gt;0),"Yes","No")))</f>
        <v/>
      </c>
      <c r="P233" s="31"/>
    </row>
    <row r="234" customFormat="false" ht="15" hidden="false" customHeight="false" outlineLevel="0" collapsed="false">
      <c r="A234" s="34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2" t="str">
        <f aca="false">IF(D234="","",IF(SUM(H234:K234)&gt;0,1,0))</f>
        <v/>
      </c>
      <c r="N234" s="33" t="str">
        <f aca="false">IF(D234="","",IF(OR(COUNTIF('Target &amp; Team Lists'!$J$5:$J$204,D234)&gt;0,ISNUMBER(SEARCH("alpha nodus",F234))),"Yes","No"))</f>
        <v/>
      </c>
      <c r="O234" s="33" t="str">
        <f aca="false">IF(D234="","",IF(N234="Yes","No",IF(OR(AND(F234&lt;&gt;"",COUNTIF('Target &amp; Team Lists'!$A$5:$A$504,F234)&gt;0),COUNTIF('Target &amp; Team Lists'!$E$5:$E$504,D234)&gt;0),"Yes","No")))</f>
        <v/>
      </c>
      <c r="P234" s="31"/>
    </row>
    <row r="235" customFormat="false" ht="15" hidden="false" customHeight="false" outlineLevel="0" collapsed="false">
      <c r="A235" s="34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2" t="str">
        <f aca="false">IF(D235="","",IF(SUM(H235:K235)&gt;0,1,0))</f>
        <v/>
      </c>
      <c r="N235" s="33" t="str">
        <f aca="false">IF(D235="","",IF(OR(COUNTIF('Target &amp; Team Lists'!$J$5:$J$204,D235)&gt;0,ISNUMBER(SEARCH("alpha nodus",F235))),"Yes","No"))</f>
        <v/>
      </c>
      <c r="O235" s="33" t="str">
        <f aca="false">IF(D235="","",IF(N235="Yes","No",IF(OR(AND(F235&lt;&gt;"",COUNTIF('Target &amp; Team Lists'!$A$5:$A$504,F235)&gt;0),COUNTIF('Target &amp; Team Lists'!$E$5:$E$504,D235)&gt;0),"Yes","No")))</f>
        <v/>
      </c>
      <c r="P235" s="31"/>
    </row>
    <row r="236" customFormat="false" ht="15" hidden="false" customHeight="false" outlineLevel="0" collapsed="false">
      <c r="A236" s="34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2" t="str">
        <f aca="false">IF(D236="","",IF(SUM(H236:K236)&gt;0,1,0))</f>
        <v/>
      </c>
      <c r="N236" s="33" t="str">
        <f aca="false">IF(D236="","",IF(OR(COUNTIF('Target &amp; Team Lists'!$J$5:$J$204,D236)&gt;0,ISNUMBER(SEARCH("alpha nodus",F236))),"Yes","No"))</f>
        <v/>
      </c>
      <c r="O236" s="33" t="str">
        <f aca="false">IF(D236="","",IF(N236="Yes","No",IF(OR(AND(F236&lt;&gt;"",COUNTIF('Target &amp; Team Lists'!$A$5:$A$504,F236)&gt;0),COUNTIF('Target &amp; Team Lists'!$E$5:$E$504,D236)&gt;0),"Yes","No")))</f>
        <v/>
      </c>
      <c r="P236" s="31"/>
    </row>
    <row r="237" customFormat="false" ht="15" hidden="false" customHeight="false" outlineLevel="0" collapsed="false">
      <c r="A237" s="34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2" t="str">
        <f aca="false">IF(D237="","",IF(SUM(H237:K237)&gt;0,1,0))</f>
        <v/>
      </c>
      <c r="N237" s="33" t="str">
        <f aca="false">IF(D237="","",IF(OR(COUNTIF('Target &amp; Team Lists'!$J$5:$J$204,D237)&gt;0,ISNUMBER(SEARCH("alpha nodus",F237))),"Yes","No"))</f>
        <v/>
      </c>
      <c r="O237" s="33" t="str">
        <f aca="false">IF(D237="","",IF(N237="Yes","No",IF(OR(AND(F237&lt;&gt;"",COUNTIF('Target &amp; Team Lists'!$A$5:$A$504,F237)&gt;0),COUNTIF('Target &amp; Team Lists'!$E$5:$E$504,D237)&gt;0),"Yes","No")))</f>
        <v/>
      </c>
      <c r="P237" s="31"/>
    </row>
    <row r="238" customFormat="false" ht="15" hidden="false" customHeight="false" outlineLevel="0" collapsed="false">
      <c r="A238" s="34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2" t="str">
        <f aca="false">IF(D238="","",IF(SUM(H238:K238)&gt;0,1,0))</f>
        <v/>
      </c>
      <c r="N238" s="33" t="str">
        <f aca="false">IF(D238="","",IF(OR(COUNTIF('Target &amp; Team Lists'!$J$5:$J$204,D238)&gt;0,ISNUMBER(SEARCH("alpha nodus",F238))),"Yes","No"))</f>
        <v/>
      </c>
      <c r="O238" s="33" t="str">
        <f aca="false">IF(D238="","",IF(N238="Yes","No",IF(OR(AND(F238&lt;&gt;"",COUNTIF('Target &amp; Team Lists'!$A$5:$A$504,F238)&gt;0),COUNTIF('Target &amp; Team Lists'!$E$5:$E$504,D238)&gt;0),"Yes","No")))</f>
        <v/>
      </c>
      <c r="P238" s="31"/>
    </row>
    <row r="239" customFormat="false" ht="15" hidden="false" customHeight="false" outlineLevel="0" collapsed="false">
      <c r="A239" s="34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2" t="str">
        <f aca="false">IF(D239="","",IF(SUM(H239:K239)&gt;0,1,0))</f>
        <v/>
      </c>
      <c r="N239" s="33" t="str">
        <f aca="false">IF(D239="","",IF(OR(COUNTIF('Target &amp; Team Lists'!$J$5:$J$204,D239)&gt;0,ISNUMBER(SEARCH("alpha nodus",F239))),"Yes","No"))</f>
        <v/>
      </c>
      <c r="O239" s="33" t="str">
        <f aca="false">IF(D239="","",IF(N239="Yes","No",IF(OR(AND(F239&lt;&gt;"",COUNTIF('Target &amp; Team Lists'!$A$5:$A$504,F239)&gt;0),COUNTIF('Target &amp; Team Lists'!$E$5:$E$504,D239)&gt;0),"Yes","No")))</f>
        <v/>
      </c>
      <c r="P239" s="31"/>
    </row>
    <row r="240" customFormat="false" ht="15" hidden="false" customHeight="false" outlineLevel="0" collapsed="false">
      <c r="A240" s="34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2" t="str">
        <f aca="false">IF(D240="","",IF(SUM(H240:K240)&gt;0,1,0))</f>
        <v/>
      </c>
      <c r="N240" s="33" t="str">
        <f aca="false">IF(D240="","",IF(OR(COUNTIF('Target &amp; Team Lists'!$J$5:$J$204,D240)&gt;0,ISNUMBER(SEARCH("alpha nodus",F240))),"Yes","No"))</f>
        <v/>
      </c>
      <c r="O240" s="33" t="str">
        <f aca="false">IF(D240="","",IF(N240="Yes","No",IF(OR(AND(F240&lt;&gt;"",COUNTIF('Target &amp; Team Lists'!$A$5:$A$504,F240)&gt;0),COUNTIF('Target &amp; Team Lists'!$E$5:$E$504,D240)&gt;0),"Yes","No")))</f>
        <v/>
      </c>
      <c r="P240" s="31"/>
    </row>
    <row r="241" customFormat="false" ht="15" hidden="false" customHeight="false" outlineLevel="0" collapsed="false">
      <c r="A241" s="34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2" t="str">
        <f aca="false">IF(D241="","",IF(SUM(H241:K241)&gt;0,1,0))</f>
        <v/>
      </c>
      <c r="N241" s="33" t="str">
        <f aca="false">IF(D241="","",IF(OR(COUNTIF('Target &amp; Team Lists'!$J$5:$J$204,D241)&gt;0,ISNUMBER(SEARCH("alpha nodus",F241))),"Yes","No"))</f>
        <v/>
      </c>
      <c r="O241" s="33" t="str">
        <f aca="false">IF(D241="","",IF(N241="Yes","No",IF(OR(AND(F241&lt;&gt;"",COUNTIF('Target &amp; Team Lists'!$A$5:$A$504,F241)&gt;0),COUNTIF('Target &amp; Team Lists'!$E$5:$E$504,D241)&gt;0),"Yes","No")))</f>
        <v/>
      </c>
      <c r="P241" s="31"/>
    </row>
    <row r="242" customFormat="false" ht="15" hidden="false" customHeight="false" outlineLevel="0" collapsed="false">
      <c r="A242" s="34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2" t="str">
        <f aca="false">IF(D242="","",IF(SUM(H242:K242)&gt;0,1,0))</f>
        <v/>
      </c>
      <c r="N242" s="33" t="str">
        <f aca="false">IF(D242="","",IF(OR(COUNTIF('Target &amp; Team Lists'!$J$5:$J$204,D242)&gt;0,ISNUMBER(SEARCH("alpha nodus",F242))),"Yes","No"))</f>
        <v/>
      </c>
      <c r="O242" s="33" t="str">
        <f aca="false">IF(D242="","",IF(N242="Yes","No",IF(OR(AND(F242&lt;&gt;"",COUNTIF('Target &amp; Team Lists'!$A$5:$A$504,F242)&gt;0),COUNTIF('Target &amp; Team Lists'!$E$5:$E$504,D242)&gt;0),"Yes","No")))</f>
        <v/>
      </c>
      <c r="P242" s="31"/>
    </row>
    <row r="243" customFormat="false" ht="15" hidden="false" customHeight="false" outlineLevel="0" collapsed="false">
      <c r="A243" s="34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2" t="str">
        <f aca="false">IF(D243="","",IF(SUM(H243:K243)&gt;0,1,0))</f>
        <v/>
      </c>
      <c r="N243" s="33" t="str">
        <f aca="false">IF(D243="","",IF(OR(COUNTIF('Target &amp; Team Lists'!$J$5:$J$204,D243)&gt;0,ISNUMBER(SEARCH("alpha nodus",F243))),"Yes","No"))</f>
        <v/>
      </c>
      <c r="O243" s="33" t="str">
        <f aca="false">IF(D243="","",IF(N243="Yes","No",IF(OR(AND(F243&lt;&gt;"",COUNTIF('Target &amp; Team Lists'!$A$5:$A$504,F243)&gt;0),COUNTIF('Target &amp; Team Lists'!$E$5:$E$504,D243)&gt;0),"Yes","No")))</f>
        <v/>
      </c>
      <c r="P243" s="31"/>
    </row>
    <row r="244" customFormat="false" ht="15" hidden="false" customHeight="false" outlineLevel="0" collapsed="false">
      <c r="A244" s="34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2" t="str">
        <f aca="false">IF(D244="","",IF(SUM(H244:K244)&gt;0,1,0))</f>
        <v/>
      </c>
      <c r="N244" s="33" t="str">
        <f aca="false">IF(D244="","",IF(OR(COUNTIF('Target &amp; Team Lists'!$J$5:$J$204,D244)&gt;0,ISNUMBER(SEARCH("alpha nodus",F244))),"Yes","No"))</f>
        <v/>
      </c>
      <c r="O244" s="33" t="str">
        <f aca="false">IF(D244="","",IF(N244="Yes","No",IF(OR(AND(F244&lt;&gt;"",COUNTIF('Target &amp; Team Lists'!$A$5:$A$504,F244)&gt;0),COUNTIF('Target &amp; Team Lists'!$E$5:$E$504,D244)&gt;0),"Yes","No")))</f>
        <v/>
      </c>
      <c r="P244" s="31"/>
    </row>
    <row r="245" customFormat="false" ht="15" hidden="false" customHeight="false" outlineLevel="0" collapsed="false">
      <c r="A245" s="34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2" t="str">
        <f aca="false">IF(D245="","",IF(SUM(H245:K245)&gt;0,1,0))</f>
        <v/>
      </c>
      <c r="N245" s="33" t="str">
        <f aca="false">IF(D245="","",IF(OR(COUNTIF('Target &amp; Team Lists'!$J$5:$J$204,D245)&gt;0,ISNUMBER(SEARCH("alpha nodus",F245))),"Yes","No"))</f>
        <v/>
      </c>
      <c r="O245" s="33" t="str">
        <f aca="false">IF(D245="","",IF(N245="Yes","No",IF(OR(AND(F245&lt;&gt;"",COUNTIF('Target &amp; Team Lists'!$A$5:$A$504,F245)&gt;0),COUNTIF('Target &amp; Team Lists'!$E$5:$E$504,D245)&gt;0),"Yes","No")))</f>
        <v/>
      </c>
      <c r="P245" s="31"/>
    </row>
    <row r="246" customFormat="false" ht="15" hidden="false" customHeight="false" outlineLevel="0" collapsed="false">
      <c r="A246" s="34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2" t="str">
        <f aca="false">IF(D246="","",IF(SUM(H246:K246)&gt;0,1,0))</f>
        <v/>
      </c>
      <c r="N246" s="33" t="str">
        <f aca="false">IF(D246="","",IF(OR(COUNTIF('Target &amp; Team Lists'!$J$5:$J$204,D246)&gt;0,ISNUMBER(SEARCH("alpha nodus",F246))),"Yes","No"))</f>
        <v/>
      </c>
      <c r="O246" s="33" t="str">
        <f aca="false">IF(D246="","",IF(N246="Yes","No",IF(OR(AND(F246&lt;&gt;"",COUNTIF('Target &amp; Team Lists'!$A$5:$A$504,F246)&gt;0),COUNTIF('Target &amp; Team Lists'!$E$5:$E$504,D246)&gt;0),"Yes","No")))</f>
        <v/>
      </c>
      <c r="P246" s="31"/>
    </row>
    <row r="247" customFormat="false" ht="15" hidden="false" customHeight="false" outlineLevel="0" collapsed="false">
      <c r="A247" s="34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2" t="str">
        <f aca="false">IF(D247="","",IF(SUM(H247:K247)&gt;0,1,0))</f>
        <v/>
      </c>
      <c r="N247" s="33" t="str">
        <f aca="false">IF(D247="","",IF(OR(COUNTIF('Target &amp; Team Lists'!$J$5:$J$204,D247)&gt;0,ISNUMBER(SEARCH("alpha nodus",F247))),"Yes","No"))</f>
        <v/>
      </c>
      <c r="O247" s="33" t="str">
        <f aca="false">IF(D247="","",IF(N247="Yes","No",IF(OR(AND(F247&lt;&gt;"",COUNTIF('Target &amp; Team Lists'!$A$5:$A$504,F247)&gt;0),COUNTIF('Target &amp; Team Lists'!$E$5:$E$504,D247)&gt;0),"Yes","No")))</f>
        <v/>
      </c>
      <c r="P247" s="31"/>
    </row>
    <row r="248" customFormat="false" ht="15" hidden="false" customHeight="false" outlineLevel="0" collapsed="false">
      <c r="A248" s="34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2" t="str">
        <f aca="false">IF(D248="","",IF(SUM(H248:K248)&gt;0,1,0))</f>
        <v/>
      </c>
      <c r="N248" s="33" t="str">
        <f aca="false">IF(D248="","",IF(OR(COUNTIF('Target &amp; Team Lists'!$J$5:$J$204,D248)&gt;0,ISNUMBER(SEARCH("alpha nodus",F248))),"Yes","No"))</f>
        <v/>
      </c>
      <c r="O248" s="33" t="str">
        <f aca="false">IF(D248="","",IF(N248="Yes","No",IF(OR(AND(F248&lt;&gt;"",COUNTIF('Target &amp; Team Lists'!$A$5:$A$504,F248)&gt;0),COUNTIF('Target &amp; Team Lists'!$E$5:$E$504,D248)&gt;0),"Yes","No")))</f>
        <v/>
      </c>
      <c r="P248" s="31"/>
    </row>
    <row r="249" customFormat="false" ht="15" hidden="false" customHeight="false" outlineLevel="0" collapsed="false">
      <c r="A249" s="34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2" t="str">
        <f aca="false">IF(D249="","",IF(SUM(H249:K249)&gt;0,1,0))</f>
        <v/>
      </c>
      <c r="N249" s="33" t="str">
        <f aca="false">IF(D249="","",IF(OR(COUNTIF('Target &amp; Team Lists'!$J$5:$J$204,D249)&gt;0,ISNUMBER(SEARCH("alpha nodus",F249))),"Yes","No"))</f>
        <v/>
      </c>
      <c r="O249" s="33" t="str">
        <f aca="false">IF(D249="","",IF(N249="Yes","No",IF(OR(AND(F249&lt;&gt;"",COUNTIF('Target &amp; Team Lists'!$A$5:$A$504,F249)&gt;0),COUNTIF('Target &amp; Team Lists'!$E$5:$E$504,D249)&gt;0),"Yes","No")))</f>
        <v/>
      </c>
      <c r="P249" s="31"/>
    </row>
    <row r="250" customFormat="false" ht="15" hidden="false" customHeight="false" outlineLevel="0" collapsed="false">
      <c r="A250" s="34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2" t="str">
        <f aca="false">IF(D250="","",IF(SUM(H250:K250)&gt;0,1,0))</f>
        <v/>
      </c>
      <c r="N250" s="33" t="str">
        <f aca="false">IF(D250="","",IF(OR(COUNTIF('Target &amp; Team Lists'!$J$5:$J$204,D250)&gt;0,ISNUMBER(SEARCH("alpha nodus",F250))),"Yes","No"))</f>
        <v/>
      </c>
      <c r="O250" s="33" t="str">
        <f aca="false">IF(D250="","",IF(N250="Yes","No",IF(OR(AND(F250&lt;&gt;"",COUNTIF('Target &amp; Team Lists'!$A$5:$A$504,F250)&gt;0),COUNTIF('Target &amp; Team Lists'!$E$5:$E$504,D250)&gt;0),"Yes","No")))</f>
        <v/>
      </c>
      <c r="P250" s="31"/>
    </row>
    <row r="251" customFormat="false" ht="15" hidden="false" customHeight="false" outlineLevel="0" collapsed="false">
      <c r="A251" s="34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2" t="str">
        <f aca="false">IF(D251="","",IF(SUM(H251:K251)&gt;0,1,0))</f>
        <v/>
      </c>
      <c r="N251" s="33" t="str">
        <f aca="false">IF(D251="","",IF(OR(COUNTIF('Target &amp; Team Lists'!$J$5:$J$204,D251)&gt;0,ISNUMBER(SEARCH("alpha nodus",F251))),"Yes","No"))</f>
        <v/>
      </c>
      <c r="O251" s="33" t="str">
        <f aca="false">IF(D251="","",IF(N251="Yes","No",IF(OR(AND(F251&lt;&gt;"",COUNTIF('Target &amp; Team Lists'!$A$5:$A$504,F251)&gt;0),COUNTIF('Target &amp; Team Lists'!$E$5:$E$504,D251)&gt;0),"Yes","No")))</f>
        <v/>
      </c>
      <c r="P251" s="31"/>
    </row>
    <row r="252" customFormat="false" ht="15" hidden="false" customHeight="false" outlineLevel="0" collapsed="false">
      <c r="A252" s="34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2" t="str">
        <f aca="false">IF(D252="","",IF(SUM(H252:K252)&gt;0,1,0))</f>
        <v/>
      </c>
      <c r="N252" s="33" t="str">
        <f aca="false">IF(D252="","",IF(OR(COUNTIF('Target &amp; Team Lists'!$J$5:$J$204,D252)&gt;0,ISNUMBER(SEARCH("alpha nodus",F252))),"Yes","No"))</f>
        <v/>
      </c>
      <c r="O252" s="33" t="str">
        <f aca="false">IF(D252="","",IF(N252="Yes","No",IF(OR(AND(F252&lt;&gt;"",COUNTIF('Target &amp; Team Lists'!$A$5:$A$504,F252)&gt;0),COUNTIF('Target &amp; Team Lists'!$E$5:$E$504,D252)&gt;0),"Yes","No")))</f>
        <v/>
      </c>
      <c r="P252" s="31"/>
    </row>
    <row r="253" customFormat="false" ht="15" hidden="false" customHeight="false" outlineLevel="0" collapsed="false">
      <c r="A253" s="34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2" t="str">
        <f aca="false">IF(D253="","",IF(SUM(H253:K253)&gt;0,1,0))</f>
        <v/>
      </c>
      <c r="N253" s="33" t="str">
        <f aca="false">IF(D253="","",IF(OR(COUNTIF('Target &amp; Team Lists'!$J$5:$J$204,D253)&gt;0,ISNUMBER(SEARCH("alpha nodus",F253))),"Yes","No"))</f>
        <v/>
      </c>
      <c r="O253" s="33" t="str">
        <f aca="false">IF(D253="","",IF(N253="Yes","No",IF(OR(AND(F253&lt;&gt;"",COUNTIF('Target &amp; Team Lists'!$A$5:$A$504,F253)&gt;0),COUNTIF('Target &amp; Team Lists'!$E$5:$E$504,D253)&gt;0),"Yes","No")))</f>
        <v/>
      </c>
      <c r="P253" s="31"/>
    </row>
    <row r="254" customFormat="false" ht="15" hidden="false" customHeight="false" outlineLevel="0" collapsed="false">
      <c r="A254" s="34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2" t="str">
        <f aca="false">IF(D254="","",IF(SUM(H254:K254)&gt;0,1,0))</f>
        <v/>
      </c>
      <c r="N254" s="33" t="str">
        <f aca="false">IF(D254="","",IF(OR(COUNTIF('Target &amp; Team Lists'!$J$5:$J$204,D254)&gt;0,ISNUMBER(SEARCH("alpha nodus",F254))),"Yes","No"))</f>
        <v/>
      </c>
      <c r="O254" s="33" t="str">
        <f aca="false">IF(D254="","",IF(N254="Yes","No",IF(OR(AND(F254&lt;&gt;"",COUNTIF('Target &amp; Team Lists'!$A$5:$A$504,F254)&gt;0),COUNTIF('Target &amp; Team Lists'!$E$5:$E$504,D254)&gt;0),"Yes","No")))</f>
        <v/>
      </c>
      <c r="P254" s="31"/>
    </row>
    <row r="255" customFormat="false" ht="15" hidden="false" customHeight="false" outlineLevel="0" collapsed="false">
      <c r="A255" s="34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2" t="str">
        <f aca="false">IF(D255="","",IF(SUM(H255:K255)&gt;0,1,0))</f>
        <v/>
      </c>
      <c r="N255" s="33" t="str">
        <f aca="false">IF(D255="","",IF(OR(COUNTIF('Target &amp; Team Lists'!$J$5:$J$204,D255)&gt;0,ISNUMBER(SEARCH("alpha nodus",F255))),"Yes","No"))</f>
        <v/>
      </c>
      <c r="O255" s="33" t="str">
        <f aca="false">IF(D255="","",IF(N255="Yes","No",IF(OR(AND(F255&lt;&gt;"",COUNTIF('Target &amp; Team Lists'!$A$5:$A$504,F255)&gt;0),COUNTIF('Target &amp; Team Lists'!$E$5:$E$504,D255)&gt;0),"Yes","No")))</f>
        <v/>
      </c>
      <c r="P255" s="31"/>
    </row>
    <row r="256" customFormat="false" ht="15" hidden="false" customHeight="false" outlineLevel="0" collapsed="false">
      <c r="A256" s="34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2" t="str">
        <f aca="false">IF(D256="","",IF(SUM(H256:K256)&gt;0,1,0))</f>
        <v/>
      </c>
      <c r="N256" s="33" t="str">
        <f aca="false">IF(D256="","",IF(OR(COUNTIF('Target &amp; Team Lists'!$J$5:$J$204,D256)&gt;0,ISNUMBER(SEARCH("alpha nodus",F256))),"Yes","No"))</f>
        <v/>
      </c>
      <c r="O256" s="33" t="str">
        <f aca="false">IF(D256="","",IF(N256="Yes","No",IF(OR(AND(F256&lt;&gt;"",COUNTIF('Target &amp; Team Lists'!$A$5:$A$504,F256)&gt;0),COUNTIF('Target &amp; Team Lists'!$E$5:$E$504,D256)&gt;0),"Yes","No")))</f>
        <v/>
      </c>
      <c r="P256" s="31"/>
    </row>
    <row r="257" customFormat="false" ht="15" hidden="false" customHeight="false" outlineLevel="0" collapsed="false">
      <c r="A257" s="34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2" t="str">
        <f aca="false">IF(D257="","",IF(SUM(H257:K257)&gt;0,1,0))</f>
        <v/>
      </c>
      <c r="N257" s="33" t="str">
        <f aca="false">IF(D257="","",IF(OR(COUNTIF('Target &amp; Team Lists'!$J$5:$J$204,D257)&gt;0,ISNUMBER(SEARCH("alpha nodus",F257))),"Yes","No"))</f>
        <v/>
      </c>
      <c r="O257" s="33" t="str">
        <f aca="false">IF(D257="","",IF(N257="Yes","No",IF(OR(AND(F257&lt;&gt;"",COUNTIF('Target &amp; Team Lists'!$A$5:$A$504,F257)&gt;0),COUNTIF('Target &amp; Team Lists'!$E$5:$E$504,D257)&gt;0),"Yes","No")))</f>
        <v/>
      </c>
      <c r="P257" s="31"/>
    </row>
    <row r="258" customFormat="false" ht="15" hidden="false" customHeight="false" outlineLevel="0" collapsed="false">
      <c r="A258" s="34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2" t="str">
        <f aca="false">IF(D258="","",IF(SUM(H258:K258)&gt;0,1,0))</f>
        <v/>
      </c>
      <c r="N258" s="33" t="str">
        <f aca="false">IF(D258="","",IF(OR(COUNTIF('Target &amp; Team Lists'!$J$5:$J$204,D258)&gt;0,ISNUMBER(SEARCH("alpha nodus",F258))),"Yes","No"))</f>
        <v/>
      </c>
      <c r="O258" s="33" t="str">
        <f aca="false">IF(D258="","",IF(N258="Yes","No",IF(OR(AND(F258&lt;&gt;"",COUNTIF('Target &amp; Team Lists'!$A$5:$A$504,F258)&gt;0),COUNTIF('Target &amp; Team Lists'!$E$5:$E$504,D258)&gt;0),"Yes","No")))</f>
        <v/>
      </c>
      <c r="P258" s="31"/>
    </row>
    <row r="259" customFormat="false" ht="15" hidden="false" customHeight="false" outlineLevel="0" collapsed="false">
      <c r="A259" s="34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2" t="str">
        <f aca="false">IF(D259="","",IF(SUM(H259:K259)&gt;0,1,0))</f>
        <v/>
      </c>
      <c r="N259" s="33" t="str">
        <f aca="false">IF(D259="","",IF(OR(COUNTIF('Target &amp; Team Lists'!$J$5:$J$204,D259)&gt;0,ISNUMBER(SEARCH("alpha nodus",F259))),"Yes","No"))</f>
        <v/>
      </c>
      <c r="O259" s="33" t="str">
        <f aca="false">IF(D259="","",IF(N259="Yes","No",IF(OR(AND(F259&lt;&gt;"",COUNTIF('Target &amp; Team Lists'!$A$5:$A$504,F259)&gt;0),COUNTIF('Target &amp; Team Lists'!$E$5:$E$504,D259)&gt;0),"Yes","No")))</f>
        <v/>
      </c>
      <c r="P259" s="31"/>
    </row>
    <row r="260" customFormat="false" ht="15" hidden="false" customHeight="false" outlineLevel="0" collapsed="false">
      <c r="A260" s="34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2" t="str">
        <f aca="false">IF(D260="","",IF(SUM(H260:K260)&gt;0,1,0))</f>
        <v/>
      </c>
      <c r="N260" s="33" t="str">
        <f aca="false">IF(D260="","",IF(OR(COUNTIF('Target &amp; Team Lists'!$J$5:$J$204,D260)&gt;0,ISNUMBER(SEARCH("alpha nodus",F260))),"Yes","No"))</f>
        <v/>
      </c>
      <c r="O260" s="33" t="str">
        <f aca="false">IF(D260="","",IF(N260="Yes","No",IF(OR(AND(F260&lt;&gt;"",COUNTIF('Target &amp; Team Lists'!$A$5:$A$504,F260)&gt;0),COUNTIF('Target &amp; Team Lists'!$E$5:$E$504,D260)&gt;0),"Yes","No")))</f>
        <v/>
      </c>
      <c r="P260" s="31"/>
    </row>
    <row r="261" customFormat="false" ht="15" hidden="false" customHeight="false" outlineLevel="0" collapsed="false">
      <c r="A261" s="34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2" t="str">
        <f aca="false">IF(D261="","",IF(SUM(H261:K261)&gt;0,1,0))</f>
        <v/>
      </c>
      <c r="N261" s="33" t="str">
        <f aca="false">IF(D261="","",IF(OR(COUNTIF('Target &amp; Team Lists'!$J$5:$J$204,D261)&gt;0,ISNUMBER(SEARCH("alpha nodus",F261))),"Yes","No"))</f>
        <v/>
      </c>
      <c r="O261" s="33" t="str">
        <f aca="false">IF(D261="","",IF(N261="Yes","No",IF(OR(AND(F261&lt;&gt;"",COUNTIF('Target &amp; Team Lists'!$A$5:$A$504,F261)&gt;0),COUNTIF('Target &amp; Team Lists'!$E$5:$E$504,D261)&gt;0),"Yes","No")))</f>
        <v/>
      </c>
      <c r="P261" s="31"/>
    </row>
    <row r="262" customFormat="false" ht="15" hidden="false" customHeight="false" outlineLevel="0" collapsed="false">
      <c r="A262" s="34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2" t="str">
        <f aca="false">IF(D262="","",IF(SUM(H262:K262)&gt;0,1,0))</f>
        <v/>
      </c>
      <c r="N262" s="33" t="str">
        <f aca="false">IF(D262="","",IF(OR(COUNTIF('Target &amp; Team Lists'!$J$5:$J$204,D262)&gt;0,ISNUMBER(SEARCH("alpha nodus",F262))),"Yes","No"))</f>
        <v/>
      </c>
      <c r="O262" s="33" t="str">
        <f aca="false">IF(D262="","",IF(N262="Yes","No",IF(OR(AND(F262&lt;&gt;"",COUNTIF('Target &amp; Team Lists'!$A$5:$A$504,F262)&gt;0),COUNTIF('Target &amp; Team Lists'!$E$5:$E$504,D262)&gt;0),"Yes","No")))</f>
        <v/>
      </c>
      <c r="P262" s="31"/>
    </row>
    <row r="263" customFormat="false" ht="15" hidden="false" customHeight="false" outlineLevel="0" collapsed="false">
      <c r="A263" s="34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2" t="str">
        <f aca="false">IF(D263="","",IF(SUM(H263:K263)&gt;0,1,0))</f>
        <v/>
      </c>
      <c r="N263" s="33" t="str">
        <f aca="false">IF(D263="","",IF(OR(COUNTIF('Target &amp; Team Lists'!$J$5:$J$204,D263)&gt;0,ISNUMBER(SEARCH("alpha nodus",F263))),"Yes","No"))</f>
        <v/>
      </c>
      <c r="O263" s="33" t="str">
        <f aca="false">IF(D263="","",IF(N263="Yes","No",IF(OR(AND(F263&lt;&gt;"",COUNTIF('Target &amp; Team Lists'!$A$5:$A$504,F263)&gt;0),COUNTIF('Target &amp; Team Lists'!$E$5:$E$504,D263)&gt;0),"Yes","No")))</f>
        <v/>
      </c>
      <c r="P263" s="31"/>
    </row>
    <row r="264" customFormat="false" ht="15" hidden="false" customHeight="false" outlineLevel="0" collapsed="false">
      <c r="A264" s="34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2" t="str">
        <f aca="false">IF(D264="","",IF(SUM(H264:K264)&gt;0,1,0))</f>
        <v/>
      </c>
      <c r="N264" s="33" t="str">
        <f aca="false">IF(D264="","",IF(OR(COUNTIF('Target &amp; Team Lists'!$J$5:$J$204,D264)&gt;0,ISNUMBER(SEARCH("alpha nodus",F264))),"Yes","No"))</f>
        <v/>
      </c>
      <c r="O264" s="33" t="str">
        <f aca="false">IF(D264="","",IF(N264="Yes","No",IF(OR(AND(F264&lt;&gt;"",COUNTIF('Target &amp; Team Lists'!$A$5:$A$504,F264)&gt;0),COUNTIF('Target &amp; Team Lists'!$E$5:$E$504,D264)&gt;0),"Yes","No")))</f>
        <v/>
      </c>
      <c r="P264" s="31"/>
    </row>
    <row r="265" customFormat="false" ht="15" hidden="false" customHeight="false" outlineLevel="0" collapsed="false">
      <c r="A265" s="34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2" t="str">
        <f aca="false">IF(D265="","",IF(SUM(H265:K265)&gt;0,1,0))</f>
        <v/>
      </c>
      <c r="N265" s="33" t="str">
        <f aca="false">IF(D265="","",IF(OR(COUNTIF('Target &amp; Team Lists'!$J$5:$J$204,D265)&gt;0,ISNUMBER(SEARCH("alpha nodus",F265))),"Yes","No"))</f>
        <v/>
      </c>
      <c r="O265" s="33" t="str">
        <f aca="false">IF(D265="","",IF(N265="Yes","No",IF(OR(AND(F265&lt;&gt;"",COUNTIF('Target &amp; Team Lists'!$A$5:$A$504,F265)&gt;0),COUNTIF('Target &amp; Team Lists'!$E$5:$E$504,D265)&gt;0),"Yes","No")))</f>
        <v/>
      </c>
      <c r="P265" s="31"/>
    </row>
    <row r="266" customFormat="false" ht="15" hidden="false" customHeight="false" outlineLevel="0" collapsed="false">
      <c r="A266" s="34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2" t="str">
        <f aca="false">IF(D266="","",IF(SUM(H266:K266)&gt;0,1,0))</f>
        <v/>
      </c>
      <c r="N266" s="33" t="str">
        <f aca="false">IF(D266="","",IF(OR(COUNTIF('Target &amp; Team Lists'!$J$5:$J$204,D266)&gt;0,ISNUMBER(SEARCH("alpha nodus",F266))),"Yes","No"))</f>
        <v/>
      </c>
      <c r="O266" s="33" t="str">
        <f aca="false">IF(D266="","",IF(N266="Yes","No",IF(OR(AND(F266&lt;&gt;"",COUNTIF('Target &amp; Team Lists'!$A$5:$A$504,F266)&gt;0),COUNTIF('Target &amp; Team Lists'!$E$5:$E$504,D266)&gt;0),"Yes","No")))</f>
        <v/>
      </c>
      <c r="P266" s="31"/>
    </row>
    <row r="267" customFormat="false" ht="15" hidden="false" customHeight="false" outlineLevel="0" collapsed="false">
      <c r="A267" s="34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2" t="str">
        <f aca="false">IF(D267="","",IF(SUM(H267:K267)&gt;0,1,0))</f>
        <v/>
      </c>
      <c r="N267" s="33" t="str">
        <f aca="false">IF(D267="","",IF(OR(COUNTIF('Target &amp; Team Lists'!$J$5:$J$204,D267)&gt;0,ISNUMBER(SEARCH("alpha nodus",F267))),"Yes","No"))</f>
        <v/>
      </c>
      <c r="O267" s="33" t="str">
        <f aca="false">IF(D267="","",IF(N267="Yes","No",IF(OR(AND(F267&lt;&gt;"",COUNTIF('Target &amp; Team Lists'!$A$5:$A$504,F267)&gt;0),COUNTIF('Target &amp; Team Lists'!$E$5:$E$504,D267)&gt;0),"Yes","No")))</f>
        <v/>
      </c>
      <c r="P267" s="31"/>
    </row>
    <row r="268" customFormat="false" ht="15" hidden="false" customHeight="false" outlineLevel="0" collapsed="false">
      <c r="A268" s="34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2" t="str">
        <f aca="false">IF(D268="","",IF(SUM(H268:K268)&gt;0,1,0))</f>
        <v/>
      </c>
      <c r="N268" s="33" t="str">
        <f aca="false">IF(D268="","",IF(OR(COUNTIF('Target &amp; Team Lists'!$J$5:$J$204,D268)&gt;0,ISNUMBER(SEARCH("alpha nodus",F268))),"Yes","No"))</f>
        <v/>
      </c>
      <c r="O268" s="33" t="str">
        <f aca="false">IF(D268="","",IF(N268="Yes","No",IF(OR(AND(F268&lt;&gt;"",COUNTIF('Target &amp; Team Lists'!$A$5:$A$504,F268)&gt;0),COUNTIF('Target &amp; Team Lists'!$E$5:$E$504,D268)&gt;0),"Yes","No")))</f>
        <v/>
      </c>
      <c r="P268" s="31"/>
    </row>
    <row r="269" customFormat="false" ht="15" hidden="false" customHeight="false" outlineLevel="0" collapsed="false">
      <c r="A269" s="34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2" t="str">
        <f aca="false">IF(D269="","",IF(SUM(H269:K269)&gt;0,1,0))</f>
        <v/>
      </c>
      <c r="N269" s="33" t="str">
        <f aca="false">IF(D269="","",IF(OR(COUNTIF('Target &amp; Team Lists'!$J$5:$J$204,D269)&gt;0,ISNUMBER(SEARCH("alpha nodus",F269))),"Yes","No"))</f>
        <v/>
      </c>
      <c r="O269" s="33" t="str">
        <f aca="false">IF(D269="","",IF(N269="Yes","No",IF(OR(AND(F269&lt;&gt;"",COUNTIF('Target &amp; Team Lists'!$A$5:$A$504,F269)&gt;0),COUNTIF('Target &amp; Team Lists'!$E$5:$E$504,D269)&gt;0),"Yes","No")))</f>
        <v/>
      </c>
      <c r="P269" s="31"/>
    </row>
    <row r="270" customFormat="false" ht="15" hidden="false" customHeight="false" outlineLevel="0" collapsed="false">
      <c r="A270" s="34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2" t="str">
        <f aca="false">IF(D270="","",IF(SUM(H270:K270)&gt;0,1,0))</f>
        <v/>
      </c>
      <c r="N270" s="33" t="str">
        <f aca="false">IF(D270="","",IF(OR(COUNTIF('Target &amp; Team Lists'!$J$5:$J$204,D270)&gt;0,ISNUMBER(SEARCH("alpha nodus",F270))),"Yes","No"))</f>
        <v/>
      </c>
      <c r="O270" s="33" t="str">
        <f aca="false">IF(D270="","",IF(N270="Yes","No",IF(OR(AND(F270&lt;&gt;"",COUNTIF('Target &amp; Team Lists'!$A$5:$A$504,F270)&gt;0),COUNTIF('Target &amp; Team Lists'!$E$5:$E$504,D270)&gt;0),"Yes","No")))</f>
        <v/>
      </c>
      <c r="P270" s="31"/>
    </row>
    <row r="271" customFormat="false" ht="15" hidden="false" customHeight="false" outlineLevel="0" collapsed="false">
      <c r="A271" s="34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2" t="str">
        <f aca="false">IF(D271="","",IF(SUM(H271:K271)&gt;0,1,0))</f>
        <v/>
      </c>
      <c r="N271" s="33" t="str">
        <f aca="false">IF(D271="","",IF(OR(COUNTIF('Target &amp; Team Lists'!$J$5:$J$204,D271)&gt;0,ISNUMBER(SEARCH("alpha nodus",F271))),"Yes","No"))</f>
        <v/>
      </c>
      <c r="O271" s="33" t="str">
        <f aca="false">IF(D271="","",IF(N271="Yes","No",IF(OR(AND(F271&lt;&gt;"",COUNTIF('Target &amp; Team Lists'!$A$5:$A$504,F271)&gt;0),COUNTIF('Target &amp; Team Lists'!$E$5:$E$504,D271)&gt;0),"Yes","No")))</f>
        <v/>
      </c>
      <c r="P271" s="31"/>
    </row>
    <row r="272" customFormat="false" ht="15" hidden="false" customHeight="false" outlineLevel="0" collapsed="false">
      <c r="A272" s="34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2" t="str">
        <f aca="false">IF(D272="","",IF(SUM(H272:K272)&gt;0,1,0))</f>
        <v/>
      </c>
      <c r="N272" s="33" t="str">
        <f aca="false">IF(D272="","",IF(OR(COUNTIF('Target &amp; Team Lists'!$J$5:$J$204,D272)&gt;0,ISNUMBER(SEARCH("alpha nodus",F272))),"Yes","No"))</f>
        <v/>
      </c>
      <c r="O272" s="33" t="str">
        <f aca="false">IF(D272="","",IF(N272="Yes","No",IF(OR(AND(F272&lt;&gt;"",COUNTIF('Target &amp; Team Lists'!$A$5:$A$504,F272)&gt;0),COUNTIF('Target &amp; Team Lists'!$E$5:$E$504,D272)&gt;0),"Yes","No")))</f>
        <v/>
      </c>
      <c r="P272" s="31"/>
    </row>
    <row r="273" customFormat="false" ht="15" hidden="false" customHeight="false" outlineLevel="0" collapsed="false">
      <c r="A273" s="34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2" t="str">
        <f aca="false">IF(D273="","",IF(SUM(H273:K273)&gt;0,1,0))</f>
        <v/>
      </c>
      <c r="N273" s="33" t="str">
        <f aca="false">IF(D273="","",IF(OR(COUNTIF('Target &amp; Team Lists'!$J$5:$J$204,D273)&gt;0,ISNUMBER(SEARCH("alpha nodus",F273))),"Yes","No"))</f>
        <v/>
      </c>
      <c r="O273" s="33" t="str">
        <f aca="false">IF(D273="","",IF(N273="Yes","No",IF(OR(AND(F273&lt;&gt;"",COUNTIF('Target &amp; Team Lists'!$A$5:$A$504,F273)&gt;0),COUNTIF('Target &amp; Team Lists'!$E$5:$E$504,D273)&gt;0),"Yes","No")))</f>
        <v/>
      </c>
      <c r="P273" s="31"/>
    </row>
    <row r="274" customFormat="false" ht="15" hidden="false" customHeight="false" outlineLevel="0" collapsed="false">
      <c r="A274" s="34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2" t="str">
        <f aca="false">IF(D274="","",IF(SUM(H274:K274)&gt;0,1,0))</f>
        <v/>
      </c>
      <c r="N274" s="33" t="str">
        <f aca="false">IF(D274="","",IF(OR(COUNTIF('Target &amp; Team Lists'!$J$5:$J$204,D274)&gt;0,ISNUMBER(SEARCH("alpha nodus",F274))),"Yes","No"))</f>
        <v/>
      </c>
      <c r="O274" s="33" t="str">
        <f aca="false">IF(D274="","",IF(N274="Yes","No",IF(OR(AND(F274&lt;&gt;"",COUNTIF('Target &amp; Team Lists'!$A$5:$A$504,F274)&gt;0),COUNTIF('Target &amp; Team Lists'!$E$5:$E$504,D274)&gt;0),"Yes","No")))</f>
        <v/>
      </c>
      <c r="P274" s="31"/>
    </row>
    <row r="275" customFormat="false" ht="15" hidden="false" customHeight="false" outlineLevel="0" collapsed="false">
      <c r="A275" s="34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2" t="str">
        <f aca="false">IF(D275="","",IF(SUM(H275:K275)&gt;0,1,0))</f>
        <v/>
      </c>
      <c r="N275" s="33" t="str">
        <f aca="false">IF(D275="","",IF(OR(COUNTIF('Target &amp; Team Lists'!$J$5:$J$204,D275)&gt;0,ISNUMBER(SEARCH("alpha nodus",F275))),"Yes","No"))</f>
        <v/>
      </c>
      <c r="O275" s="33" t="str">
        <f aca="false">IF(D275="","",IF(N275="Yes","No",IF(OR(AND(F275&lt;&gt;"",COUNTIF('Target &amp; Team Lists'!$A$5:$A$504,F275)&gt;0),COUNTIF('Target &amp; Team Lists'!$E$5:$E$504,D275)&gt;0),"Yes","No")))</f>
        <v/>
      </c>
      <c r="P275" s="31"/>
    </row>
    <row r="276" customFormat="false" ht="15" hidden="false" customHeight="false" outlineLevel="0" collapsed="false">
      <c r="A276" s="34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2" t="str">
        <f aca="false">IF(D276="","",IF(SUM(H276:K276)&gt;0,1,0))</f>
        <v/>
      </c>
      <c r="N276" s="33" t="str">
        <f aca="false">IF(D276="","",IF(OR(COUNTIF('Target &amp; Team Lists'!$J$5:$J$204,D276)&gt;0,ISNUMBER(SEARCH("alpha nodus",F276))),"Yes","No"))</f>
        <v/>
      </c>
      <c r="O276" s="33" t="str">
        <f aca="false">IF(D276="","",IF(N276="Yes","No",IF(OR(AND(F276&lt;&gt;"",COUNTIF('Target &amp; Team Lists'!$A$5:$A$504,F276)&gt;0),COUNTIF('Target &amp; Team Lists'!$E$5:$E$504,D276)&gt;0),"Yes","No")))</f>
        <v/>
      </c>
      <c r="P276" s="31"/>
    </row>
    <row r="277" customFormat="false" ht="15" hidden="false" customHeight="false" outlineLevel="0" collapsed="false">
      <c r="A277" s="34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2" t="str">
        <f aca="false">IF(D277="","",IF(SUM(H277:K277)&gt;0,1,0))</f>
        <v/>
      </c>
      <c r="N277" s="33" t="str">
        <f aca="false">IF(D277="","",IF(OR(COUNTIF('Target &amp; Team Lists'!$J$5:$J$204,D277)&gt;0,ISNUMBER(SEARCH("alpha nodus",F277))),"Yes","No"))</f>
        <v/>
      </c>
      <c r="O277" s="33" t="str">
        <f aca="false">IF(D277="","",IF(N277="Yes","No",IF(OR(AND(F277&lt;&gt;"",COUNTIF('Target &amp; Team Lists'!$A$5:$A$504,F277)&gt;0),COUNTIF('Target &amp; Team Lists'!$E$5:$E$504,D277)&gt;0),"Yes","No")))</f>
        <v/>
      </c>
      <c r="P277" s="31"/>
    </row>
    <row r="278" customFormat="false" ht="15" hidden="false" customHeight="false" outlineLevel="0" collapsed="false">
      <c r="A278" s="34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2" t="str">
        <f aca="false">IF(D278="","",IF(SUM(H278:K278)&gt;0,1,0))</f>
        <v/>
      </c>
      <c r="N278" s="33" t="str">
        <f aca="false">IF(D278="","",IF(OR(COUNTIF('Target &amp; Team Lists'!$J$5:$J$204,D278)&gt;0,ISNUMBER(SEARCH("alpha nodus",F278))),"Yes","No"))</f>
        <v/>
      </c>
      <c r="O278" s="33" t="str">
        <f aca="false">IF(D278="","",IF(N278="Yes","No",IF(OR(AND(F278&lt;&gt;"",COUNTIF('Target &amp; Team Lists'!$A$5:$A$504,F278)&gt;0),COUNTIF('Target &amp; Team Lists'!$E$5:$E$504,D278)&gt;0),"Yes","No")))</f>
        <v/>
      </c>
      <c r="P278" s="31"/>
    </row>
    <row r="279" customFormat="false" ht="15" hidden="false" customHeight="false" outlineLevel="0" collapsed="false">
      <c r="A279" s="34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2" t="str">
        <f aca="false">IF(D279="","",IF(SUM(H279:K279)&gt;0,1,0))</f>
        <v/>
      </c>
      <c r="N279" s="33" t="str">
        <f aca="false">IF(D279="","",IF(OR(COUNTIF('Target &amp; Team Lists'!$J$5:$J$204,D279)&gt;0,ISNUMBER(SEARCH("alpha nodus",F279))),"Yes","No"))</f>
        <v/>
      </c>
      <c r="O279" s="33" t="str">
        <f aca="false">IF(D279="","",IF(N279="Yes","No",IF(OR(AND(F279&lt;&gt;"",COUNTIF('Target &amp; Team Lists'!$A$5:$A$504,F279)&gt;0),COUNTIF('Target &amp; Team Lists'!$E$5:$E$504,D279)&gt;0),"Yes","No")))</f>
        <v/>
      </c>
      <c r="P279" s="31"/>
    </row>
    <row r="280" customFormat="false" ht="15" hidden="false" customHeight="false" outlineLevel="0" collapsed="false">
      <c r="A280" s="34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2" t="str">
        <f aca="false">IF(D280="","",IF(SUM(H280:K280)&gt;0,1,0))</f>
        <v/>
      </c>
      <c r="N280" s="33" t="str">
        <f aca="false">IF(D280="","",IF(OR(COUNTIF('Target &amp; Team Lists'!$J$5:$J$204,D280)&gt;0,ISNUMBER(SEARCH("alpha nodus",F280))),"Yes","No"))</f>
        <v/>
      </c>
      <c r="O280" s="33" t="str">
        <f aca="false">IF(D280="","",IF(N280="Yes","No",IF(OR(AND(F280&lt;&gt;"",COUNTIF('Target &amp; Team Lists'!$A$5:$A$504,F280)&gt;0),COUNTIF('Target &amp; Team Lists'!$E$5:$E$504,D280)&gt;0),"Yes","No")))</f>
        <v/>
      </c>
      <c r="P280" s="31"/>
    </row>
    <row r="281" customFormat="false" ht="15" hidden="false" customHeight="false" outlineLevel="0" collapsed="false">
      <c r="A281" s="34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2" t="str">
        <f aca="false">IF(D281="","",IF(SUM(H281:K281)&gt;0,1,0))</f>
        <v/>
      </c>
      <c r="N281" s="33" t="str">
        <f aca="false">IF(D281="","",IF(OR(COUNTIF('Target &amp; Team Lists'!$J$5:$J$204,D281)&gt;0,ISNUMBER(SEARCH("alpha nodus",F281))),"Yes","No"))</f>
        <v/>
      </c>
      <c r="O281" s="33" t="str">
        <f aca="false">IF(D281="","",IF(N281="Yes","No",IF(OR(AND(F281&lt;&gt;"",COUNTIF('Target &amp; Team Lists'!$A$5:$A$504,F281)&gt;0),COUNTIF('Target &amp; Team Lists'!$E$5:$E$504,D281)&gt;0),"Yes","No")))</f>
        <v/>
      </c>
      <c r="P281" s="31"/>
    </row>
    <row r="282" customFormat="false" ht="15" hidden="false" customHeight="false" outlineLevel="0" collapsed="false">
      <c r="A282" s="34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2" t="str">
        <f aca="false">IF(D282="","",IF(SUM(H282:K282)&gt;0,1,0))</f>
        <v/>
      </c>
      <c r="N282" s="33" t="str">
        <f aca="false">IF(D282="","",IF(OR(COUNTIF('Target &amp; Team Lists'!$J$5:$J$204,D282)&gt;0,ISNUMBER(SEARCH("alpha nodus",F282))),"Yes","No"))</f>
        <v/>
      </c>
      <c r="O282" s="33" t="str">
        <f aca="false">IF(D282="","",IF(N282="Yes","No",IF(OR(AND(F282&lt;&gt;"",COUNTIF('Target &amp; Team Lists'!$A$5:$A$504,F282)&gt;0),COUNTIF('Target &amp; Team Lists'!$E$5:$E$504,D282)&gt;0),"Yes","No")))</f>
        <v/>
      </c>
      <c r="P282" s="31"/>
    </row>
    <row r="283" customFormat="false" ht="15" hidden="false" customHeight="false" outlineLevel="0" collapsed="false">
      <c r="A283" s="34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2" t="str">
        <f aca="false">IF(D283="","",IF(SUM(H283:K283)&gt;0,1,0))</f>
        <v/>
      </c>
      <c r="N283" s="33" t="str">
        <f aca="false">IF(D283="","",IF(OR(COUNTIF('Target &amp; Team Lists'!$J$5:$J$204,D283)&gt;0,ISNUMBER(SEARCH("alpha nodus",F283))),"Yes","No"))</f>
        <v/>
      </c>
      <c r="O283" s="33" t="str">
        <f aca="false">IF(D283="","",IF(N283="Yes","No",IF(OR(AND(F283&lt;&gt;"",COUNTIF('Target &amp; Team Lists'!$A$5:$A$504,F283)&gt;0),COUNTIF('Target &amp; Team Lists'!$E$5:$E$504,D283)&gt;0),"Yes","No")))</f>
        <v/>
      </c>
      <c r="P283" s="31"/>
    </row>
    <row r="284" customFormat="false" ht="15" hidden="false" customHeight="false" outlineLevel="0" collapsed="false">
      <c r="A284" s="34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2" t="str">
        <f aca="false">IF(D284="","",IF(SUM(H284:K284)&gt;0,1,0))</f>
        <v/>
      </c>
      <c r="N284" s="33" t="str">
        <f aca="false">IF(D284="","",IF(OR(COUNTIF('Target &amp; Team Lists'!$J$5:$J$204,D284)&gt;0,ISNUMBER(SEARCH("alpha nodus",F284))),"Yes","No"))</f>
        <v/>
      </c>
      <c r="O284" s="33" t="str">
        <f aca="false">IF(D284="","",IF(N284="Yes","No",IF(OR(AND(F284&lt;&gt;"",COUNTIF('Target &amp; Team Lists'!$A$5:$A$504,F284)&gt;0),COUNTIF('Target &amp; Team Lists'!$E$5:$E$504,D284)&gt;0),"Yes","No")))</f>
        <v/>
      </c>
      <c r="P284" s="31"/>
    </row>
    <row r="285" customFormat="false" ht="15" hidden="false" customHeight="false" outlineLevel="0" collapsed="false">
      <c r="A285" s="34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2" t="str">
        <f aca="false">IF(D285="","",IF(SUM(H285:K285)&gt;0,1,0))</f>
        <v/>
      </c>
      <c r="N285" s="33" t="str">
        <f aca="false">IF(D285="","",IF(OR(COUNTIF('Target &amp; Team Lists'!$J$5:$J$204,D285)&gt;0,ISNUMBER(SEARCH("alpha nodus",F285))),"Yes","No"))</f>
        <v/>
      </c>
      <c r="O285" s="33" t="str">
        <f aca="false">IF(D285="","",IF(N285="Yes","No",IF(OR(AND(F285&lt;&gt;"",COUNTIF('Target &amp; Team Lists'!$A$5:$A$504,F285)&gt;0),COUNTIF('Target &amp; Team Lists'!$E$5:$E$504,D285)&gt;0),"Yes","No")))</f>
        <v/>
      </c>
      <c r="P285" s="31"/>
    </row>
    <row r="286" customFormat="false" ht="15" hidden="false" customHeight="false" outlineLevel="0" collapsed="false">
      <c r="A286" s="34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2" t="str">
        <f aca="false">IF(D286="","",IF(SUM(H286:K286)&gt;0,1,0))</f>
        <v/>
      </c>
      <c r="N286" s="33" t="str">
        <f aca="false">IF(D286="","",IF(OR(COUNTIF('Target &amp; Team Lists'!$J$5:$J$204,D286)&gt;0,ISNUMBER(SEARCH("alpha nodus",F286))),"Yes","No"))</f>
        <v/>
      </c>
      <c r="O286" s="33" t="str">
        <f aca="false">IF(D286="","",IF(N286="Yes","No",IF(OR(AND(F286&lt;&gt;"",COUNTIF('Target &amp; Team Lists'!$A$5:$A$504,F286)&gt;0),COUNTIF('Target &amp; Team Lists'!$E$5:$E$504,D286)&gt;0),"Yes","No")))</f>
        <v/>
      </c>
      <c r="P286" s="31"/>
    </row>
    <row r="287" customFormat="false" ht="15" hidden="false" customHeight="false" outlineLevel="0" collapsed="false">
      <c r="A287" s="34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2" t="str">
        <f aca="false">IF(D287="","",IF(SUM(H287:K287)&gt;0,1,0))</f>
        <v/>
      </c>
      <c r="N287" s="33" t="str">
        <f aca="false">IF(D287="","",IF(OR(COUNTIF('Target &amp; Team Lists'!$J$5:$J$204,D287)&gt;0,ISNUMBER(SEARCH("alpha nodus",F287))),"Yes","No"))</f>
        <v/>
      </c>
      <c r="O287" s="33" t="str">
        <f aca="false">IF(D287="","",IF(N287="Yes","No",IF(OR(AND(F287&lt;&gt;"",COUNTIF('Target &amp; Team Lists'!$A$5:$A$504,F287)&gt;0),COUNTIF('Target &amp; Team Lists'!$E$5:$E$504,D287)&gt;0),"Yes","No")))</f>
        <v/>
      </c>
      <c r="P287" s="31"/>
    </row>
    <row r="288" customFormat="false" ht="15" hidden="false" customHeight="false" outlineLevel="0" collapsed="false">
      <c r="A288" s="34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2" t="str">
        <f aca="false">IF(D288="","",IF(SUM(H288:K288)&gt;0,1,0))</f>
        <v/>
      </c>
      <c r="N288" s="33" t="str">
        <f aca="false">IF(D288="","",IF(OR(COUNTIF('Target &amp; Team Lists'!$J$5:$J$204,D288)&gt;0,ISNUMBER(SEARCH("alpha nodus",F288))),"Yes","No"))</f>
        <v/>
      </c>
      <c r="O288" s="33" t="str">
        <f aca="false">IF(D288="","",IF(N288="Yes","No",IF(OR(AND(F288&lt;&gt;"",COUNTIF('Target &amp; Team Lists'!$A$5:$A$504,F288)&gt;0),COUNTIF('Target &amp; Team Lists'!$E$5:$E$504,D288)&gt;0),"Yes","No")))</f>
        <v/>
      </c>
      <c r="P288" s="31"/>
    </row>
    <row r="289" customFormat="false" ht="15" hidden="false" customHeight="false" outlineLevel="0" collapsed="false">
      <c r="A289" s="34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2" t="str">
        <f aca="false">IF(D289="","",IF(SUM(H289:K289)&gt;0,1,0))</f>
        <v/>
      </c>
      <c r="N289" s="33" t="str">
        <f aca="false">IF(D289="","",IF(OR(COUNTIF('Target &amp; Team Lists'!$J$5:$J$204,D289)&gt;0,ISNUMBER(SEARCH("alpha nodus",F289))),"Yes","No"))</f>
        <v/>
      </c>
      <c r="O289" s="33" t="str">
        <f aca="false">IF(D289="","",IF(N289="Yes","No",IF(OR(AND(F289&lt;&gt;"",COUNTIF('Target &amp; Team Lists'!$A$5:$A$504,F289)&gt;0),COUNTIF('Target &amp; Team Lists'!$E$5:$E$504,D289)&gt;0),"Yes","No")))</f>
        <v/>
      </c>
      <c r="P289" s="31"/>
    </row>
    <row r="290" customFormat="false" ht="15" hidden="false" customHeight="false" outlineLevel="0" collapsed="false">
      <c r="A290" s="34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2" t="str">
        <f aca="false">IF(D290="","",IF(SUM(H290:K290)&gt;0,1,0))</f>
        <v/>
      </c>
      <c r="N290" s="33" t="str">
        <f aca="false">IF(D290="","",IF(OR(COUNTIF('Target &amp; Team Lists'!$J$5:$J$204,D290)&gt;0,ISNUMBER(SEARCH("alpha nodus",F290))),"Yes","No"))</f>
        <v/>
      </c>
      <c r="O290" s="33" t="str">
        <f aca="false">IF(D290="","",IF(N290="Yes","No",IF(OR(AND(F290&lt;&gt;"",COUNTIF('Target &amp; Team Lists'!$A$5:$A$504,F290)&gt;0),COUNTIF('Target &amp; Team Lists'!$E$5:$E$504,D290)&gt;0),"Yes","No")))</f>
        <v/>
      </c>
      <c r="P290" s="31"/>
    </row>
    <row r="291" customFormat="false" ht="15" hidden="false" customHeight="false" outlineLevel="0" collapsed="false">
      <c r="A291" s="34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2" t="str">
        <f aca="false">IF(D291="","",IF(SUM(H291:K291)&gt;0,1,0))</f>
        <v/>
      </c>
      <c r="N291" s="33" t="str">
        <f aca="false">IF(D291="","",IF(OR(COUNTIF('Target &amp; Team Lists'!$J$5:$J$204,D291)&gt;0,ISNUMBER(SEARCH("alpha nodus",F291))),"Yes","No"))</f>
        <v/>
      </c>
      <c r="O291" s="33" t="str">
        <f aca="false">IF(D291="","",IF(N291="Yes","No",IF(OR(AND(F291&lt;&gt;"",COUNTIF('Target &amp; Team Lists'!$A$5:$A$504,F291)&gt;0),COUNTIF('Target &amp; Team Lists'!$E$5:$E$504,D291)&gt;0),"Yes","No")))</f>
        <v/>
      </c>
      <c r="P291" s="31"/>
    </row>
    <row r="292" customFormat="false" ht="15" hidden="false" customHeight="false" outlineLevel="0" collapsed="false">
      <c r="A292" s="34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2" t="str">
        <f aca="false">IF(D292="","",IF(SUM(H292:K292)&gt;0,1,0))</f>
        <v/>
      </c>
      <c r="N292" s="33" t="str">
        <f aca="false">IF(D292="","",IF(OR(COUNTIF('Target &amp; Team Lists'!$J$5:$J$204,D292)&gt;0,ISNUMBER(SEARCH("alpha nodus",F292))),"Yes","No"))</f>
        <v/>
      </c>
      <c r="O292" s="33" t="str">
        <f aca="false">IF(D292="","",IF(N292="Yes","No",IF(OR(AND(F292&lt;&gt;"",COUNTIF('Target &amp; Team Lists'!$A$5:$A$504,F292)&gt;0),COUNTIF('Target &amp; Team Lists'!$E$5:$E$504,D292)&gt;0),"Yes","No")))</f>
        <v/>
      </c>
      <c r="P292" s="31"/>
    </row>
    <row r="293" customFormat="false" ht="15" hidden="false" customHeight="false" outlineLevel="0" collapsed="false">
      <c r="A293" s="34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2" t="str">
        <f aca="false">IF(D293="","",IF(SUM(H293:K293)&gt;0,1,0))</f>
        <v/>
      </c>
      <c r="N293" s="33" t="str">
        <f aca="false">IF(D293="","",IF(OR(COUNTIF('Target &amp; Team Lists'!$J$5:$J$204,D293)&gt;0,ISNUMBER(SEARCH("alpha nodus",F293))),"Yes","No"))</f>
        <v/>
      </c>
      <c r="O293" s="33" t="str">
        <f aca="false">IF(D293="","",IF(N293="Yes","No",IF(OR(AND(F293&lt;&gt;"",COUNTIF('Target &amp; Team Lists'!$A$5:$A$504,F293)&gt;0),COUNTIF('Target &amp; Team Lists'!$E$5:$E$504,D293)&gt;0),"Yes","No")))</f>
        <v/>
      </c>
      <c r="P293" s="31"/>
    </row>
    <row r="294" customFormat="false" ht="15" hidden="false" customHeight="false" outlineLevel="0" collapsed="false">
      <c r="A294" s="34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2" t="str">
        <f aca="false">IF(D294="","",IF(SUM(H294:K294)&gt;0,1,0))</f>
        <v/>
      </c>
      <c r="N294" s="33" t="str">
        <f aca="false">IF(D294="","",IF(OR(COUNTIF('Target &amp; Team Lists'!$J$5:$J$204,D294)&gt;0,ISNUMBER(SEARCH("alpha nodus",F294))),"Yes","No"))</f>
        <v/>
      </c>
      <c r="O294" s="33" t="str">
        <f aca="false">IF(D294="","",IF(N294="Yes","No",IF(OR(AND(F294&lt;&gt;"",COUNTIF('Target &amp; Team Lists'!$A$5:$A$504,F294)&gt;0),COUNTIF('Target &amp; Team Lists'!$E$5:$E$504,D294)&gt;0),"Yes","No")))</f>
        <v/>
      </c>
      <c r="P294" s="31"/>
    </row>
    <row r="295" customFormat="false" ht="15" hidden="false" customHeight="false" outlineLevel="0" collapsed="false">
      <c r="A295" s="34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2" t="str">
        <f aca="false">IF(D295="","",IF(SUM(H295:K295)&gt;0,1,0))</f>
        <v/>
      </c>
      <c r="N295" s="33" t="str">
        <f aca="false">IF(D295="","",IF(OR(COUNTIF('Target &amp; Team Lists'!$J$5:$J$204,D295)&gt;0,ISNUMBER(SEARCH("alpha nodus",F295))),"Yes","No"))</f>
        <v/>
      </c>
      <c r="O295" s="33" t="str">
        <f aca="false">IF(D295="","",IF(N295="Yes","No",IF(OR(AND(F295&lt;&gt;"",COUNTIF('Target &amp; Team Lists'!$A$5:$A$504,F295)&gt;0),COUNTIF('Target &amp; Team Lists'!$E$5:$E$504,D295)&gt;0),"Yes","No")))</f>
        <v/>
      </c>
      <c r="P295" s="31"/>
    </row>
    <row r="296" customFormat="false" ht="15" hidden="false" customHeight="false" outlineLevel="0" collapsed="false">
      <c r="A296" s="34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2" t="str">
        <f aca="false">IF(D296="","",IF(SUM(H296:K296)&gt;0,1,0))</f>
        <v/>
      </c>
      <c r="N296" s="33" t="str">
        <f aca="false">IF(D296="","",IF(OR(COUNTIF('Target &amp; Team Lists'!$J$5:$J$204,D296)&gt;0,ISNUMBER(SEARCH("alpha nodus",F296))),"Yes","No"))</f>
        <v/>
      </c>
      <c r="O296" s="33" t="str">
        <f aca="false">IF(D296="","",IF(N296="Yes","No",IF(OR(AND(F296&lt;&gt;"",COUNTIF('Target &amp; Team Lists'!$A$5:$A$504,F296)&gt;0),COUNTIF('Target &amp; Team Lists'!$E$5:$E$504,D296)&gt;0),"Yes","No")))</f>
        <v/>
      </c>
      <c r="P296" s="31"/>
    </row>
    <row r="297" customFormat="false" ht="15" hidden="false" customHeight="false" outlineLevel="0" collapsed="false">
      <c r="A297" s="34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2" t="str">
        <f aca="false">IF(D297="","",IF(SUM(H297:K297)&gt;0,1,0))</f>
        <v/>
      </c>
      <c r="N297" s="33" t="str">
        <f aca="false">IF(D297="","",IF(OR(COUNTIF('Target &amp; Team Lists'!$J$5:$J$204,D297)&gt;0,ISNUMBER(SEARCH("alpha nodus",F297))),"Yes","No"))</f>
        <v/>
      </c>
      <c r="O297" s="33" t="str">
        <f aca="false">IF(D297="","",IF(N297="Yes","No",IF(OR(AND(F297&lt;&gt;"",COUNTIF('Target &amp; Team Lists'!$A$5:$A$504,F297)&gt;0),COUNTIF('Target &amp; Team Lists'!$E$5:$E$504,D297)&gt;0),"Yes","No")))</f>
        <v/>
      </c>
      <c r="P297" s="31"/>
    </row>
    <row r="298" customFormat="false" ht="15" hidden="false" customHeight="false" outlineLevel="0" collapsed="false">
      <c r="A298" s="34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2" t="str">
        <f aca="false">IF(D298="","",IF(SUM(H298:K298)&gt;0,1,0))</f>
        <v/>
      </c>
      <c r="N298" s="33" t="str">
        <f aca="false">IF(D298="","",IF(OR(COUNTIF('Target &amp; Team Lists'!$J$5:$J$204,D298)&gt;0,ISNUMBER(SEARCH("alpha nodus",F298))),"Yes","No"))</f>
        <v/>
      </c>
      <c r="O298" s="33" t="str">
        <f aca="false">IF(D298="","",IF(N298="Yes","No",IF(OR(AND(F298&lt;&gt;"",COUNTIF('Target &amp; Team Lists'!$A$5:$A$504,F298)&gt;0),COUNTIF('Target &amp; Team Lists'!$E$5:$E$504,D298)&gt;0),"Yes","No")))</f>
        <v/>
      </c>
      <c r="P298" s="31"/>
    </row>
    <row r="299" customFormat="false" ht="15" hidden="false" customHeight="false" outlineLevel="0" collapsed="false">
      <c r="A299" s="34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2" t="str">
        <f aca="false">IF(D299="","",IF(SUM(H299:K299)&gt;0,1,0))</f>
        <v/>
      </c>
      <c r="N299" s="33" t="str">
        <f aca="false">IF(D299="","",IF(OR(COUNTIF('Target &amp; Team Lists'!$J$5:$J$204,D299)&gt;0,ISNUMBER(SEARCH("alpha nodus",F299))),"Yes","No"))</f>
        <v/>
      </c>
      <c r="O299" s="33" t="str">
        <f aca="false">IF(D299="","",IF(N299="Yes","No",IF(OR(AND(F299&lt;&gt;"",COUNTIF('Target &amp; Team Lists'!$A$5:$A$504,F299)&gt;0),COUNTIF('Target &amp; Team Lists'!$E$5:$E$504,D299)&gt;0),"Yes","No")))</f>
        <v/>
      </c>
      <c r="P299" s="31"/>
    </row>
    <row r="300" customFormat="false" ht="15" hidden="false" customHeight="false" outlineLevel="0" collapsed="false">
      <c r="A300" s="34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2" t="str">
        <f aca="false">IF(D300="","",IF(SUM(H300:K300)&gt;0,1,0))</f>
        <v/>
      </c>
      <c r="N300" s="33" t="str">
        <f aca="false">IF(D300="","",IF(OR(COUNTIF('Target &amp; Team Lists'!$J$5:$J$204,D300)&gt;0,ISNUMBER(SEARCH("alpha nodus",F300))),"Yes","No"))</f>
        <v/>
      </c>
      <c r="O300" s="33" t="str">
        <f aca="false">IF(D300="","",IF(N300="Yes","No",IF(OR(AND(F300&lt;&gt;"",COUNTIF('Target &amp; Team Lists'!$A$5:$A$504,F300)&gt;0),COUNTIF('Target &amp; Team Lists'!$E$5:$E$504,D300)&gt;0),"Yes","No")))</f>
        <v/>
      </c>
      <c r="P300" s="31"/>
    </row>
    <row r="301" customFormat="false" ht="15" hidden="false" customHeight="false" outlineLevel="0" collapsed="false">
      <c r="A301" s="34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2" t="str">
        <f aca="false">IF(D301="","",IF(SUM(H301:K301)&gt;0,1,0))</f>
        <v/>
      </c>
      <c r="N301" s="33" t="str">
        <f aca="false">IF(D301="","",IF(OR(COUNTIF('Target &amp; Team Lists'!$J$5:$J$204,D301)&gt;0,ISNUMBER(SEARCH("alpha nodus",F301))),"Yes","No"))</f>
        <v/>
      </c>
      <c r="O301" s="33" t="str">
        <f aca="false">IF(D301="","",IF(N301="Yes","No",IF(OR(AND(F301&lt;&gt;"",COUNTIF('Target &amp; Team Lists'!$A$5:$A$504,F301)&gt;0),COUNTIF('Target &amp; Team Lists'!$E$5:$E$504,D301)&gt;0),"Yes","No")))</f>
        <v/>
      </c>
      <c r="P301" s="31"/>
    </row>
    <row r="302" customFormat="false" ht="15" hidden="false" customHeight="false" outlineLevel="0" collapsed="false">
      <c r="A302" s="34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2" t="str">
        <f aca="false">IF(D302="","",IF(SUM(H302:K302)&gt;0,1,0))</f>
        <v/>
      </c>
      <c r="N302" s="33" t="str">
        <f aca="false">IF(D302="","",IF(OR(COUNTIF('Target &amp; Team Lists'!$J$5:$J$204,D302)&gt;0,ISNUMBER(SEARCH("alpha nodus",F302))),"Yes","No"))</f>
        <v/>
      </c>
      <c r="O302" s="33" t="str">
        <f aca="false">IF(D302="","",IF(N302="Yes","No",IF(OR(AND(F302&lt;&gt;"",COUNTIF('Target &amp; Team Lists'!$A$5:$A$504,F302)&gt;0),COUNTIF('Target &amp; Team Lists'!$E$5:$E$504,D302)&gt;0),"Yes","No")))</f>
        <v/>
      </c>
      <c r="P302" s="31"/>
    </row>
    <row r="303" customFormat="false" ht="15" hidden="false" customHeight="false" outlineLevel="0" collapsed="false">
      <c r="A303" s="34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2" t="str">
        <f aca="false">IF(D303="","",IF(SUM(H303:K303)&gt;0,1,0))</f>
        <v/>
      </c>
      <c r="N303" s="33" t="str">
        <f aca="false">IF(D303="","",IF(OR(COUNTIF('Target &amp; Team Lists'!$J$5:$J$204,D303)&gt;0,ISNUMBER(SEARCH("alpha nodus",F303))),"Yes","No"))</f>
        <v/>
      </c>
      <c r="O303" s="33" t="str">
        <f aca="false">IF(D303="","",IF(N303="Yes","No",IF(OR(AND(F303&lt;&gt;"",COUNTIF('Target &amp; Team Lists'!$A$5:$A$504,F303)&gt;0),COUNTIF('Target &amp; Team Lists'!$E$5:$E$504,D303)&gt;0),"Yes","No")))</f>
        <v/>
      </c>
      <c r="P303" s="31"/>
    </row>
    <row r="304" customFormat="false" ht="15" hidden="false" customHeight="false" outlineLevel="0" collapsed="false">
      <c r="A304" s="34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2" t="str">
        <f aca="false">IF(D304="","",IF(SUM(H304:K304)&gt;0,1,0))</f>
        <v/>
      </c>
      <c r="N304" s="33" t="str">
        <f aca="false">IF(D304="","",IF(OR(COUNTIF('Target &amp; Team Lists'!$J$5:$J$204,D304)&gt;0,ISNUMBER(SEARCH("alpha nodus",F304))),"Yes","No"))</f>
        <v/>
      </c>
      <c r="O304" s="33" t="str">
        <f aca="false">IF(D304="","",IF(N304="Yes","No",IF(OR(AND(F304&lt;&gt;"",COUNTIF('Target &amp; Team Lists'!$A$5:$A$504,F304)&gt;0),COUNTIF('Target &amp; Team Lists'!$E$5:$E$504,D304)&gt;0),"Yes","No")))</f>
        <v/>
      </c>
      <c r="P304" s="31"/>
    </row>
    <row r="305" customFormat="false" ht="15" hidden="false" customHeight="false" outlineLevel="0" collapsed="false">
      <c r="A305" s="34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2" t="str">
        <f aca="false">IF(D305="","",IF(SUM(H305:K305)&gt;0,1,0))</f>
        <v/>
      </c>
      <c r="N305" s="33" t="str">
        <f aca="false">IF(D305="","",IF(OR(COUNTIF('Target &amp; Team Lists'!$J$5:$J$204,D305)&gt;0,ISNUMBER(SEARCH("alpha nodus",F305))),"Yes","No"))</f>
        <v/>
      </c>
      <c r="O305" s="33" t="str">
        <f aca="false">IF(D305="","",IF(N305="Yes","No",IF(OR(AND(F305&lt;&gt;"",COUNTIF('Target &amp; Team Lists'!$A$5:$A$504,F305)&gt;0),COUNTIF('Target &amp; Team Lists'!$E$5:$E$504,D305)&gt;0),"Yes","No")))</f>
        <v/>
      </c>
      <c r="P305" s="31"/>
    </row>
    <row r="306" customFormat="false" ht="15" hidden="false" customHeight="false" outlineLevel="0" collapsed="false">
      <c r="A306" s="34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2" t="str">
        <f aca="false">IF(D306="","",IF(SUM(H306:K306)&gt;0,1,0))</f>
        <v/>
      </c>
      <c r="N306" s="33" t="str">
        <f aca="false">IF(D306="","",IF(OR(COUNTIF('Target &amp; Team Lists'!$J$5:$J$204,D306)&gt;0,ISNUMBER(SEARCH("alpha nodus",F306))),"Yes","No"))</f>
        <v/>
      </c>
      <c r="O306" s="33" t="str">
        <f aca="false">IF(D306="","",IF(N306="Yes","No",IF(OR(AND(F306&lt;&gt;"",COUNTIF('Target &amp; Team Lists'!$A$5:$A$504,F306)&gt;0),COUNTIF('Target &amp; Team Lists'!$E$5:$E$504,D306)&gt;0),"Yes","No")))</f>
        <v/>
      </c>
      <c r="P306" s="31"/>
    </row>
    <row r="307" customFormat="false" ht="15" hidden="false" customHeight="false" outlineLevel="0" collapsed="false">
      <c r="A307" s="34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2" t="str">
        <f aca="false">IF(D307="","",IF(SUM(H307:K307)&gt;0,1,0))</f>
        <v/>
      </c>
      <c r="N307" s="33" t="str">
        <f aca="false">IF(D307="","",IF(OR(COUNTIF('Target &amp; Team Lists'!$J$5:$J$204,D307)&gt;0,ISNUMBER(SEARCH("alpha nodus",F307))),"Yes","No"))</f>
        <v/>
      </c>
      <c r="O307" s="33" t="str">
        <f aca="false">IF(D307="","",IF(N307="Yes","No",IF(OR(AND(F307&lt;&gt;"",COUNTIF('Target &amp; Team Lists'!$A$5:$A$504,F307)&gt;0),COUNTIF('Target &amp; Team Lists'!$E$5:$E$504,D307)&gt;0),"Yes","No")))</f>
        <v/>
      </c>
      <c r="P307" s="31"/>
    </row>
    <row r="308" customFormat="false" ht="15" hidden="false" customHeight="false" outlineLevel="0" collapsed="false">
      <c r="A308" s="34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2" t="str">
        <f aca="false">IF(D308="","",IF(SUM(H308:K308)&gt;0,1,0))</f>
        <v/>
      </c>
      <c r="N308" s="33" t="str">
        <f aca="false">IF(D308="","",IF(OR(COUNTIF('Target &amp; Team Lists'!$J$5:$J$204,D308)&gt;0,ISNUMBER(SEARCH("alpha nodus",F308))),"Yes","No"))</f>
        <v/>
      </c>
      <c r="O308" s="33" t="str">
        <f aca="false">IF(D308="","",IF(N308="Yes","No",IF(OR(AND(F308&lt;&gt;"",COUNTIF('Target &amp; Team Lists'!$A$5:$A$504,F308)&gt;0),COUNTIF('Target &amp; Team Lists'!$E$5:$E$504,D308)&gt;0),"Yes","No")))</f>
        <v/>
      </c>
      <c r="P308" s="31"/>
    </row>
    <row r="309" customFormat="false" ht="15" hidden="false" customHeight="false" outlineLevel="0" collapsed="false">
      <c r="A309" s="34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2" t="str">
        <f aca="false">IF(D309="","",IF(SUM(H309:K309)&gt;0,1,0))</f>
        <v/>
      </c>
      <c r="N309" s="33" t="str">
        <f aca="false">IF(D309="","",IF(OR(COUNTIF('Target &amp; Team Lists'!$J$5:$J$204,D309)&gt;0,ISNUMBER(SEARCH("alpha nodus",F309))),"Yes","No"))</f>
        <v/>
      </c>
      <c r="O309" s="33" t="str">
        <f aca="false">IF(D309="","",IF(N309="Yes","No",IF(OR(AND(F309&lt;&gt;"",COUNTIF('Target &amp; Team Lists'!$A$5:$A$504,F309)&gt;0),COUNTIF('Target &amp; Team Lists'!$E$5:$E$504,D309)&gt;0),"Yes","No")))</f>
        <v/>
      </c>
      <c r="P309" s="31"/>
    </row>
    <row r="310" customFormat="false" ht="15" hidden="false" customHeight="false" outlineLevel="0" collapsed="false">
      <c r="A310" s="34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2" t="str">
        <f aca="false">IF(D310="","",IF(SUM(H310:K310)&gt;0,1,0))</f>
        <v/>
      </c>
      <c r="N310" s="33" t="str">
        <f aca="false">IF(D310="","",IF(OR(COUNTIF('Target &amp; Team Lists'!$J$5:$J$204,D310)&gt;0,ISNUMBER(SEARCH("alpha nodus",F310))),"Yes","No"))</f>
        <v/>
      </c>
      <c r="O310" s="33" t="str">
        <f aca="false">IF(D310="","",IF(N310="Yes","No",IF(OR(AND(F310&lt;&gt;"",COUNTIF('Target &amp; Team Lists'!$A$5:$A$504,F310)&gt;0),COUNTIF('Target &amp; Team Lists'!$E$5:$E$504,D310)&gt;0),"Yes","No")))</f>
        <v/>
      </c>
      <c r="P310" s="31"/>
    </row>
    <row r="311" customFormat="false" ht="15" hidden="false" customHeight="false" outlineLevel="0" collapsed="false">
      <c r="A311" s="34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2" t="str">
        <f aca="false">IF(D311="","",IF(SUM(H311:K311)&gt;0,1,0))</f>
        <v/>
      </c>
      <c r="N311" s="33" t="str">
        <f aca="false">IF(D311="","",IF(OR(COUNTIF('Target &amp; Team Lists'!$J$5:$J$204,D311)&gt;0,ISNUMBER(SEARCH("alpha nodus",F311))),"Yes","No"))</f>
        <v/>
      </c>
      <c r="O311" s="33" t="str">
        <f aca="false">IF(D311="","",IF(N311="Yes","No",IF(OR(AND(F311&lt;&gt;"",COUNTIF('Target &amp; Team Lists'!$A$5:$A$504,F311)&gt;0),COUNTIF('Target &amp; Team Lists'!$E$5:$E$504,D311)&gt;0),"Yes","No")))</f>
        <v/>
      </c>
      <c r="P311" s="31"/>
    </row>
    <row r="312" customFormat="false" ht="15" hidden="false" customHeight="false" outlineLevel="0" collapsed="false">
      <c r="A312" s="34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2" t="str">
        <f aca="false">IF(D312="","",IF(SUM(H312:K312)&gt;0,1,0))</f>
        <v/>
      </c>
      <c r="N312" s="33" t="str">
        <f aca="false">IF(D312="","",IF(OR(COUNTIF('Target &amp; Team Lists'!$J$5:$J$204,D312)&gt;0,ISNUMBER(SEARCH("alpha nodus",F312))),"Yes","No"))</f>
        <v/>
      </c>
      <c r="O312" s="33" t="str">
        <f aca="false">IF(D312="","",IF(N312="Yes","No",IF(OR(AND(F312&lt;&gt;"",COUNTIF('Target &amp; Team Lists'!$A$5:$A$504,F312)&gt;0),COUNTIF('Target &amp; Team Lists'!$E$5:$E$504,D312)&gt;0),"Yes","No")))</f>
        <v/>
      </c>
      <c r="P312" s="31"/>
    </row>
    <row r="313" customFormat="false" ht="15" hidden="false" customHeight="false" outlineLevel="0" collapsed="false">
      <c r="A313" s="34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2" t="str">
        <f aca="false">IF(D313="","",IF(SUM(H313:K313)&gt;0,1,0))</f>
        <v/>
      </c>
      <c r="N313" s="33" t="str">
        <f aca="false">IF(D313="","",IF(OR(COUNTIF('Target &amp; Team Lists'!$J$5:$J$204,D313)&gt;0,ISNUMBER(SEARCH("alpha nodus",F313))),"Yes","No"))</f>
        <v/>
      </c>
      <c r="O313" s="33" t="str">
        <f aca="false">IF(D313="","",IF(N313="Yes","No",IF(OR(AND(F313&lt;&gt;"",COUNTIF('Target &amp; Team Lists'!$A$5:$A$504,F313)&gt;0),COUNTIF('Target &amp; Team Lists'!$E$5:$E$504,D313)&gt;0),"Yes","No")))</f>
        <v/>
      </c>
      <c r="P313" s="31"/>
    </row>
    <row r="314" customFormat="false" ht="15" hidden="false" customHeight="false" outlineLevel="0" collapsed="false">
      <c r="A314" s="34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2" t="str">
        <f aca="false">IF(D314="","",IF(SUM(H314:K314)&gt;0,1,0))</f>
        <v/>
      </c>
      <c r="N314" s="33" t="str">
        <f aca="false">IF(D314="","",IF(OR(COUNTIF('Target &amp; Team Lists'!$J$5:$J$204,D314)&gt;0,ISNUMBER(SEARCH("alpha nodus",F314))),"Yes","No"))</f>
        <v/>
      </c>
      <c r="O314" s="33" t="str">
        <f aca="false">IF(D314="","",IF(N314="Yes","No",IF(OR(AND(F314&lt;&gt;"",COUNTIF('Target &amp; Team Lists'!$A$5:$A$504,F314)&gt;0),COUNTIF('Target &amp; Team Lists'!$E$5:$E$504,D314)&gt;0),"Yes","No")))</f>
        <v/>
      </c>
      <c r="P314" s="31"/>
    </row>
    <row r="315" customFormat="false" ht="15" hidden="false" customHeight="false" outlineLevel="0" collapsed="false">
      <c r="A315" s="34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2" t="str">
        <f aca="false">IF(D315="","",IF(SUM(H315:K315)&gt;0,1,0))</f>
        <v/>
      </c>
      <c r="N315" s="33" t="str">
        <f aca="false">IF(D315="","",IF(OR(COUNTIF('Target &amp; Team Lists'!$J$5:$J$204,D315)&gt;0,ISNUMBER(SEARCH("alpha nodus",F315))),"Yes","No"))</f>
        <v/>
      </c>
      <c r="O315" s="33" t="str">
        <f aca="false">IF(D315="","",IF(N315="Yes","No",IF(OR(AND(F315&lt;&gt;"",COUNTIF('Target &amp; Team Lists'!$A$5:$A$504,F315)&gt;0),COUNTIF('Target &amp; Team Lists'!$E$5:$E$504,D315)&gt;0),"Yes","No")))</f>
        <v/>
      </c>
      <c r="P315" s="31"/>
    </row>
    <row r="316" customFormat="false" ht="15" hidden="false" customHeight="false" outlineLevel="0" collapsed="false">
      <c r="A316" s="34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2" t="str">
        <f aca="false">IF(D316="","",IF(SUM(H316:K316)&gt;0,1,0))</f>
        <v/>
      </c>
      <c r="N316" s="33" t="str">
        <f aca="false">IF(D316="","",IF(OR(COUNTIF('Target &amp; Team Lists'!$J$5:$J$204,D316)&gt;0,ISNUMBER(SEARCH("alpha nodus",F316))),"Yes","No"))</f>
        <v/>
      </c>
      <c r="O316" s="33" t="str">
        <f aca="false">IF(D316="","",IF(N316="Yes","No",IF(OR(AND(F316&lt;&gt;"",COUNTIF('Target &amp; Team Lists'!$A$5:$A$504,F316)&gt;0),COUNTIF('Target &amp; Team Lists'!$E$5:$E$504,D316)&gt;0),"Yes","No")))</f>
        <v/>
      </c>
      <c r="P316" s="31"/>
    </row>
    <row r="317" customFormat="false" ht="15" hidden="false" customHeight="false" outlineLevel="0" collapsed="false">
      <c r="A317" s="34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2" t="str">
        <f aca="false">IF(D317="","",IF(SUM(H317:K317)&gt;0,1,0))</f>
        <v/>
      </c>
      <c r="N317" s="33" t="str">
        <f aca="false">IF(D317="","",IF(OR(COUNTIF('Target &amp; Team Lists'!$J$5:$J$204,D317)&gt;0,ISNUMBER(SEARCH("alpha nodus",F317))),"Yes","No"))</f>
        <v/>
      </c>
      <c r="O317" s="33" t="str">
        <f aca="false">IF(D317="","",IF(N317="Yes","No",IF(OR(AND(F317&lt;&gt;"",COUNTIF('Target &amp; Team Lists'!$A$5:$A$504,F317)&gt;0),COUNTIF('Target &amp; Team Lists'!$E$5:$E$504,D317)&gt;0),"Yes","No")))</f>
        <v/>
      </c>
      <c r="P317" s="31"/>
    </row>
    <row r="318" customFormat="false" ht="15" hidden="false" customHeight="false" outlineLevel="0" collapsed="false">
      <c r="A318" s="34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2" t="str">
        <f aca="false">IF(D318="","",IF(SUM(H318:K318)&gt;0,1,0))</f>
        <v/>
      </c>
      <c r="N318" s="33" t="str">
        <f aca="false">IF(D318="","",IF(OR(COUNTIF('Target &amp; Team Lists'!$J$5:$J$204,D318)&gt;0,ISNUMBER(SEARCH("alpha nodus",F318))),"Yes","No"))</f>
        <v/>
      </c>
      <c r="O318" s="33" t="str">
        <f aca="false">IF(D318="","",IF(N318="Yes","No",IF(OR(AND(F318&lt;&gt;"",COUNTIF('Target &amp; Team Lists'!$A$5:$A$504,F318)&gt;0),COUNTIF('Target &amp; Team Lists'!$E$5:$E$504,D318)&gt;0),"Yes","No")))</f>
        <v/>
      </c>
      <c r="P318" s="31"/>
    </row>
    <row r="319" customFormat="false" ht="15" hidden="false" customHeight="false" outlineLevel="0" collapsed="false">
      <c r="A319" s="34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2" t="str">
        <f aca="false">IF(D319="","",IF(SUM(H319:K319)&gt;0,1,0))</f>
        <v/>
      </c>
      <c r="N319" s="33" t="str">
        <f aca="false">IF(D319="","",IF(OR(COUNTIF('Target &amp; Team Lists'!$J$5:$J$204,D319)&gt;0,ISNUMBER(SEARCH("alpha nodus",F319))),"Yes","No"))</f>
        <v/>
      </c>
      <c r="O319" s="33" t="str">
        <f aca="false">IF(D319="","",IF(N319="Yes","No",IF(OR(AND(F319&lt;&gt;"",COUNTIF('Target &amp; Team Lists'!$A$5:$A$504,F319)&gt;0),COUNTIF('Target &amp; Team Lists'!$E$5:$E$504,D319)&gt;0),"Yes","No")))</f>
        <v/>
      </c>
      <c r="P319" s="31"/>
    </row>
    <row r="320" customFormat="false" ht="15" hidden="false" customHeight="false" outlineLevel="0" collapsed="false">
      <c r="A320" s="34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2" t="str">
        <f aca="false">IF(D320="","",IF(SUM(H320:K320)&gt;0,1,0))</f>
        <v/>
      </c>
      <c r="N320" s="33" t="str">
        <f aca="false">IF(D320="","",IF(OR(COUNTIF('Target &amp; Team Lists'!$J$5:$J$204,D320)&gt;0,ISNUMBER(SEARCH("alpha nodus",F320))),"Yes","No"))</f>
        <v/>
      </c>
      <c r="O320" s="33" t="str">
        <f aca="false">IF(D320="","",IF(N320="Yes","No",IF(OR(AND(F320&lt;&gt;"",COUNTIF('Target &amp; Team Lists'!$A$5:$A$504,F320)&gt;0),COUNTIF('Target &amp; Team Lists'!$E$5:$E$504,D320)&gt;0),"Yes","No")))</f>
        <v/>
      </c>
      <c r="P320" s="31"/>
    </row>
    <row r="321" customFormat="false" ht="15" hidden="false" customHeight="false" outlineLevel="0" collapsed="false">
      <c r="A321" s="34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2" t="str">
        <f aca="false">IF(D321="","",IF(SUM(H321:K321)&gt;0,1,0))</f>
        <v/>
      </c>
      <c r="N321" s="33" t="str">
        <f aca="false">IF(D321="","",IF(OR(COUNTIF('Target &amp; Team Lists'!$J$5:$J$204,D321)&gt;0,ISNUMBER(SEARCH("alpha nodus",F321))),"Yes","No"))</f>
        <v/>
      </c>
      <c r="O321" s="33" t="str">
        <f aca="false">IF(D321="","",IF(N321="Yes","No",IF(OR(AND(F321&lt;&gt;"",COUNTIF('Target &amp; Team Lists'!$A$5:$A$504,F321)&gt;0),COUNTIF('Target &amp; Team Lists'!$E$5:$E$504,D321)&gt;0),"Yes","No")))</f>
        <v/>
      </c>
      <c r="P321" s="31"/>
    </row>
    <row r="322" customFormat="false" ht="15" hidden="false" customHeight="false" outlineLevel="0" collapsed="false">
      <c r="A322" s="34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2" t="str">
        <f aca="false">IF(D322="","",IF(SUM(H322:K322)&gt;0,1,0))</f>
        <v/>
      </c>
      <c r="N322" s="33" t="str">
        <f aca="false">IF(D322="","",IF(OR(COUNTIF('Target &amp; Team Lists'!$J$5:$J$204,D322)&gt;0,ISNUMBER(SEARCH("alpha nodus",F322))),"Yes","No"))</f>
        <v/>
      </c>
      <c r="O322" s="33" t="str">
        <f aca="false">IF(D322="","",IF(N322="Yes","No",IF(OR(AND(F322&lt;&gt;"",COUNTIF('Target &amp; Team Lists'!$A$5:$A$504,F322)&gt;0),COUNTIF('Target &amp; Team Lists'!$E$5:$E$504,D322)&gt;0),"Yes","No")))</f>
        <v/>
      </c>
      <c r="P322" s="31"/>
    </row>
    <row r="323" customFormat="false" ht="15" hidden="false" customHeight="false" outlineLevel="0" collapsed="false">
      <c r="A323" s="34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2" t="str">
        <f aca="false">IF(D323="","",IF(SUM(H323:K323)&gt;0,1,0))</f>
        <v/>
      </c>
      <c r="N323" s="33" t="str">
        <f aca="false">IF(D323="","",IF(OR(COUNTIF('Target &amp; Team Lists'!$J$5:$J$204,D323)&gt;0,ISNUMBER(SEARCH("alpha nodus",F323))),"Yes","No"))</f>
        <v/>
      </c>
      <c r="O323" s="33" t="str">
        <f aca="false">IF(D323="","",IF(N323="Yes","No",IF(OR(AND(F323&lt;&gt;"",COUNTIF('Target &amp; Team Lists'!$A$5:$A$504,F323)&gt;0),COUNTIF('Target &amp; Team Lists'!$E$5:$E$504,D323)&gt;0),"Yes","No")))</f>
        <v/>
      </c>
      <c r="P323" s="31"/>
    </row>
    <row r="324" customFormat="false" ht="15" hidden="false" customHeight="false" outlineLevel="0" collapsed="false">
      <c r="A324" s="34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2" t="str">
        <f aca="false">IF(D324="","",IF(SUM(H324:K324)&gt;0,1,0))</f>
        <v/>
      </c>
      <c r="N324" s="33" t="str">
        <f aca="false">IF(D324="","",IF(OR(COUNTIF('Target &amp; Team Lists'!$J$5:$J$204,D324)&gt;0,ISNUMBER(SEARCH("alpha nodus",F324))),"Yes","No"))</f>
        <v/>
      </c>
      <c r="O324" s="33" t="str">
        <f aca="false">IF(D324="","",IF(N324="Yes","No",IF(OR(AND(F324&lt;&gt;"",COUNTIF('Target &amp; Team Lists'!$A$5:$A$504,F324)&gt;0),COUNTIF('Target &amp; Team Lists'!$E$5:$E$504,D324)&gt;0),"Yes","No")))</f>
        <v/>
      </c>
      <c r="P324" s="31"/>
    </row>
    <row r="325" customFormat="false" ht="15" hidden="false" customHeight="false" outlineLevel="0" collapsed="false">
      <c r="A325" s="34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2" t="str">
        <f aca="false">IF(D325="","",IF(SUM(H325:K325)&gt;0,1,0))</f>
        <v/>
      </c>
      <c r="N325" s="33" t="str">
        <f aca="false">IF(D325="","",IF(OR(COUNTIF('Target &amp; Team Lists'!$J$5:$J$204,D325)&gt;0,ISNUMBER(SEARCH("alpha nodus",F325))),"Yes","No"))</f>
        <v/>
      </c>
      <c r="O325" s="33" t="str">
        <f aca="false">IF(D325="","",IF(N325="Yes","No",IF(OR(AND(F325&lt;&gt;"",COUNTIF('Target &amp; Team Lists'!$A$5:$A$504,F325)&gt;0),COUNTIF('Target &amp; Team Lists'!$E$5:$E$504,D325)&gt;0),"Yes","No")))</f>
        <v/>
      </c>
      <c r="P325" s="31"/>
    </row>
    <row r="326" customFormat="false" ht="15" hidden="false" customHeight="false" outlineLevel="0" collapsed="false">
      <c r="A326" s="34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2" t="str">
        <f aca="false">IF(D326="","",IF(SUM(H326:K326)&gt;0,1,0))</f>
        <v/>
      </c>
      <c r="N326" s="33" t="str">
        <f aca="false">IF(D326="","",IF(OR(COUNTIF('Target &amp; Team Lists'!$J$5:$J$204,D326)&gt;0,ISNUMBER(SEARCH("alpha nodus",F326))),"Yes","No"))</f>
        <v/>
      </c>
      <c r="O326" s="33" t="str">
        <f aca="false">IF(D326="","",IF(N326="Yes","No",IF(OR(AND(F326&lt;&gt;"",COUNTIF('Target &amp; Team Lists'!$A$5:$A$504,F326)&gt;0),COUNTIF('Target &amp; Team Lists'!$E$5:$E$504,D326)&gt;0),"Yes","No")))</f>
        <v/>
      </c>
      <c r="P326" s="31"/>
    </row>
    <row r="327" customFormat="false" ht="15" hidden="false" customHeight="false" outlineLevel="0" collapsed="false">
      <c r="A327" s="34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2" t="str">
        <f aca="false">IF(D327="","",IF(SUM(H327:K327)&gt;0,1,0))</f>
        <v/>
      </c>
      <c r="N327" s="33" t="str">
        <f aca="false">IF(D327="","",IF(OR(COUNTIF('Target &amp; Team Lists'!$J$5:$J$204,D327)&gt;0,ISNUMBER(SEARCH("alpha nodus",F327))),"Yes","No"))</f>
        <v/>
      </c>
      <c r="O327" s="33" t="str">
        <f aca="false">IF(D327="","",IF(N327="Yes","No",IF(OR(AND(F327&lt;&gt;"",COUNTIF('Target &amp; Team Lists'!$A$5:$A$504,F327)&gt;0),COUNTIF('Target &amp; Team Lists'!$E$5:$E$504,D327)&gt;0),"Yes","No")))</f>
        <v/>
      </c>
      <c r="P327" s="31"/>
    </row>
    <row r="328" customFormat="false" ht="15" hidden="false" customHeight="false" outlineLevel="0" collapsed="false">
      <c r="A328" s="34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2" t="str">
        <f aca="false">IF(D328="","",IF(SUM(H328:K328)&gt;0,1,0))</f>
        <v/>
      </c>
      <c r="N328" s="33" t="str">
        <f aca="false">IF(D328="","",IF(OR(COUNTIF('Target &amp; Team Lists'!$J$5:$J$204,D328)&gt;0,ISNUMBER(SEARCH("alpha nodus",F328))),"Yes","No"))</f>
        <v/>
      </c>
      <c r="O328" s="33" t="str">
        <f aca="false">IF(D328="","",IF(N328="Yes","No",IF(OR(AND(F328&lt;&gt;"",COUNTIF('Target &amp; Team Lists'!$A$5:$A$504,F328)&gt;0),COUNTIF('Target &amp; Team Lists'!$E$5:$E$504,D328)&gt;0),"Yes","No")))</f>
        <v/>
      </c>
      <c r="P328" s="31"/>
    </row>
    <row r="329" customFormat="false" ht="15" hidden="false" customHeight="false" outlineLevel="0" collapsed="false">
      <c r="A329" s="34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2" t="str">
        <f aca="false">IF(D329="","",IF(SUM(H329:K329)&gt;0,1,0))</f>
        <v/>
      </c>
      <c r="N329" s="33" t="str">
        <f aca="false">IF(D329="","",IF(OR(COUNTIF('Target &amp; Team Lists'!$J$5:$J$204,D329)&gt;0,ISNUMBER(SEARCH("alpha nodus",F329))),"Yes","No"))</f>
        <v/>
      </c>
      <c r="O329" s="33" t="str">
        <f aca="false">IF(D329="","",IF(N329="Yes","No",IF(OR(AND(F329&lt;&gt;"",COUNTIF('Target &amp; Team Lists'!$A$5:$A$504,F329)&gt;0),COUNTIF('Target &amp; Team Lists'!$E$5:$E$504,D329)&gt;0),"Yes","No")))</f>
        <v/>
      </c>
      <c r="P329" s="31"/>
    </row>
    <row r="330" customFormat="false" ht="15" hidden="false" customHeight="false" outlineLevel="0" collapsed="false">
      <c r="A330" s="34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2" t="str">
        <f aca="false">IF(D330="","",IF(SUM(H330:K330)&gt;0,1,0))</f>
        <v/>
      </c>
      <c r="N330" s="33" t="str">
        <f aca="false">IF(D330="","",IF(OR(COUNTIF('Target &amp; Team Lists'!$J$5:$J$204,D330)&gt;0,ISNUMBER(SEARCH("alpha nodus",F330))),"Yes","No"))</f>
        <v/>
      </c>
      <c r="O330" s="33" t="str">
        <f aca="false">IF(D330="","",IF(N330="Yes","No",IF(OR(AND(F330&lt;&gt;"",COUNTIF('Target &amp; Team Lists'!$A$5:$A$504,F330)&gt;0),COUNTIF('Target &amp; Team Lists'!$E$5:$E$504,D330)&gt;0),"Yes","No")))</f>
        <v/>
      </c>
      <c r="P330" s="31"/>
    </row>
    <row r="331" customFormat="false" ht="15" hidden="false" customHeight="false" outlineLevel="0" collapsed="false">
      <c r="A331" s="34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2" t="str">
        <f aca="false">IF(D331="","",IF(SUM(H331:K331)&gt;0,1,0))</f>
        <v/>
      </c>
      <c r="N331" s="33" t="str">
        <f aca="false">IF(D331="","",IF(OR(COUNTIF('Target &amp; Team Lists'!$J$5:$J$204,D331)&gt;0,ISNUMBER(SEARCH("alpha nodus",F331))),"Yes","No"))</f>
        <v/>
      </c>
      <c r="O331" s="33" t="str">
        <f aca="false">IF(D331="","",IF(N331="Yes","No",IF(OR(AND(F331&lt;&gt;"",COUNTIF('Target &amp; Team Lists'!$A$5:$A$504,F331)&gt;0),COUNTIF('Target &amp; Team Lists'!$E$5:$E$504,D331)&gt;0),"Yes","No")))</f>
        <v/>
      </c>
      <c r="P331" s="31"/>
    </row>
    <row r="332" customFormat="false" ht="15" hidden="false" customHeight="false" outlineLevel="0" collapsed="false">
      <c r="A332" s="34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2" t="str">
        <f aca="false">IF(D332="","",IF(SUM(H332:K332)&gt;0,1,0))</f>
        <v/>
      </c>
      <c r="N332" s="33" t="str">
        <f aca="false">IF(D332="","",IF(OR(COUNTIF('Target &amp; Team Lists'!$J$5:$J$204,D332)&gt;0,ISNUMBER(SEARCH("alpha nodus",F332))),"Yes","No"))</f>
        <v/>
      </c>
      <c r="O332" s="33" t="str">
        <f aca="false">IF(D332="","",IF(N332="Yes","No",IF(OR(AND(F332&lt;&gt;"",COUNTIF('Target &amp; Team Lists'!$A$5:$A$504,F332)&gt;0),COUNTIF('Target &amp; Team Lists'!$E$5:$E$504,D332)&gt;0),"Yes","No")))</f>
        <v/>
      </c>
      <c r="P332" s="31"/>
    </row>
    <row r="333" customFormat="false" ht="15" hidden="false" customHeight="false" outlineLevel="0" collapsed="false">
      <c r="A333" s="34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2" t="str">
        <f aca="false">IF(D333="","",IF(SUM(H333:K333)&gt;0,1,0))</f>
        <v/>
      </c>
      <c r="N333" s="33" t="str">
        <f aca="false">IF(D333="","",IF(OR(COUNTIF('Target &amp; Team Lists'!$J$5:$J$204,D333)&gt;0,ISNUMBER(SEARCH("alpha nodus",F333))),"Yes","No"))</f>
        <v/>
      </c>
      <c r="O333" s="33" t="str">
        <f aca="false">IF(D333="","",IF(N333="Yes","No",IF(OR(AND(F333&lt;&gt;"",COUNTIF('Target &amp; Team Lists'!$A$5:$A$504,F333)&gt;0),COUNTIF('Target &amp; Team Lists'!$E$5:$E$504,D333)&gt;0),"Yes","No")))</f>
        <v/>
      </c>
      <c r="P333" s="31"/>
    </row>
    <row r="334" customFormat="false" ht="15" hidden="false" customHeight="false" outlineLevel="0" collapsed="false">
      <c r="A334" s="34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2" t="str">
        <f aca="false">IF(D334="","",IF(SUM(H334:K334)&gt;0,1,0))</f>
        <v/>
      </c>
      <c r="N334" s="33" t="str">
        <f aca="false">IF(D334="","",IF(OR(COUNTIF('Target &amp; Team Lists'!$J$5:$J$204,D334)&gt;0,ISNUMBER(SEARCH("alpha nodus",F334))),"Yes","No"))</f>
        <v/>
      </c>
      <c r="O334" s="33" t="str">
        <f aca="false">IF(D334="","",IF(N334="Yes","No",IF(OR(AND(F334&lt;&gt;"",COUNTIF('Target &amp; Team Lists'!$A$5:$A$504,F334)&gt;0),COUNTIF('Target &amp; Team Lists'!$E$5:$E$504,D334)&gt;0),"Yes","No")))</f>
        <v/>
      </c>
      <c r="P334" s="31"/>
    </row>
    <row r="335" customFormat="false" ht="15" hidden="false" customHeight="false" outlineLevel="0" collapsed="false">
      <c r="A335" s="34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2" t="str">
        <f aca="false">IF(D335="","",IF(SUM(H335:K335)&gt;0,1,0))</f>
        <v/>
      </c>
      <c r="N335" s="33" t="str">
        <f aca="false">IF(D335="","",IF(OR(COUNTIF('Target &amp; Team Lists'!$J$5:$J$204,D335)&gt;0,ISNUMBER(SEARCH("alpha nodus",F335))),"Yes","No"))</f>
        <v/>
      </c>
      <c r="O335" s="33" t="str">
        <f aca="false">IF(D335="","",IF(N335="Yes","No",IF(OR(AND(F335&lt;&gt;"",COUNTIF('Target &amp; Team Lists'!$A$5:$A$504,F335)&gt;0),COUNTIF('Target &amp; Team Lists'!$E$5:$E$504,D335)&gt;0),"Yes","No")))</f>
        <v/>
      </c>
      <c r="P335" s="31"/>
    </row>
    <row r="336" customFormat="false" ht="15" hidden="false" customHeight="false" outlineLevel="0" collapsed="false">
      <c r="A336" s="34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2" t="str">
        <f aca="false">IF(D336="","",IF(SUM(H336:K336)&gt;0,1,0))</f>
        <v/>
      </c>
      <c r="N336" s="33" t="str">
        <f aca="false">IF(D336="","",IF(OR(COUNTIF('Target &amp; Team Lists'!$J$5:$J$204,D336)&gt;0,ISNUMBER(SEARCH("alpha nodus",F336))),"Yes","No"))</f>
        <v/>
      </c>
      <c r="O336" s="33" t="str">
        <f aca="false">IF(D336="","",IF(N336="Yes","No",IF(OR(AND(F336&lt;&gt;"",COUNTIF('Target &amp; Team Lists'!$A$5:$A$504,F336)&gt;0),COUNTIF('Target &amp; Team Lists'!$E$5:$E$504,D336)&gt;0),"Yes","No")))</f>
        <v/>
      </c>
      <c r="P336" s="31"/>
    </row>
    <row r="337" customFormat="false" ht="15" hidden="false" customHeight="false" outlineLevel="0" collapsed="false">
      <c r="A337" s="34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2" t="str">
        <f aca="false">IF(D337="","",IF(SUM(H337:K337)&gt;0,1,0))</f>
        <v/>
      </c>
      <c r="N337" s="33" t="str">
        <f aca="false">IF(D337="","",IF(OR(COUNTIF('Target &amp; Team Lists'!$J$5:$J$204,D337)&gt;0,ISNUMBER(SEARCH("alpha nodus",F337))),"Yes","No"))</f>
        <v/>
      </c>
      <c r="O337" s="33" t="str">
        <f aca="false">IF(D337="","",IF(N337="Yes","No",IF(OR(AND(F337&lt;&gt;"",COUNTIF('Target &amp; Team Lists'!$A$5:$A$504,F337)&gt;0),COUNTIF('Target &amp; Team Lists'!$E$5:$E$504,D337)&gt;0),"Yes","No")))</f>
        <v/>
      </c>
      <c r="P337" s="31"/>
    </row>
    <row r="338" customFormat="false" ht="15" hidden="false" customHeight="false" outlineLevel="0" collapsed="false">
      <c r="A338" s="34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2" t="str">
        <f aca="false">IF(D338="","",IF(SUM(H338:K338)&gt;0,1,0))</f>
        <v/>
      </c>
      <c r="N338" s="33" t="str">
        <f aca="false">IF(D338="","",IF(OR(COUNTIF('Target &amp; Team Lists'!$J$5:$J$204,D338)&gt;0,ISNUMBER(SEARCH("alpha nodus",F338))),"Yes","No"))</f>
        <v/>
      </c>
      <c r="O338" s="33" t="str">
        <f aca="false">IF(D338="","",IF(N338="Yes","No",IF(OR(AND(F338&lt;&gt;"",COUNTIF('Target &amp; Team Lists'!$A$5:$A$504,F338)&gt;0),COUNTIF('Target &amp; Team Lists'!$E$5:$E$504,D338)&gt;0),"Yes","No")))</f>
        <v/>
      </c>
      <c r="P338" s="31"/>
    </row>
    <row r="339" customFormat="false" ht="15" hidden="false" customHeight="false" outlineLevel="0" collapsed="false">
      <c r="A339" s="34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2" t="str">
        <f aca="false">IF(D339="","",IF(SUM(H339:K339)&gt;0,1,0))</f>
        <v/>
      </c>
      <c r="N339" s="33" t="str">
        <f aca="false">IF(D339="","",IF(OR(COUNTIF('Target &amp; Team Lists'!$J$5:$J$204,D339)&gt;0,ISNUMBER(SEARCH("alpha nodus",F339))),"Yes","No"))</f>
        <v/>
      </c>
      <c r="O339" s="33" t="str">
        <f aca="false">IF(D339="","",IF(N339="Yes","No",IF(OR(AND(F339&lt;&gt;"",COUNTIF('Target &amp; Team Lists'!$A$5:$A$504,F339)&gt;0),COUNTIF('Target &amp; Team Lists'!$E$5:$E$504,D339)&gt;0),"Yes","No")))</f>
        <v/>
      </c>
      <c r="P339" s="31"/>
    </row>
    <row r="340" customFormat="false" ht="15" hidden="false" customHeight="false" outlineLevel="0" collapsed="false">
      <c r="A340" s="34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2" t="str">
        <f aca="false">IF(D340="","",IF(SUM(H340:K340)&gt;0,1,0))</f>
        <v/>
      </c>
      <c r="N340" s="33" t="str">
        <f aca="false">IF(D340="","",IF(OR(COUNTIF('Target &amp; Team Lists'!$J$5:$J$204,D340)&gt;0,ISNUMBER(SEARCH("alpha nodus",F340))),"Yes","No"))</f>
        <v/>
      </c>
      <c r="O340" s="33" t="str">
        <f aca="false">IF(D340="","",IF(N340="Yes","No",IF(OR(AND(F340&lt;&gt;"",COUNTIF('Target &amp; Team Lists'!$A$5:$A$504,F340)&gt;0),COUNTIF('Target &amp; Team Lists'!$E$5:$E$504,D340)&gt;0),"Yes","No")))</f>
        <v/>
      </c>
      <c r="P340" s="31"/>
    </row>
    <row r="341" customFormat="false" ht="15" hidden="false" customHeight="false" outlineLevel="0" collapsed="false">
      <c r="A341" s="34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2" t="str">
        <f aca="false">IF(D341="","",IF(SUM(H341:K341)&gt;0,1,0))</f>
        <v/>
      </c>
      <c r="N341" s="33" t="str">
        <f aca="false">IF(D341="","",IF(OR(COUNTIF('Target &amp; Team Lists'!$J$5:$J$204,D341)&gt;0,ISNUMBER(SEARCH("alpha nodus",F341))),"Yes","No"))</f>
        <v/>
      </c>
      <c r="O341" s="33" t="str">
        <f aca="false">IF(D341="","",IF(N341="Yes","No",IF(OR(AND(F341&lt;&gt;"",COUNTIF('Target &amp; Team Lists'!$A$5:$A$504,F341)&gt;0),COUNTIF('Target &amp; Team Lists'!$E$5:$E$504,D341)&gt;0),"Yes","No")))</f>
        <v/>
      </c>
      <c r="P341" s="31"/>
    </row>
    <row r="342" customFormat="false" ht="15" hidden="false" customHeight="false" outlineLevel="0" collapsed="false">
      <c r="A342" s="34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2" t="str">
        <f aca="false">IF(D342="","",IF(SUM(H342:K342)&gt;0,1,0))</f>
        <v/>
      </c>
      <c r="N342" s="33" t="str">
        <f aca="false">IF(D342="","",IF(OR(COUNTIF('Target &amp; Team Lists'!$J$5:$J$204,D342)&gt;0,ISNUMBER(SEARCH("alpha nodus",F342))),"Yes","No"))</f>
        <v/>
      </c>
      <c r="O342" s="33" t="str">
        <f aca="false">IF(D342="","",IF(N342="Yes","No",IF(OR(AND(F342&lt;&gt;"",COUNTIF('Target &amp; Team Lists'!$A$5:$A$504,F342)&gt;0),COUNTIF('Target &amp; Team Lists'!$E$5:$E$504,D342)&gt;0),"Yes","No")))</f>
        <v/>
      </c>
      <c r="P342" s="31"/>
    </row>
    <row r="343" customFormat="false" ht="15" hidden="false" customHeight="false" outlineLevel="0" collapsed="false">
      <c r="A343" s="34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2" t="str">
        <f aca="false">IF(D343="","",IF(SUM(H343:K343)&gt;0,1,0))</f>
        <v/>
      </c>
      <c r="N343" s="33" t="str">
        <f aca="false">IF(D343="","",IF(OR(COUNTIF('Target &amp; Team Lists'!$J$5:$J$204,D343)&gt;0,ISNUMBER(SEARCH("alpha nodus",F343))),"Yes","No"))</f>
        <v/>
      </c>
      <c r="O343" s="33" t="str">
        <f aca="false">IF(D343="","",IF(N343="Yes","No",IF(OR(AND(F343&lt;&gt;"",COUNTIF('Target &amp; Team Lists'!$A$5:$A$504,F343)&gt;0),COUNTIF('Target &amp; Team Lists'!$E$5:$E$504,D343)&gt;0),"Yes","No")))</f>
        <v/>
      </c>
      <c r="P343" s="31"/>
    </row>
    <row r="344" customFormat="false" ht="15" hidden="false" customHeight="false" outlineLevel="0" collapsed="false">
      <c r="A344" s="34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2" t="str">
        <f aca="false">IF(D344="","",IF(SUM(H344:K344)&gt;0,1,0))</f>
        <v/>
      </c>
      <c r="N344" s="33" t="str">
        <f aca="false">IF(D344="","",IF(OR(COUNTIF('Target &amp; Team Lists'!$J$5:$J$204,D344)&gt;0,ISNUMBER(SEARCH("alpha nodus",F344))),"Yes","No"))</f>
        <v/>
      </c>
      <c r="O344" s="33" t="str">
        <f aca="false">IF(D344="","",IF(N344="Yes","No",IF(OR(AND(F344&lt;&gt;"",COUNTIF('Target &amp; Team Lists'!$A$5:$A$504,F344)&gt;0),COUNTIF('Target &amp; Team Lists'!$E$5:$E$504,D344)&gt;0),"Yes","No")))</f>
        <v/>
      </c>
      <c r="P344" s="31"/>
    </row>
    <row r="345" customFormat="false" ht="15" hidden="false" customHeight="false" outlineLevel="0" collapsed="false">
      <c r="A345" s="34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2" t="str">
        <f aca="false">IF(D345="","",IF(SUM(H345:K345)&gt;0,1,0))</f>
        <v/>
      </c>
      <c r="N345" s="33" t="str">
        <f aca="false">IF(D345="","",IF(OR(COUNTIF('Target &amp; Team Lists'!$J$5:$J$204,D345)&gt;0,ISNUMBER(SEARCH("alpha nodus",F345))),"Yes","No"))</f>
        <v/>
      </c>
      <c r="O345" s="33" t="str">
        <f aca="false">IF(D345="","",IF(N345="Yes","No",IF(OR(AND(F345&lt;&gt;"",COUNTIF('Target &amp; Team Lists'!$A$5:$A$504,F345)&gt;0),COUNTIF('Target &amp; Team Lists'!$E$5:$E$504,D345)&gt;0),"Yes","No")))</f>
        <v/>
      </c>
      <c r="P345" s="31"/>
    </row>
    <row r="346" customFormat="false" ht="15" hidden="false" customHeight="false" outlineLevel="0" collapsed="false">
      <c r="A346" s="34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2" t="str">
        <f aca="false">IF(D346="","",IF(SUM(H346:K346)&gt;0,1,0))</f>
        <v/>
      </c>
      <c r="N346" s="33" t="str">
        <f aca="false">IF(D346="","",IF(OR(COUNTIF('Target &amp; Team Lists'!$J$5:$J$204,D346)&gt;0,ISNUMBER(SEARCH("alpha nodus",F346))),"Yes","No"))</f>
        <v/>
      </c>
      <c r="O346" s="33" t="str">
        <f aca="false">IF(D346="","",IF(N346="Yes","No",IF(OR(AND(F346&lt;&gt;"",COUNTIF('Target &amp; Team Lists'!$A$5:$A$504,F346)&gt;0),COUNTIF('Target &amp; Team Lists'!$E$5:$E$504,D346)&gt;0),"Yes","No")))</f>
        <v/>
      </c>
      <c r="P346" s="31"/>
    </row>
    <row r="347" customFormat="false" ht="15" hidden="false" customHeight="false" outlineLevel="0" collapsed="false">
      <c r="A347" s="34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2" t="str">
        <f aca="false">IF(D347="","",IF(SUM(H347:K347)&gt;0,1,0))</f>
        <v/>
      </c>
      <c r="N347" s="33" t="str">
        <f aca="false">IF(D347="","",IF(OR(COUNTIF('Target &amp; Team Lists'!$J$5:$J$204,D347)&gt;0,ISNUMBER(SEARCH("alpha nodus",F347))),"Yes","No"))</f>
        <v/>
      </c>
      <c r="O347" s="33" t="str">
        <f aca="false">IF(D347="","",IF(N347="Yes","No",IF(OR(AND(F347&lt;&gt;"",COUNTIF('Target &amp; Team Lists'!$A$5:$A$504,F347)&gt;0),COUNTIF('Target &amp; Team Lists'!$E$5:$E$504,D347)&gt;0),"Yes","No")))</f>
        <v/>
      </c>
      <c r="P347" s="31"/>
    </row>
    <row r="348" customFormat="false" ht="15" hidden="false" customHeight="false" outlineLevel="0" collapsed="false">
      <c r="A348" s="34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2" t="str">
        <f aca="false">IF(D348="","",IF(SUM(H348:K348)&gt;0,1,0))</f>
        <v/>
      </c>
      <c r="N348" s="33" t="str">
        <f aca="false">IF(D348="","",IF(OR(COUNTIF('Target &amp; Team Lists'!$J$5:$J$204,D348)&gt;0,ISNUMBER(SEARCH("alpha nodus",F348))),"Yes","No"))</f>
        <v/>
      </c>
      <c r="O348" s="33" t="str">
        <f aca="false">IF(D348="","",IF(N348="Yes","No",IF(OR(AND(F348&lt;&gt;"",COUNTIF('Target &amp; Team Lists'!$A$5:$A$504,F348)&gt;0),COUNTIF('Target &amp; Team Lists'!$E$5:$E$504,D348)&gt;0),"Yes","No")))</f>
        <v/>
      </c>
      <c r="P348" s="31"/>
    </row>
    <row r="349" customFormat="false" ht="15" hidden="false" customHeight="false" outlineLevel="0" collapsed="false">
      <c r="A349" s="34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2" t="str">
        <f aca="false">IF(D349="","",IF(SUM(H349:K349)&gt;0,1,0))</f>
        <v/>
      </c>
      <c r="N349" s="33" t="str">
        <f aca="false">IF(D349="","",IF(OR(COUNTIF('Target &amp; Team Lists'!$J$5:$J$204,D349)&gt;0,ISNUMBER(SEARCH("alpha nodus",F349))),"Yes","No"))</f>
        <v/>
      </c>
      <c r="O349" s="33" t="str">
        <f aca="false">IF(D349="","",IF(N349="Yes","No",IF(OR(AND(F349&lt;&gt;"",COUNTIF('Target &amp; Team Lists'!$A$5:$A$504,F349)&gt;0),COUNTIF('Target &amp; Team Lists'!$E$5:$E$504,D349)&gt;0),"Yes","No")))</f>
        <v/>
      </c>
      <c r="P349" s="31"/>
    </row>
    <row r="350" customFormat="false" ht="15" hidden="false" customHeight="false" outlineLevel="0" collapsed="false">
      <c r="A350" s="34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2" t="str">
        <f aca="false">IF(D350="","",IF(SUM(H350:K350)&gt;0,1,0))</f>
        <v/>
      </c>
      <c r="N350" s="33" t="str">
        <f aca="false">IF(D350="","",IF(OR(COUNTIF('Target &amp; Team Lists'!$J$5:$J$204,D350)&gt;0,ISNUMBER(SEARCH("alpha nodus",F350))),"Yes","No"))</f>
        <v/>
      </c>
      <c r="O350" s="33" t="str">
        <f aca="false">IF(D350="","",IF(N350="Yes","No",IF(OR(AND(F350&lt;&gt;"",COUNTIF('Target &amp; Team Lists'!$A$5:$A$504,F350)&gt;0),COUNTIF('Target &amp; Team Lists'!$E$5:$E$504,D350)&gt;0),"Yes","No")))</f>
        <v/>
      </c>
      <c r="P350" s="31"/>
    </row>
    <row r="351" customFormat="false" ht="15" hidden="false" customHeight="false" outlineLevel="0" collapsed="false">
      <c r="A351" s="34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2" t="str">
        <f aca="false">IF(D351="","",IF(SUM(H351:K351)&gt;0,1,0))</f>
        <v/>
      </c>
      <c r="N351" s="33" t="str">
        <f aca="false">IF(D351="","",IF(OR(COUNTIF('Target &amp; Team Lists'!$J$5:$J$204,D351)&gt;0,ISNUMBER(SEARCH("alpha nodus",F351))),"Yes","No"))</f>
        <v/>
      </c>
      <c r="O351" s="33" t="str">
        <f aca="false">IF(D351="","",IF(N351="Yes","No",IF(OR(AND(F351&lt;&gt;"",COUNTIF('Target &amp; Team Lists'!$A$5:$A$504,F351)&gt;0),COUNTIF('Target &amp; Team Lists'!$E$5:$E$504,D351)&gt;0),"Yes","No")))</f>
        <v/>
      </c>
      <c r="P351" s="31"/>
    </row>
    <row r="352" customFormat="false" ht="15" hidden="false" customHeight="false" outlineLevel="0" collapsed="false">
      <c r="A352" s="34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2" t="str">
        <f aca="false">IF(D352="","",IF(SUM(H352:K352)&gt;0,1,0))</f>
        <v/>
      </c>
      <c r="N352" s="33" t="str">
        <f aca="false">IF(D352="","",IF(OR(COUNTIF('Target &amp; Team Lists'!$J$5:$J$204,D352)&gt;0,ISNUMBER(SEARCH("alpha nodus",F352))),"Yes","No"))</f>
        <v/>
      </c>
      <c r="O352" s="33" t="str">
        <f aca="false">IF(D352="","",IF(N352="Yes","No",IF(OR(AND(F352&lt;&gt;"",COUNTIF('Target &amp; Team Lists'!$A$5:$A$504,F352)&gt;0),COUNTIF('Target &amp; Team Lists'!$E$5:$E$504,D352)&gt;0),"Yes","No")))</f>
        <v/>
      </c>
      <c r="P352" s="31"/>
    </row>
    <row r="353" customFormat="false" ht="15" hidden="false" customHeight="false" outlineLevel="0" collapsed="false">
      <c r="A353" s="34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2" t="str">
        <f aca="false">IF(D353="","",IF(SUM(H353:K353)&gt;0,1,0))</f>
        <v/>
      </c>
      <c r="N353" s="33" t="str">
        <f aca="false">IF(D353="","",IF(OR(COUNTIF('Target &amp; Team Lists'!$J$5:$J$204,D353)&gt;0,ISNUMBER(SEARCH("alpha nodus",F353))),"Yes","No"))</f>
        <v/>
      </c>
      <c r="O353" s="33" t="str">
        <f aca="false">IF(D353="","",IF(N353="Yes","No",IF(OR(AND(F353&lt;&gt;"",COUNTIF('Target &amp; Team Lists'!$A$5:$A$504,F353)&gt;0),COUNTIF('Target &amp; Team Lists'!$E$5:$E$504,D353)&gt;0),"Yes","No")))</f>
        <v/>
      </c>
      <c r="P353" s="31"/>
    </row>
    <row r="354" customFormat="false" ht="15" hidden="false" customHeight="false" outlineLevel="0" collapsed="false">
      <c r="A354" s="34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2" t="str">
        <f aca="false">IF(D354="","",IF(SUM(H354:K354)&gt;0,1,0))</f>
        <v/>
      </c>
      <c r="N354" s="33" t="str">
        <f aca="false">IF(D354="","",IF(OR(COUNTIF('Target &amp; Team Lists'!$J$5:$J$204,D354)&gt;0,ISNUMBER(SEARCH("alpha nodus",F354))),"Yes","No"))</f>
        <v/>
      </c>
      <c r="O354" s="33" t="str">
        <f aca="false">IF(D354="","",IF(N354="Yes","No",IF(OR(AND(F354&lt;&gt;"",COUNTIF('Target &amp; Team Lists'!$A$5:$A$504,F354)&gt;0),COUNTIF('Target &amp; Team Lists'!$E$5:$E$504,D354)&gt;0),"Yes","No")))</f>
        <v/>
      </c>
      <c r="P354" s="31"/>
    </row>
    <row r="355" customFormat="false" ht="15" hidden="false" customHeight="false" outlineLevel="0" collapsed="false">
      <c r="A355" s="34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2" t="str">
        <f aca="false">IF(D355="","",IF(SUM(H355:K355)&gt;0,1,0))</f>
        <v/>
      </c>
      <c r="N355" s="33" t="str">
        <f aca="false">IF(D355="","",IF(OR(COUNTIF('Target &amp; Team Lists'!$J$5:$J$204,D355)&gt;0,ISNUMBER(SEARCH("alpha nodus",F355))),"Yes","No"))</f>
        <v/>
      </c>
      <c r="O355" s="33" t="str">
        <f aca="false">IF(D355="","",IF(N355="Yes","No",IF(OR(AND(F355&lt;&gt;"",COUNTIF('Target &amp; Team Lists'!$A$5:$A$504,F355)&gt;0),COUNTIF('Target &amp; Team Lists'!$E$5:$E$504,D355)&gt;0),"Yes","No")))</f>
        <v/>
      </c>
      <c r="P355" s="31"/>
    </row>
    <row r="356" customFormat="false" ht="15" hidden="false" customHeight="false" outlineLevel="0" collapsed="false">
      <c r="A356" s="34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2" t="str">
        <f aca="false">IF(D356="","",IF(SUM(H356:K356)&gt;0,1,0))</f>
        <v/>
      </c>
      <c r="N356" s="33" t="str">
        <f aca="false">IF(D356="","",IF(OR(COUNTIF('Target &amp; Team Lists'!$J$5:$J$204,D356)&gt;0,ISNUMBER(SEARCH("alpha nodus",F356))),"Yes","No"))</f>
        <v/>
      </c>
      <c r="O356" s="33" t="str">
        <f aca="false">IF(D356="","",IF(N356="Yes","No",IF(OR(AND(F356&lt;&gt;"",COUNTIF('Target &amp; Team Lists'!$A$5:$A$504,F356)&gt;0),COUNTIF('Target &amp; Team Lists'!$E$5:$E$504,D356)&gt;0),"Yes","No")))</f>
        <v/>
      </c>
      <c r="P356" s="31"/>
    </row>
    <row r="357" customFormat="false" ht="15" hidden="false" customHeight="false" outlineLevel="0" collapsed="false">
      <c r="A357" s="34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2" t="str">
        <f aca="false">IF(D357="","",IF(SUM(H357:K357)&gt;0,1,0))</f>
        <v/>
      </c>
      <c r="N357" s="33" t="str">
        <f aca="false">IF(D357="","",IF(OR(COUNTIF('Target &amp; Team Lists'!$J$5:$J$204,D357)&gt;0,ISNUMBER(SEARCH("alpha nodus",F357))),"Yes","No"))</f>
        <v/>
      </c>
      <c r="O357" s="33" t="str">
        <f aca="false">IF(D357="","",IF(N357="Yes","No",IF(OR(AND(F357&lt;&gt;"",COUNTIF('Target &amp; Team Lists'!$A$5:$A$504,F357)&gt;0),COUNTIF('Target &amp; Team Lists'!$E$5:$E$504,D357)&gt;0),"Yes","No")))</f>
        <v/>
      </c>
      <c r="P357" s="31"/>
    </row>
    <row r="358" customFormat="false" ht="15" hidden="false" customHeight="false" outlineLevel="0" collapsed="false">
      <c r="A358" s="34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2" t="str">
        <f aca="false">IF(D358="","",IF(SUM(H358:K358)&gt;0,1,0))</f>
        <v/>
      </c>
      <c r="N358" s="33" t="str">
        <f aca="false">IF(D358="","",IF(OR(COUNTIF('Target &amp; Team Lists'!$J$5:$J$204,D358)&gt;0,ISNUMBER(SEARCH("alpha nodus",F358))),"Yes","No"))</f>
        <v/>
      </c>
      <c r="O358" s="33" t="str">
        <f aca="false">IF(D358="","",IF(N358="Yes","No",IF(OR(AND(F358&lt;&gt;"",COUNTIF('Target &amp; Team Lists'!$A$5:$A$504,F358)&gt;0),COUNTIF('Target &amp; Team Lists'!$E$5:$E$504,D358)&gt;0),"Yes","No")))</f>
        <v/>
      </c>
      <c r="P358" s="31"/>
    </row>
    <row r="359" customFormat="false" ht="15" hidden="false" customHeight="false" outlineLevel="0" collapsed="false">
      <c r="A359" s="34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2" t="str">
        <f aca="false">IF(D359="","",IF(SUM(H359:K359)&gt;0,1,0))</f>
        <v/>
      </c>
      <c r="N359" s="33" t="str">
        <f aca="false">IF(D359="","",IF(OR(COUNTIF('Target &amp; Team Lists'!$J$5:$J$204,D359)&gt;0,ISNUMBER(SEARCH("alpha nodus",F359))),"Yes","No"))</f>
        <v/>
      </c>
      <c r="O359" s="33" t="str">
        <f aca="false">IF(D359="","",IF(N359="Yes","No",IF(OR(AND(F359&lt;&gt;"",COUNTIF('Target &amp; Team Lists'!$A$5:$A$504,F359)&gt;0),COUNTIF('Target &amp; Team Lists'!$E$5:$E$504,D359)&gt;0),"Yes","No")))</f>
        <v/>
      </c>
      <c r="P359" s="31"/>
    </row>
    <row r="360" customFormat="false" ht="15" hidden="false" customHeight="false" outlineLevel="0" collapsed="false">
      <c r="A360" s="34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2" t="str">
        <f aca="false">IF(D360="","",IF(SUM(H360:K360)&gt;0,1,0))</f>
        <v/>
      </c>
      <c r="N360" s="33" t="str">
        <f aca="false">IF(D360="","",IF(OR(COUNTIF('Target &amp; Team Lists'!$J$5:$J$204,D360)&gt;0,ISNUMBER(SEARCH("alpha nodus",F360))),"Yes","No"))</f>
        <v/>
      </c>
      <c r="O360" s="33" t="str">
        <f aca="false">IF(D360="","",IF(N360="Yes","No",IF(OR(AND(F360&lt;&gt;"",COUNTIF('Target &amp; Team Lists'!$A$5:$A$504,F360)&gt;0),COUNTIF('Target &amp; Team Lists'!$E$5:$E$504,D360)&gt;0),"Yes","No")))</f>
        <v/>
      </c>
      <c r="P360" s="31"/>
    </row>
    <row r="361" customFormat="false" ht="15" hidden="false" customHeight="false" outlineLevel="0" collapsed="false">
      <c r="A361" s="34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2" t="str">
        <f aca="false">IF(D361="","",IF(SUM(H361:K361)&gt;0,1,0))</f>
        <v/>
      </c>
      <c r="N361" s="33" t="str">
        <f aca="false">IF(D361="","",IF(OR(COUNTIF('Target &amp; Team Lists'!$J$5:$J$204,D361)&gt;0,ISNUMBER(SEARCH("alpha nodus",F361))),"Yes","No"))</f>
        <v/>
      </c>
      <c r="O361" s="33" t="str">
        <f aca="false">IF(D361="","",IF(N361="Yes","No",IF(OR(AND(F361&lt;&gt;"",COUNTIF('Target &amp; Team Lists'!$A$5:$A$504,F361)&gt;0),COUNTIF('Target &amp; Team Lists'!$E$5:$E$504,D361)&gt;0),"Yes","No")))</f>
        <v/>
      </c>
      <c r="P361" s="31"/>
    </row>
    <row r="362" customFormat="false" ht="15" hidden="false" customHeight="false" outlineLevel="0" collapsed="false">
      <c r="A362" s="34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2" t="str">
        <f aca="false">IF(D362="","",IF(SUM(H362:K362)&gt;0,1,0))</f>
        <v/>
      </c>
      <c r="N362" s="33" t="str">
        <f aca="false">IF(D362="","",IF(OR(COUNTIF('Target &amp; Team Lists'!$J$5:$J$204,D362)&gt;0,ISNUMBER(SEARCH("alpha nodus",F362))),"Yes","No"))</f>
        <v/>
      </c>
      <c r="O362" s="33" t="str">
        <f aca="false">IF(D362="","",IF(N362="Yes","No",IF(OR(AND(F362&lt;&gt;"",COUNTIF('Target &amp; Team Lists'!$A$5:$A$504,F362)&gt;0),COUNTIF('Target &amp; Team Lists'!$E$5:$E$504,D362)&gt;0),"Yes","No")))</f>
        <v/>
      </c>
      <c r="P362" s="31"/>
    </row>
    <row r="363" customFormat="false" ht="15" hidden="false" customHeight="false" outlineLevel="0" collapsed="false">
      <c r="A363" s="34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2" t="str">
        <f aca="false">IF(D363="","",IF(SUM(H363:K363)&gt;0,1,0))</f>
        <v/>
      </c>
      <c r="N363" s="33" t="str">
        <f aca="false">IF(D363="","",IF(OR(COUNTIF('Target &amp; Team Lists'!$J$5:$J$204,D363)&gt;0,ISNUMBER(SEARCH("alpha nodus",F363))),"Yes","No"))</f>
        <v/>
      </c>
      <c r="O363" s="33" t="str">
        <f aca="false">IF(D363="","",IF(N363="Yes","No",IF(OR(AND(F363&lt;&gt;"",COUNTIF('Target &amp; Team Lists'!$A$5:$A$504,F363)&gt;0),COUNTIF('Target &amp; Team Lists'!$E$5:$E$504,D363)&gt;0),"Yes","No")))</f>
        <v/>
      </c>
      <c r="P363" s="31"/>
    </row>
    <row r="364" customFormat="false" ht="15" hidden="false" customHeight="false" outlineLevel="0" collapsed="false">
      <c r="A364" s="34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2" t="str">
        <f aca="false">IF(D364="","",IF(SUM(H364:K364)&gt;0,1,0))</f>
        <v/>
      </c>
      <c r="N364" s="33" t="str">
        <f aca="false">IF(D364="","",IF(OR(COUNTIF('Target &amp; Team Lists'!$J$5:$J$204,D364)&gt;0,ISNUMBER(SEARCH("alpha nodus",F364))),"Yes","No"))</f>
        <v/>
      </c>
      <c r="O364" s="33" t="str">
        <f aca="false">IF(D364="","",IF(N364="Yes","No",IF(OR(AND(F364&lt;&gt;"",COUNTIF('Target &amp; Team Lists'!$A$5:$A$504,F364)&gt;0),COUNTIF('Target &amp; Team Lists'!$E$5:$E$504,D364)&gt;0),"Yes","No")))</f>
        <v/>
      </c>
      <c r="P364" s="31"/>
    </row>
    <row r="365" customFormat="false" ht="15" hidden="false" customHeight="false" outlineLevel="0" collapsed="false">
      <c r="A365" s="34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2" t="str">
        <f aca="false">IF(D365="","",IF(SUM(H365:K365)&gt;0,1,0))</f>
        <v/>
      </c>
      <c r="N365" s="33" t="str">
        <f aca="false">IF(D365="","",IF(OR(COUNTIF('Target &amp; Team Lists'!$J$5:$J$204,D365)&gt;0,ISNUMBER(SEARCH("alpha nodus",F365))),"Yes","No"))</f>
        <v/>
      </c>
      <c r="O365" s="33" t="str">
        <f aca="false">IF(D365="","",IF(N365="Yes","No",IF(OR(AND(F365&lt;&gt;"",COUNTIF('Target &amp; Team Lists'!$A$5:$A$504,F365)&gt;0),COUNTIF('Target &amp; Team Lists'!$E$5:$E$504,D365)&gt;0),"Yes","No")))</f>
        <v/>
      </c>
      <c r="P365" s="31"/>
    </row>
    <row r="366" customFormat="false" ht="15" hidden="false" customHeight="false" outlineLevel="0" collapsed="false">
      <c r="A366" s="34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2" t="str">
        <f aca="false">IF(D366="","",IF(SUM(H366:K366)&gt;0,1,0))</f>
        <v/>
      </c>
      <c r="N366" s="33" t="str">
        <f aca="false">IF(D366="","",IF(OR(COUNTIF('Target &amp; Team Lists'!$J$5:$J$204,D366)&gt;0,ISNUMBER(SEARCH("alpha nodus",F366))),"Yes","No"))</f>
        <v/>
      </c>
      <c r="O366" s="33" t="str">
        <f aca="false">IF(D366="","",IF(N366="Yes","No",IF(OR(AND(F366&lt;&gt;"",COUNTIF('Target &amp; Team Lists'!$A$5:$A$504,F366)&gt;0),COUNTIF('Target &amp; Team Lists'!$E$5:$E$504,D366)&gt;0),"Yes","No")))</f>
        <v/>
      </c>
      <c r="P366" s="31"/>
    </row>
    <row r="367" customFormat="false" ht="15" hidden="false" customHeight="false" outlineLevel="0" collapsed="false">
      <c r="A367" s="34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2" t="str">
        <f aca="false">IF(D367="","",IF(SUM(H367:K367)&gt;0,1,0))</f>
        <v/>
      </c>
      <c r="N367" s="33" t="str">
        <f aca="false">IF(D367="","",IF(OR(COUNTIF('Target &amp; Team Lists'!$J$5:$J$204,D367)&gt;0,ISNUMBER(SEARCH("alpha nodus",F367))),"Yes","No"))</f>
        <v/>
      </c>
      <c r="O367" s="33" t="str">
        <f aca="false">IF(D367="","",IF(N367="Yes","No",IF(OR(AND(F367&lt;&gt;"",COUNTIF('Target &amp; Team Lists'!$A$5:$A$504,F367)&gt;0),COUNTIF('Target &amp; Team Lists'!$E$5:$E$504,D367)&gt;0),"Yes","No")))</f>
        <v/>
      </c>
      <c r="P367" s="31"/>
    </row>
    <row r="368" customFormat="false" ht="15" hidden="false" customHeight="false" outlineLevel="0" collapsed="false">
      <c r="A368" s="34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2" t="str">
        <f aca="false">IF(D368="","",IF(SUM(H368:K368)&gt;0,1,0))</f>
        <v/>
      </c>
      <c r="N368" s="33" t="str">
        <f aca="false">IF(D368="","",IF(OR(COUNTIF('Target &amp; Team Lists'!$J$5:$J$204,D368)&gt;0,ISNUMBER(SEARCH("alpha nodus",F368))),"Yes","No"))</f>
        <v/>
      </c>
      <c r="O368" s="33" t="str">
        <f aca="false">IF(D368="","",IF(N368="Yes","No",IF(OR(AND(F368&lt;&gt;"",COUNTIF('Target &amp; Team Lists'!$A$5:$A$504,F368)&gt;0),COUNTIF('Target &amp; Team Lists'!$E$5:$E$504,D368)&gt;0),"Yes","No")))</f>
        <v/>
      </c>
      <c r="P368" s="31"/>
    </row>
    <row r="369" customFormat="false" ht="15" hidden="false" customHeight="false" outlineLevel="0" collapsed="false">
      <c r="A369" s="34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2" t="str">
        <f aca="false">IF(D369="","",IF(SUM(H369:K369)&gt;0,1,0))</f>
        <v/>
      </c>
      <c r="N369" s="33" t="str">
        <f aca="false">IF(D369="","",IF(OR(COUNTIF('Target &amp; Team Lists'!$J$5:$J$204,D369)&gt;0,ISNUMBER(SEARCH("alpha nodus",F369))),"Yes","No"))</f>
        <v/>
      </c>
      <c r="O369" s="33" t="str">
        <f aca="false">IF(D369="","",IF(N369="Yes","No",IF(OR(AND(F369&lt;&gt;"",COUNTIF('Target &amp; Team Lists'!$A$5:$A$504,F369)&gt;0),COUNTIF('Target &amp; Team Lists'!$E$5:$E$504,D369)&gt;0),"Yes","No")))</f>
        <v/>
      </c>
      <c r="P369" s="31"/>
    </row>
    <row r="370" customFormat="false" ht="15" hidden="false" customHeight="false" outlineLevel="0" collapsed="false">
      <c r="A370" s="34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2" t="str">
        <f aca="false">IF(D370="","",IF(SUM(H370:K370)&gt;0,1,0))</f>
        <v/>
      </c>
      <c r="N370" s="33" t="str">
        <f aca="false">IF(D370="","",IF(OR(COUNTIF('Target &amp; Team Lists'!$J$5:$J$204,D370)&gt;0,ISNUMBER(SEARCH("alpha nodus",F370))),"Yes","No"))</f>
        <v/>
      </c>
      <c r="O370" s="33" t="str">
        <f aca="false">IF(D370="","",IF(N370="Yes","No",IF(OR(AND(F370&lt;&gt;"",COUNTIF('Target &amp; Team Lists'!$A$5:$A$504,F370)&gt;0),COUNTIF('Target &amp; Team Lists'!$E$5:$E$504,D370)&gt;0),"Yes","No")))</f>
        <v/>
      </c>
      <c r="P370" s="31"/>
    </row>
    <row r="371" customFormat="false" ht="15" hidden="false" customHeight="false" outlineLevel="0" collapsed="false">
      <c r="A371" s="34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2" t="str">
        <f aca="false">IF(D371="","",IF(SUM(H371:K371)&gt;0,1,0))</f>
        <v/>
      </c>
      <c r="N371" s="33" t="str">
        <f aca="false">IF(D371="","",IF(OR(COUNTIF('Target &amp; Team Lists'!$J$5:$J$204,D371)&gt;0,ISNUMBER(SEARCH("alpha nodus",F371))),"Yes","No"))</f>
        <v/>
      </c>
      <c r="O371" s="33" t="str">
        <f aca="false">IF(D371="","",IF(N371="Yes","No",IF(OR(AND(F371&lt;&gt;"",COUNTIF('Target &amp; Team Lists'!$A$5:$A$504,F371)&gt;0),COUNTIF('Target &amp; Team Lists'!$E$5:$E$504,D371)&gt;0),"Yes","No")))</f>
        <v/>
      </c>
      <c r="P371" s="31"/>
    </row>
    <row r="372" customFormat="false" ht="15" hidden="false" customHeight="false" outlineLevel="0" collapsed="false">
      <c r="A372" s="34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2" t="str">
        <f aca="false">IF(D372="","",IF(SUM(H372:K372)&gt;0,1,0))</f>
        <v/>
      </c>
      <c r="N372" s="33" t="str">
        <f aca="false">IF(D372="","",IF(OR(COUNTIF('Target &amp; Team Lists'!$J$5:$J$204,D372)&gt;0,ISNUMBER(SEARCH("alpha nodus",F372))),"Yes","No"))</f>
        <v/>
      </c>
      <c r="O372" s="33" t="str">
        <f aca="false">IF(D372="","",IF(N372="Yes","No",IF(OR(AND(F372&lt;&gt;"",COUNTIF('Target &amp; Team Lists'!$A$5:$A$504,F372)&gt;0),COUNTIF('Target &amp; Team Lists'!$E$5:$E$504,D372)&gt;0),"Yes","No")))</f>
        <v/>
      </c>
      <c r="P372" s="31"/>
    </row>
    <row r="373" customFormat="false" ht="15" hidden="false" customHeight="false" outlineLevel="0" collapsed="false">
      <c r="A373" s="34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2" t="str">
        <f aca="false">IF(D373="","",IF(SUM(H373:K373)&gt;0,1,0))</f>
        <v/>
      </c>
      <c r="N373" s="33" t="str">
        <f aca="false">IF(D373="","",IF(OR(COUNTIF('Target &amp; Team Lists'!$J$5:$J$204,D373)&gt;0,ISNUMBER(SEARCH("alpha nodus",F373))),"Yes","No"))</f>
        <v/>
      </c>
      <c r="O373" s="33" t="str">
        <f aca="false">IF(D373="","",IF(N373="Yes","No",IF(OR(AND(F373&lt;&gt;"",COUNTIF('Target &amp; Team Lists'!$A$5:$A$504,F373)&gt;0),COUNTIF('Target &amp; Team Lists'!$E$5:$E$504,D373)&gt;0),"Yes","No")))</f>
        <v/>
      </c>
      <c r="P373" s="31"/>
    </row>
    <row r="374" customFormat="false" ht="15" hidden="false" customHeight="false" outlineLevel="0" collapsed="false">
      <c r="A374" s="34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2" t="str">
        <f aca="false">IF(D374="","",IF(SUM(H374:K374)&gt;0,1,0))</f>
        <v/>
      </c>
      <c r="N374" s="33" t="str">
        <f aca="false">IF(D374="","",IF(OR(COUNTIF('Target &amp; Team Lists'!$J$5:$J$204,D374)&gt;0,ISNUMBER(SEARCH("alpha nodus",F374))),"Yes","No"))</f>
        <v/>
      </c>
      <c r="O374" s="33" t="str">
        <f aca="false">IF(D374="","",IF(N374="Yes","No",IF(OR(AND(F374&lt;&gt;"",COUNTIF('Target &amp; Team Lists'!$A$5:$A$504,F374)&gt;0),COUNTIF('Target &amp; Team Lists'!$E$5:$E$504,D374)&gt;0),"Yes","No")))</f>
        <v/>
      </c>
      <c r="P374" s="31"/>
    </row>
    <row r="375" customFormat="false" ht="15" hidden="false" customHeight="false" outlineLevel="0" collapsed="false">
      <c r="A375" s="34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2" t="str">
        <f aca="false">IF(D375="","",IF(SUM(H375:K375)&gt;0,1,0))</f>
        <v/>
      </c>
      <c r="N375" s="33" t="str">
        <f aca="false">IF(D375="","",IF(OR(COUNTIF('Target &amp; Team Lists'!$J$5:$J$204,D375)&gt;0,ISNUMBER(SEARCH("alpha nodus",F375))),"Yes","No"))</f>
        <v/>
      </c>
      <c r="O375" s="33" t="str">
        <f aca="false">IF(D375="","",IF(N375="Yes","No",IF(OR(AND(F375&lt;&gt;"",COUNTIF('Target &amp; Team Lists'!$A$5:$A$504,F375)&gt;0),COUNTIF('Target &amp; Team Lists'!$E$5:$E$504,D375)&gt;0),"Yes","No")))</f>
        <v/>
      </c>
      <c r="P375" s="31"/>
    </row>
    <row r="376" customFormat="false" ht="15" hidden="false" customHeight="false" outlineLevel="0" collapsed="false">
      <c r="A376" s="34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2" t="str">
        <f aca="false">IF(D376="","",IF(SUM(H376:K376)&gt;0,1,0))</f>
        <v/>
      </c>
      <c r="N376" s="33" t="str">
        <f aca="false">IF(D376="","",IF(OR(COUNTIF('Target &amp; Team Lists'!$J$5:$J$204,D376)&gt;0,ISNUMBER(SEARCH("alpha nodus",F376))),"Yes","No"))</f>
        <v/>
      </c>
      <c r="O376" s="33" t="str">
        <f aca="false">IF(D376="","",IF(N376="Yes","No",IF(OR(AND(F376&lt;&gt;"",COUNTIF('Target &amp; Team Lists'!$A$5:$A$504,F376)&gt;0),COUNTIF('Target &amp; Team Lists'!$E$5:$E$504,D376)&gt;0),"Yes","No")))</f>
        <v/>
      </c>
      <c r="P376" s="31"/>
    </row>
    <row r="377" customFormat="false" ht="15" hidden="false" customHeight="false" outlineLevel="0" collapsed="false">
      <c r="A377" s="34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2" t="str">
        <f aca="false">IF(D377="","",IF(SUM(H377:K377)&gt;0,1,0))</f>
        <v/>
      </c>
      <c r="N377" s="33" t="str">
        <f aca="false">IF(D377="","",IF(OR(COUNTIF('Target &amp; Team Lists'!$J$5:$J$204,D377)&gt;0,ISNUMBER(SEARCH("alpha nodus",F377))),"Yes","No"))</f>
        <v/>
      </c>
      <c r="O377" s="33" t="str">
        <f aca="false">IF(D377="","",IF(N377="Yes","No",IF(OR(AND(F377&lt;&gt;"",COUNTIF('Target &amp; Team Lists'!$A$5:$A$504,F377)&gt;0),COUNTIF('Target &amp; Team Lists'!$E$5:$E$504,D377)&gt;0),"Yes","No")))</f>
        <v/>
      </c>
      <c r="P377" s="31"/>
    </row>
    <row r="378" customFormat="false" ht="15" hidden="false" customHeight="false" outlineLevel="0" collapsed="false">
      <c r="A378" s="34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2" t="str">
        <f aca="false">IF(D378="","",IF(SUM(H378:K378)&gt;0,1,0))</f>
        <v/>
      </c>
      <c r="N378" s="33" t="str">
        <f aca="false">IF(D378="","",IF(OR(COUNTIF('Target &amp; Team Lists'!$J$5:$J$204,D378)&gt;0,ISNUMBER(SEARCH("alpha nodus",F378))),"Yes","No"))</f>
        <v/>
      </c>
      <c r="O378" s="33" t="str">
        <f aca="false">IF(D378="","",IF(N378="Yes","No",IF(OR(AND(F378&lt;&gt;"",COUNTIF('Target &amp; Team Lists'!$A$5:$A$504,F378)&gt;0),COUNTIF('Target &amp; Team Lists'!$E$5:$E$504,D378)&gt;0),"Yes","No")))</f>
        <v/>
      </c>
      <c r="P378" s="31"/>
    </row>
    <row r="379" customFormat="false" ht="15" hidden="false" customHeight="false" outlineLevel="0" collapsed="false">
      <c r="A379" s="34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2" t="str">
        <f aca="false">IF(D379="","",IF(SUM(H379:K379)&gt;0,1,0))</f>
        <v/>
      </c>
      <c r="N379" s="33" t="str">
        <f aca="false">IF(D379="","",IF(OR(COUNTIF('Target &amp; Team Lists'!$J$5:$J$204,D379)&gt;0,ISNUMBER(SEARCH("alpha nodus",F379))),"Yes","No"))</f>
        <v/>
      </c>
      <c r="O379" s="33" t="str">
        <f aca="false">IF(D379="","",IF(N379="Yes","No",IF(OR(AND(F379&lt;&gt;"",COUNTIF('Target &amp; Team Lists'!$A$5:$A$504,F379)&gt;0),COUNTIF('Target &amp; Team Lists'!$E$5:$E$504,D379)&gt;0),"Yes","No")))</f>
        <v/>
      </c>
      <c r="P379" s="31"/>
    </row>
    <row r="380" customFormat="false" ht="15" hidden="false" customHeight="false" outlineLevel="0" collapsed="false">
      <c r="A380" s="34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2" t="str">
        <f aca="false">IF(D380="","",IF(SUM(H380:K380)&gt;0,1,0))</f>
        <v/>
      </c>
      <c r="N380" s="33" t="str">
        <f aca="false">IF(D380="","",IF(OR(COUNTIF('Target &amp; Team Lists'!$J$5:$J$204,D380)&gt;0,ISNUMBER(SEARCH("alpha nodus",F380))),"Yes","No"))</f>
        <v/>
      </c>
      <c r="O380" s="33" t="str">
        <f aca="false">IF(D380="","",IF(N380="Yes","No",IF(OR(AND(F380&lt;&gt;"",COUNTIF('Target &amp; Team Lists'!$A$5:$A$504,F380)&gt;0),COUNTIF('Target &amp; Team Lists'!$E$5:$E$504,D380)&gt;0),"Yes","No")))</f>
        <v/>
      </c>
      <c r="P380" s="31"/>
    </row>
    <row r="381" customFormat="false" ht="15" hidden="false" customHeight="false" outlineLevel="0" collapsed="false">
      <c r="A381" s="34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2" t="str">
        <f aca="false">IF(D381="","",IF(SUM(H381:K381)&gt;0,1,0))</f>
        <v/>
      </c>
      <c r="N381" s="33" t="str">
        <f aca="false">IF(D381="","",IF(OR(COUNTIF('Target &amp; Team Lists'!$J$5:$J$204,D381)&gt;0,ISNUMBER(SEARCH("alpha nodus",F381))),"Yes","No"))</f>
        <v/>
      </c>
      <c r="O381" s="33" t="str">
        <f aca="false">IF(D381="","",IF(N381="Yes","No",IF(OR(AND(F381&lt;&gt;"",COUNTIF('Target &amp; Team Lists'!$A$5:$A$504,F381)&gt;0),COUNTIF('Target &amp; Team Lists'!$E$5:$E$504,D381)&gt;0),"Yes","No")))</f>
        <v/>
      </c>
      <c r="P381" s="31"/>
    </row>
    <row r="382" customFormat="false" ht="15" hidden="false" customHeight="false" outlineLevel="0" collapsed="false">
      <c r="A382" s="34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2" t="str">
        <f aca="false">IF(D382="","",IF(SUM(H382:K382)&gt;0,1,0))</f>
        <v/>
      </c>
      <c r="N382" s="33" t="str">
        <f aca="false">IF(D382="","",IF(OR(COUNTIF('Target &amp; Team Lists'!$J$5:$J$204,D382)&gt;0,ISNUMBER(SEARCH("alpha nodus",F382))),"Yes","No"))</f>
        <v/>
      </c>
      <c r="O382" s="33" t="str">
        <f aca="false">IF(D382="","",IF(N382="Yes","No",IF(OR(AND(F382&lt;&gt;"",COUNTIF('Target &amp; Team Lists'!$A$5:$A$504,F382)&gt;0),COUNTIF('Target &amp; Team Lists'!$E$5:$E$504,D382)&gt;0),"Yes","No")))</f>
        <v/>
      </c>
      <c r="P382" s="31"/>
    </row>
    <row r="383" customFormat="false" ht="15" hidden="false" customHeight="false" outlineLevel="0" collapsed="false">
      <c r="A383" s="34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2" t="str">
        <f aca="false">IF(D383="","",IF(SUM(H383:K383)&gt;0,1,0))</f>
        <v/>
      </c>
      <c r="N383" s="33" t="str">
        <f aca="false">IF(D383="","",IF(OR(COUNTIF('Target &amp; Team Lists'!$J$5:$J$204,D383)&gt;0,ISNUMBER(SEARCH("alpha nodus",F383))),"Yes","No"))</f>
        <v/>
      </c>
      <c r="O383" s="33" t="str">
        <f aca="false">IF(D383="","",IF(N383="Yes","No",IF(OR(AND(F383&lt;&gt;"",COUNTIF('Target &amp; Team Lists'!$A$5:$A$504,F383)&gt;0),COUNTIF('Target &amp; Team Lists'!$E$5:$E$504,D383)&gt;0),"Yes","No")))</f>
        <v/>
      </c>
      <c r="P383" s="31"/>
    </row>
    <row r="384" customFormat="false" ht="15" hidden="false" customHeight="false" outlineLevel="0" collapsed="false">
      <c r="A384" s="34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2" t="str">
        <f aca="false">IF(D384="","",IF(SUM(H384:K384)&gt;0,1,0))</f>
        <v/>
      </c>
      <c r="N384" s="33" t="str">
        <f aca="false">IF(D384="","",IF(OR(COUNTIF('Target &amp; Team Lists'!$J$5:$J$204,D384)&gt;0,ISNUMBER(SEARCH("alpha nodus",F384))),"Yes","No"))</f>
        <v/>
      </c>
      <c r="O384" s="33" t="str">
        <f aca="false">IF(D384="","",IF(N384="Yes","No",IF(OR(AND(F384&lt;&gt;"",COUNTIF('Target &amp; Team Lists'!$A$5:$A$504,F384)&gt;0),COUNTIF('Target &amp; Team Lists'!$E$5:$E$504,D384)&gt;0),"Yes","No")))</f>
        <v/>
      </c>
      <c r="P384" s="31"/>
    </row>
    <row r="385" customFormat="false" ht="15" hidden="false" customHeight="false" outlineLevel="0" collapsed="false">
      <c r="A385" s="34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2" t="str">
        <f aca="false">IF(D385="","",IF(SUM(H385:K385)&gt;0,1,0))</f>
        <v/>
      </c>
      <c r="N385" s="33" t="str">
        <f aca="false">IF(D385="","",IF(OR(COUNTIF('Target &amp; Team Lists'!$J$5:$J$204,D385)&gt;0,ISNUMBER(SEARCH("alpha nodus",F385))),"Yes","No"))</f>
        <v/>
      </c>
      <c r="O385" s="33" t="str">
        <f aca="false">IF(D385="","",IF(N385="Yes","No",IF(OR(AND(F385&lt;&gt;"",COUNTIF('Target &amp; Team Lists'!$A$5:$A$504,F385)&gt;0),COUNTIF('Target &amp; Team Lists'!$E$5:$E$504,D385)&gt;0),"Yes","No")))</f>
        <v/>
      </c>
      <c r="P385" s="31"/>
    </row>
    <row r="386" customFormat="false" ht="15" hidden="false" customHeight="false" outlineLevel="0" collapsed="false">
      <c r="A386" s="34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2" t="str">
        <f aca="false">IF(D386="","",IF(SUM(H386:K386)&gt;0,1,0))</f>
        <v/>
      </c>
      <c r="N386" s="33" t="str">
        <f aca="false">IF(D386="","",IF(OR(COUNTIF('Target &amp; Team Lists'!$J$5:$J$204,D386)&gt;0,ISNUMBER(SEARCH("alpha nodus",F386))),"Yes","No"))</f>
        <v/>
      </c>
      <c r="O386" s="33" t="str">
        <f aca="false">IF(D386="","",IF(N386="Yes","No",IF(OR(AND(F386&lt;&gt;"",COUNTIF('Target &amp; Team Lists'!$A$5:$A$504,F386)&gt;0),COUNTIF('Target &amp; Team Lists'!$E$5:$E$504,D386)&gt;0),"Yes","No")))</f>
        <v/>
      </c>
      <c r="P386" s="31"/>
    </row>
    <row r="387" customFormat="false" ht="15" hidden="false" customHeight="false" outlineLevel="0" collapsed="false">
      <c r="A387" s="34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2" t="str">
        <f aca="false">IF(D387="","",IF(SUM(H387:K387)&gt;0,1,0))</f>
        <v/>
      </c>
      <c r="N387" s="33" t="str">
        <f aca="false">IF(D387="","",IF(OR(COUNTIF('Target &amp; Team Lists'!$J$5:$J$204,D387)&gt;0,ISNUMBER(SEARCH("alpha nodus",F387))),"Yes","No"))</f>
        <v/>
      </c>
      <c r="O387" s="33" t="str">
        <f aca="false">IF(D387="","",IF(N387="Yes","No",IF(OR(AND(F387&lt;&gt;"",COUNTIF('Target &amp; Team Lists'!$A$5:$A$504,F387)&gt;0),COUNTIF('Target &amp; Team Lists'!$E$5:$E$504,D387)&gt;0),"Yes","No")))</f>
        <v/>
      </c>
      <c r="P387" s="31"/>
    </row>
    <row r="388" customFormat="false" ht="15" hidden="false" customHeight="false" outlineLevel="0" collapsed="false">
      <c r="A388" s="34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2" t="str">
        <f aca="false">IF(D388="","",IF(SUM(H388:K388)&gt;0,1,0))</f>
        <v/>
      </c>
      <c r="N388" s="33" t="str">
        <f aca="false">IF(D388="","",IF(OR(COUNTIF('Target &amp; Team Lists'!$J$5:$J$204,D388)&gt;0,ISNUMBER(SEARCH("alpha nodus",F388))),"Yes","No"))</f>
        <v/>
      </c>
      <c r="O388" s="33" t="str">
        <f aca="false">IF(D388="","",IF(N388="Yes","No",IF(OR(AND(F388&lt;&gt;"",COUNTIF('Target &amp; Team Lists'!$A$5:$A$504,F388)&gt;0),COUNTIF('Target &amp; Team Lists'!$E$5:$E$504,D388)&gt;0),"Yes","No")))</f>
        <v/>
      </c>
      <c r="P388" s="31"/>
    </row>
    <row r="389" customFormat="false" ht="15" hidden="false" customHeight="false" outlineLevel="0" collapsed="false">
      <c r="A389" s="34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2" t="str">
        <f aca="false">IF(D389="","",IF(SUM(H389:K389)&gt;0,1,0))</f>
        <v/>
      </c>
      <c r="N389" s="33" t="str">
        <f aca="false">IF(D389="","",IF(OR(COUNTIF('Target &amp; Team Lists'!$J$5:$J$204,D389)&gt;0,ISNUMBER(SEARCH("alpha nodus",F389))),"Yes","No"))</f>
        <v/>
      </c>
      <c r="O389" s="33" t="str">
        <f aca="false">IF(D389="","",IF(N389="Yes","No",IF(OR(AND(F389&lt;&gt;"",COUNTIF('Target &amp; Team Lists'!$A$5:$A$504,F389)&gt;0),COUNTIF('Target &amp; Team Lists'!$E$5:$E$504,D389)&gt;0),"Yes","No")))</f>
        <v/>
      </c>
      <c r="P389" s="31"/>
    </row>
    <row r="390" customFormat="false" ht="15" hidden="false" customHeight="false" outlineLevel="0" collapsed="false">
      <c r="A390" s="34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2" t="str">
        <f aca="false">IF(D390="","",IF(SUM(H390:K390)&gt;0,1,0))</f>
        <v/>
      </c>
      <c r="N390" s="33" t="str">
        <f aca="false">IF(D390="","",IF(OR(COUNTIF('Target &amp; Team Lists'!$J$5:$J$204,D390)&gt;0,ISNUMBER(SEARCH("alpha nodus",F390))),"Yes","No"))</f>
        <v/>
      </c>
      <c r="O390" s="33" t="str">
        <f aca="false">IF(D390="","",IF(N390="Yes","No",IF(OR(AND(F390&lt;&gt;"",COUNTIF('Target &amp; Team Lists'!$A$5:$A$504,F390)&gt;0),COUNTIF('Target &amp; Team Lists'!$E$5:$E$504,D390)&gt;0),"Yes","No")))</f>
        <v/>
      </c>
      <c r="P390" s="31"/>
    </row>
    <row r="391" customFormat="false" ht="15" hidden="false" customHeight="false" outlineLevel="0" collapsed="false">
      <c r="A391" s="34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2" t="str">
        <f aca="false">IF(D391="","",IF(SUM(H391:K391)&gt;0,1,0))</f>
        <v/>
      </c>
      <c r="N391" s="33" t="str">
        <f aca="false">IF(D391="","",IF(OR(COUNTIF('Target &amp; Team Lists'!$J$5:$J$204,D391)&gt;0,ISNUMBER(SEARCH("alpha nodus",F391))),"Yes","No"))</f>
        <v/>
      </c>
      <c r="O391" s="33" t="str">
        <f aca="false">IF(D391="","",IF(N391="Yes","No",IF(OR(AND(F391&lt;&gt;"",COUNTIF('Target &amp; Team Lists'!$A$5:$A$504,F391)&gt;0),COUNTIF('Target &amp; Team Lists'!$E$5:$E$504,D391)&gt;0),"Yes","No")))</f>
        <v/>
      </c>
      <c r="P391" s="31"/>
    </row>
    <row r="392" customFormat="false" ht="15" hidden="false" customHeight="false" outlineLevel="0" collapsed="false">
      <c r="A392" s="34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2" t="str">
        <f aca="false">IF(D392="","",IF(SUM(H392:K392)&gt;0,1,0))</f>
        <v/>
      </c>
      <c r="N392" s="33" t="str">
        <f aca="false">IF(D392="","",IF(OR(COUNTIF('Target &amp; Team Lists'!$J$5:$J$204,D392)&gt;0,ISNUMBER(SEARCH("alpha nodus",F392))),"Yes","No"))</f>
        <v/>
      </c>
      <c r="O392" s="33" t="str">
        <f aca="false">IF(D392="","",IF(N392="Yes","No",IF(OR(AND(F392&lt;&gt;"",COUNTIF('Target &amp; Team Lists'!$A$5:$A$504,F392)&gt;0),COUNTIF('Target &amp; Team Lists'!$E$5:$E$504,D392)&gt;0),"Yes","No")))</f>
        <v/>
      </c>
      <c r="P392" s="31"/>
    </row>
    <row r="393" customFormat="false" ht="15" hidden="false" customHeight="false" outlineLevel="0" collapsed="false">
      <c r="A393" s="34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2" t="str">
        <f aca="false">IF(D393="","",IF(SUM(H393:K393)&gt;0,1,0))</f>
        <v/>
      </c>
      <c r="N393" s="33" t="str">
        <f aca="false">IF(D393="","",IF(OR(COUNTIF('Target &amp; Team Lists'!$J$5:$J$204,D393)&gt;0,ISNUMBER(SEARCH("alpha nodus",F393))),"Yes","No"))</f>
        <v/>
      </c>
      <c r="O393" s="33" t="str">
        <f aca="false">IF(D393="","",IF(N393="Yes","No",IF(OR(AND(F393&lt;&gt;"",COUNTIF('Target &amp; Team Lists'!$A$5:$A$504,F393)&gt;0),COUNTIF('Target &amp; Team Lists'!$E$5:$E$504,D393)&gt;0),"Yes","No")))</f>
        <v/>
      </c>
      <c r="P393" s="31"/>
    </row>
    <row r="394" customFormat="false" ht="15" hidden="false" customHeight="false" outlineLevel="0" collapsed="false">
      <c r="A394" s="34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2" t="str">
        <f aca="false">IF(D394="","",IF(SUM(H394:K394)&gt;0,1,0))</f>
        <v/>
      </c>
      <c r="N394" s="33" t="str">
        <f aca="false">IF(D394="","",IF(OR(COUNTIF('Target &amp; Team Lists'!$J$5:$J$204,D394)&gt;0,ISNUMBER(SEARCH("alpha nodus",F394))),"Yes","No"))</f>
        <v/>
      </c>
      <c r="O394" s="33" t="str">
        <f aca="false">IF(D394="","",IF(N394="Yes","No",IF(OR(AND(F394&lt;&gt;"",COUNTIF('Target &amp; Team Lists'!$A$5:$A$504,F394)&gt;0),COUNTIF('Target &amp; Team Lists'!$E$5:$E$504,D394)&gt;0),"Yes","No")))</f>
        <v/>
      </c>
      <c r="P394" s="31"/>
    </row>
    <row r="395" customFormat="false" ht="15" hidden="false" customHeight="false" outlineLevel="0" collapsed="false">
      <c r="A395" s="34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2" t="str">
        <f aca="false">IF(D395="","",IF(SUM(H395:K395)&gt;0,1,0))</f>
        <v/>
      </c>
      <c r="N395" s="33" t="str">
        <f aca="false">IF(D395="","",IF(OR(COUNTIF('Target &amp; Team Lists'!$J$5:$J$204,D395)&gt;0,ISNUMBER(SEARCH("alpha nodus",F395))),"Yes","No"))</f>
        <v/>
      </c>
      <c r="O395" s="33" t="str">
        <f aca="false">IF(D395="","",IF(N395="Yes","No",IF(OR(AND(F395&lt;&gt;"",COUNTIF('Target &amp; Team Lists'!$A$5:$A$504,F395)&gt;0),COUNTIF('Target &amp; Team Lists'!$E$5:$E$504,D395)&gt;0),"Yes","No")))</f>
        <v/>
      </c>
      <c r="P395" s="31"/>
    </row>
    <row r="396" customFormat="false" ht="15" hidden="false" customHeight="false" outlineLevel="0" collapsed="false">
      <c r="A396" s="34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2" t="str">
        <f aca="false">IF(D396="","",IF(SUM(H396:K396)&gt;0,1,0))</f>
        <v/>
      </c>
      <c r="N396" s="33" t="str">
        <f aca="false">IF(D396="","",IF(OR(COUNTIF('Target &amp; Team Lists'!$J$5:$J$204,D396)&gt;0,ISNUMBER(SEARCH("alpha nodus",F396))),"Yes","No"))</f>
        <v/>
      </c>
      <c r="O396" s="33" t="str">
        <f aca="false">IF(D396="","",IF(N396="Yes","No",IF(OR(AND(F396&lt;&gt;"",COUNTIF('Target &amp; Team Lists'!$A$5:$A$504,F396)&gt;0),COUNTIF('Target &amp; Team Lists'!$E$5:$E$504,D396)&gt;0),"Yes","No")))</f>
        <v/>
      </c>
      <c r="P396" s="31"/>
    </row>
    <row r="397" customFormat="false" ht="15" hidden="false" customHeight="false" outlineLevel="0" collapsed="false">
      <c r="A397" s="34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2" t="str">
        <f aca="false">IF(D397="","",IF(SUM(H397:K397)&gt;0,1,0))</f>
        <v/>
      </c>
      <c r="N397" s="33" t="str">
        <f aca="false">IF(D397="","",IF(OR(COUNTIF('Target &amp; Team Lists'!$J$5:$J$204,D397)&gt;0,ISNUMBER(SEARCH("alpha nodus",F397))),"Yes","No"))</f>
        <v/>
      </c>
      <c r="O397" s="33" t="str">
        <f aca="false">IF(D397="","",IF(N397="Yes","No",IF(OR(AND(F397&lt;&gt;"",COUNTIF('Target &amp; Team Lists'!$A$5:$A$504,F397)&gt;0),COUNTIF('Target &amp; Team Lists'!$E$5:$E$504,D397)&gt;0),"Yes","No")))</f>
        <v/>
      </c>
      <c r="P397" s="31"/>
    </row>
    <row r="398" customFormat="false" ht="15" hidden="false" customHeight="false" outlineLevel="0" collapsed="false">
      <c r="A398" s="34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2" t="str">
        <f aca="false">IF(D398="","",IF(SUM(H398:K398)&gt;0,1,0))</f>
        <v/>
      </c>
      <c r="N398" s="33" t="str">
        <f aca="false">IF(D398="","",IF(OR(COUNTIF('Target &amp; Team Lists'!$J$5:$J$204,D398)&gt;0,ISNUMBER(SEARCH("alpha nodus",F398))),"Yes","No"))</f>
        <v/>
      </c>
      <c r="O398" s="33" t="str">
        <f aca="false">IF(D398="","",IF(N398="Yes","No",IF(OR(AND(F398&lt;&gt;"",COUNTIF('Target &amp; Team Lists'!$A$5:$A$504,F398)&gt;0),COUNTIF('Target &amp; Team Lists'!$E$5:$E$504,D398)&gt;0),"Yes","No")))</f>
        <v/>
      </c>
      <c r="P398" s="31"/>
    </row>
    <row r="399" customFormat="false" ht="15" hidden="false" customHeight="false" outlineLevel="0" collapsed="false">
      <c r="A399" s="34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2" t="str">
        <f aca="false">IF(D399="","",IF(SUM(H399:K399)&gt;0,1,0))</f>
        <v/>
      </c>
      <c r="N399" s="33" t="str">
        <f aca="false">IF(D399="","",IF(OR(COUNTIF('Target &amp; Team Lists'!$J$5:$J$204,D399)&gt;0,ISNUMBER(SEARCH("alpha nodus",F399))),"Yes","No"))</f>
        <v/>
      </c>
      <c r="O399" s="33" t="str">
        <f aca="false">IF(D399="","",IF(N399="Yes","No",IF(OR(AND(F399&lt;&gt;"",COUNTIF('Target &amp; Team Lists'!$A$5:$A$504,F399)&gt;0),COUNTIF('Target &amp; Team Lists'!$E$5:$E$504,D399)&gt;0),"Yes","No")))</f>
        <v/>
      </c>
      <c r="P399" s="31"/>
    </row>
    <row r="400" customFormat="false" ht="15" hidden="false" customHeight="false" outlineLevel="0" collapsed="false">
      <c r="A400" s="34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2" t="str">
        <f aca="false">IF(D400="","",IF(SUM(H400:K400)&gt;0,1,0))</f>
        <v/>
      </c>
      <c r="N400" s="33" t="str">
        <f aca="false">IF(D400="","",IF(OR(COUNTIF('Target &amp; Team Lists'!$J$5:$J$204,D400)&gt;0,ISNUMBER(SEARCH("alpha nodus",F400))),"Yes","No"))</f>
        <v/>
      </c>
      <c r="O400" s="33" t="str">
        <f aca="false">IF(D400="","",IF(N400="Yes","No",IF(OR(AND(F400&lt;&gt;"",COUNTIF('Target &amp; Team Lists'!$A$5:$A$504,F400)&gt;0),COUNTIF('Target &amp; Team Lists'!$E$5:$E$504,D400)&gt;0),"Yes","No")))</f>
        <v/>
      </c>
      <c r="P400" s="31"/>
    </row>
    <row r="401" customFormat="false" ht="15" hidden="false" customHeight="false" outlineLevel="0" collapsed="false">
      <c r="A401" s="34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2" t="str">
        <f aca="false">IF(D401="","",IF(SUM(H401:K401)&gt;0,1,0))</f>
        <v/>
      </c>
      <c r="N401" s="33" t="str">
        <f aca="false">IF(D401="","",IF(OR(COUNTIF('Target &amp; Team Lists'!$J$5:$J$204,D401)&gt;0,ISNUMBER(SEARCH("alpha nodus",F401))),"Yes","No"))</f>
        <v/>
      </c>
      <c r="O401" s="33" t="str">
        <f aca="false">IF(D401="","",IF(N401="Yes","No",IF(OR(AND(F401&lt;&gt;"",COUNTIF('Target &amp; Team Lists'!$A$5:$A$504,F401)&gt;0),COUNTIF('Target &amp; Team Lists'!$E$5:$E$504,D401)&gt;0),"Yes","No")))</f>
        <v/>
      </c>
      <c r="P401" s="31"/>
    </row>
    <row r="402" customFormat="false" ht="15" hidden="false" customHeight="false" outlineLevel="0" collapsed="false">
      <c r="A402" s="34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2" t="str">
        <f aca="false">IF(D402="","",IF(SUM(H402:K402)&gt;0,1,0))</f>
        <v/>
      </c>
      <c r="N402" s="33" t="str">
        <f aca="false">IF(D402="","",IF(OR(COUNTIF('Target &amp; Team Lists'!$J$5:$J$204,D402)&gt;0,ISNUMBER(SEARCH("alpha nodus",F402))),"Yes","No"))</f>
        <v/>
      </c>
      <c r="O402" s="33" t="str">
        <f aca="false">IF(D402="","",IF(N402="Yes","No",IF(OR(AND(F402&lt;&gt;"",COUNTIF('Target &amp; Team Lists'!$A$5:$A$504,F402)&gt;0),COUNTIF('Target &amp; Team Lists'!$E$5:$E$504,D402)&gt;0),"Yes","No")))</f>
        <v/>
      </c>
      <c r="P402" s="31"/>
    </row>
    <row r="403" customFormat="false" ht="15" hidden="false" customHeight="false" outlineLevel="0" collapsed="false">
      <c r="A403" s="34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2" t="str">
        <f aca="false">IF(D403="","",IF(SUM(H403:K403)&gt;0,1,0))</f>
        <v/>
      </c>
      <c r="N403" s="33" t="str">
        <f aca="false">IF(D403="","",IF(OR(COUNTIF('Target &amp; Team Lists'!$J$5:$J$204,D403)&gt;0,ISNUMBER(SEARCH("alpha nodus",F403))),"Yes","No"))</f>
        <v/>
      </c>
      <c r="O403" s="33" t="str">
        <f aca="false">IF(D403="","",IF(N403="Yes","No",IF(OR(AND(F403&lt;&gt;"",COUNTIF('Target &amp; Team Lists'!$A$5:$A$504,F403)&gt;0),COUNTIF('Target &amp; Team Lists'!$E$5:$E$504,D403)&gt;0),"Yes","No")))</f>
        <v/>
      </c>
      <c r="P403" s="31"/>
    </row>
    <row r="404" customFormat="false" ht="15" hidden="false" customHeight="false" outlineLevel="0" collapsed="false">
      <c r="A404" s="34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2" t="str">
        <f aca="false">IF(D404="","",IF(SUM(H404:K404)&gt;0,1,0))</f>
        <v/>
      </c>
      <c r="N404" s="33" t="str">
        <f aca="false">IF(D404="","",IF(OR(COUNTIF('Target &amp; Team Lists'!$J$5:$J$204,D404)&gt;0,ISNUMBER(SEARCH("alpha nodus",F404))),"Yes","No"))</f>
        <v/>
      </c>
      <c r="O404" s="33" t="str">
        <f aca="false">IF(D404="","",IF(N404="Yes","No",IF(OR(AND(F404&lt;&gt;"",COUNTIF('Target &amp; Team Lists'!$A$5:$A$504,F404)&gt;0),COUNTIF('Target &amp; Team Lists'!$E$5:$E$504,D404)&gt;0),"Yes","No")))</f>
        <v/>
      </c>
      <c r="P404" s="31"/>
    </row>
    <row r="405" customFormat="false" ht="15" hidden="false" customHeight="false" outlineLevel="0" collapsed="false">
      <c r="A405" s="34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2" t="str">
        <f aca="false">IF(D405="","",IF(SUM(H405:K405)&gt;0,1,0))</f>
        <v/>
      </c>
      <c r="N405" s="33" t="str">
        <f aca="false">IF(D405="","",IF(OR(COUNTIF('Target &amp; Team Lists'!$J$5:$J$204,D405)&gt;0,ISNUMBER(SEARCH("alpha nodus",F405))),"Yes","No"))</f>
        <v/>
      </c>
      <c r="O405" s="33" t="str">
        <f aca="false">IF(D405="","",IF(N405="Yes","No",IF(OR(AND(F405&lt;&gt;"",COUNTIF('Target &amp; Team Lists'!$A$5:$A$504,F405)&gt;0),COUNTIF('Target &amp; Team Lists'!$E$5:$E$504,D405)&gt;0),"Yes","No")))</f>
        <v/>
      </c>
      <c r="P405" s="31"/>
    </row>
    <row r="406" customFormat="false" ht="15" hidden="false" customHeight="false" outlineLevel="0" collapsed="false">
      <c r="A406" s="34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2" t="str">
        <f aca="false">IF(D406="","",IF(SUM(H406:K406)&gt;0,1,0))</f>
        <v/>
      </c>
      <c r="N406" s="33" t="str">
        <f aca="false">IF(D406="","",IF(OR(COUNTIF('Target &amp; Team Lists'!$J$5:$J$204,D406)&gt;0,ISNUMBER(SEARCH("alpha nodus",F406))),"Yes","No"))</f>
        <v/>
      </c>
      <c r="O406" s="33" t="str">
        <f aca="false">IF(D406="","",IF(N406="Yes","No",IF(OR(AND(F406&lt;&gt;"",COUNTIF('Target &amp; Team Lists'!$A$5:$A$504,F406)&gt;0),COUNTIF('Target &amp; Team Lists'!$E$5:$E$504,D406)&gt;0),"Yes","No")))</f>
        <v/>
      </c>
      <c r="P406" s="31"/>
    </row>
    <row r="407" customFormat="false" ht="15" hidden="false" customHeight="false" outlineLevel="0" collapsed="false">
      <c r="A407" s="34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2" t="str">
        <f aca="false">IF(D407="","",IF(SUM(H407:K407)&gt;0,1,0))</f>
        <v/>
      </c>
      <c r="N407" s="33" t="str">
        <f aca="false">IF(D407="","",IF(OR(COUNTIF('Target &amp; Team Lists'!$J$5:$J$204,D407)&gt;0,ISNUMBER(SEARCH("alpha nodus",F407))),"Yes","No"))</f>
        <v/>
      </c>
      <c r="O407" s="33" t="str">
        <f aca="false">IF(D407="","",IF(N407="Yes","No",IF(OR(AND(F407&lt;&gt;"",COUNTIF('Target &amp; Team Lists'!$A$5:$A$504,F407)&gt;0),COUNTIF('Target &amp; Team Lists'!$E$5:$E$504,D407)&gt;0),"Yes","No")))</f>
        <v/>
      </c>
      <c r="P407" s="31"/>
    </row>
    <row r="408" customFormat="false" ht="15" hidden="false" customHeight="false" outlineLevel="0" collapsed="false">
      <c r="A408" s="34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2" t="str">
        <f aca="false">IF(D408="","",IF(SUM(H408:K408)&gt;0,1,0))</f>
        <v/>
      </c>
      <c r="N408" s="33" t="str">
        <f aca="false">IF(D408="","",IF(OR(COUNTIF('Target &amp; Team Lists'!$J$5:$J$204,D408)&gt;0,ISNUMBER(SEARCH("alpha nodus",F408))),"Yes","No"))</f>
        <v/>
      </c>
      <c r="O408" s="33" t="str">
        <f aca="false">IF(D408="","",IF(N408="Yes","No",IF(OR(AND(F408&lt;&gt;"",COUNTIF('Target &amp; Team Lists'!$A$5:$A$504,F408)&gt;0),COUNTIF('Target &amp; Team Lists'!$E$5:$E$504,D408)&gt;0),"Yes","No")))</f>
        <v/>
      </c>
      <c r="P408" s="31"/>
    </row>
    <row r="409" customFormat="false" ht="15" hidden="false" customHeight="false" outlineLevel="0" collapsed="false">
      <c r="A409" s="34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2" t="str">
        <f aca="false">IF(D409="","",IF(SUM(H409:K409)&gt;0,1,0))</f>
        <v/>
      </c>
      <c r="N409" s="33" t="str">
        <f aca="false">IF(D409="","",IF(OR(COUNTIF('Target &amp; Team Lists'!$J$5:$J$204,D409)&gt;0,ISNUMBER(SEARCH("alpha nodus",F409))),"Yes","No"))</f>
        <v/>
      </c>
      <c r="O409" s="33" t="str">
        <f aca="false">IF(D409="","",IF(N409="Yes","No",IF(OR(AND(F409&lt;&gt;"",COUNTIF('Target &amp; Team Lists'!$A$5:$A$504,F409)&gt;0),COUNTIF('Target &amp; Team Lists'!$E$5:$E$504,D409)&gt;0),"Yes","No")))</f>
        <v/>
      </c>
      <c r="P409" s="31"/>
    </row>
    <row r="410" customFormat="false" ht="15" hidden="false" customHeight="false" outlineLevel="0" collapsed="false">
      <c r="A410" s="34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2" t="str">
        <f aca="false">IF(D410="","",IF(SUM(H410:K410)&gt;0,1,0))</f>
        <v/>
      </c>
      <c r="N410" s="33" t="str">
        <f aca="false">IF(D410="","",IF(OR(COUNTIF('Target &amp; Team Lists'!$J$5:$J$204,D410)&gt;0,ISNUMBER(SEARCH("alpha nodus",F410))),"Yes","No"))</f>
        <v/>
      </c>
      <c r="O410" s="33" t="str">
        <f aca="false">IF(D410="","",IF(N410="Yes","No",IF(OR(AND(F410&lt;&gt;"",COUNTIF('Target &amp; Team Lists'!$A$5:$A$504,F410)&gt;0),COUNTIF('Target &amp; Team Lists'!$E$5:$E$504,D410)&gt;0),"Yes","No")))</f>
        <v/>
      </c>
      <c r="P410" s="31"/>
    </row>
    <row r="411" customFormat="false" ht="15" hidden="false" customHeight="false" outlineLevel="0" collapsed="false">
      <c r="A411" s="34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2" t="str">
        <f aca="false">IF(D411="","",IF(SUM(H411:K411)&gt;0,1,0))</f>
        <v/>
      </c>
      <c r="N411" s="33" t="str">
        <f aca="false">IF(D411="","",IF(OR(COUNTIF('Target &amp; Team Lists'!$J$5:$J$204,D411)&gt;0,ISNUMBER(SEARCH("alpha nodus",F411))),"Yes","No"))</f>
        <v/>
      </c>
      <c r="O411" s="33" t="str">
        <f aca="false">IF(D411="","",IF(N411="Yes","No",IF(OR(AND(F411&lt;&gt;"",COUNTIF('Target &amp; Team Lists'!$A$5:$A$504,F411)&gt;0),COUNTIF('Target &amp; Team Lists'!$E$5:$E$504,D411)&gt;0),"Yes","No")))</f>
        <v/>
      </c>
      <c r="P411" s="31"/>
    </row>
    <row r="412" customFormat="false" ht="15" hidden="false" customHeight="false" outlineLevel="0" collapsed="false">
      <c r="A412" s="34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2" t="str">
        <f aca="false">IF(D412="","",IF(SUM(H412:K412)&gt;0,1,0))</f>
        <v/>
      </c>
      <c r="N412" s="33" t="str">
        <f aca="false">IF(D412="","",IF(OR(COUNTIF('Target &amp; Team Lists'!$J$5:$J$204,D412)&gt;0,ISNUMBER(SEARCH("alpha nodus",F412))),"Yes","No"))</f>
        <v/>
      </c>
      <c r="O412" s="33" t="str">
        <f aca="false">IF(D412="","",IF(N412="Yes","No",IF(OR(AND(F412&lt;&gt;"",COUNTIF('Target &amp; Team Lists'!$A$5:$A$504,F412)&gt;0),COUNTIF('Target &amp; Team Lists'!$E$5:$E$504,D412)&gt;0),"Yes","No")))</f>
        <v/>
      </c>
      <c r="P412" s="31"/>
    </row>
    <row r="413" customFormat="false" ht="15" hidden="false" customHeight="false" outlineLevel="0" collapsed="false">
      <c r="A413" s="34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2" t="str">
        <f aca="false">IF(D413="","",IF(SUM(H413:K413)&gt;0,1,0))</f>
        <v/>
      </c>
      <c r="N413" s="33" t="str">
        <f aca="false">IF(D413="","",IF(OR(COUNTIF('Target &amp; Team Lists'!$J$5:$J$204,D413)&gt;0,ISNUMBER(SEARCH("alpha nodus",F413))),"Yes","No"))</f>
        <v/>
      </c>
      <c r="O413" s="33" t="str">
        <f aca="false">IF(D413="","",IF(N413="Yes","No",IF(OR(AND(F413&lt;&gt;"",COUNTIF('Target &amp; Team Lists'!$A$5:$A$504,F413)&gt;0),COUNTIF('Target &amp; Team Lists'!$E$5:$E$504,D413)&gt;0),"Yes","No")))</f>
        <v/>
      </c>
      <c r="P413" s="31"/>
    </row>
    <row r="414" customFormat="false" ht="15" hidden="false" customHeight="false" outlineLevel="0" collapsed="false">
      <c r="A414" s="34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2" t="str">
        <f aca="false">IF(D414="","",IF(SUM(H414:K414)&gt;0,1,0))</f>
        <v/>
      </c>
      <c r="N414" s="33" t="str">
        <f aca="false">IF(D414="","",IF(OR(COUNTIF('Target &amp; Team Lists'!$J$5:$J$204,D414)&gt;0,ISNUMBER(SEARCH("alpha nodus",F414))),"Yes","No"))</f>
        <v/>
      </c>
      <c r="O414" s="33" t="str">
        <f aca="false">IF(D414="","",IF(N414="Yes","No",IF(OR(AND(F414&lt;&gt;"",COUNTIF('Target &amp; Team Lists'!$A$5:$A$504,F414)&gt;0),COUNTIF('Target &amp; Team Lists'!$E$5:$E$504,D414)&gt;0),"Yes","No")))</f>
        <v/>
      </c>
      <c r="P414" s="31"/>
    </row>
    <row r="415" customFormat="false" ht="15" hidden="false" customHeight="false" outlineLevel="0" collapsed="false">
      <c r="A415" s="34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2" t="str">
        <f aca="false">IF(D415="","",IF(SUM(H415:K415)&gt;0,1,0))</f>
        <v/>
      </c>
      <c r="N415" s="33" t="str">
        <f aca="false">IF(D415="","",IF(OR(COUNTIF('Target &amp; Team Lists'!$J$5:$J$204,D415)&gt;0,ISNUMBER(SEARCH("alpha nodus",F415))),"Yes","No"))</f>
        <v/>
      </c>
      <c r="O415" s="33" t="str">
        <f aca="false">IF(D415="","",IF(N415="Yes","No",IF(OR(AND(F415&lt;&gt;"",COUNTIF('Target &amp; Team Lists'!$A$5:$A$504,F415)&gt;0),COUNTIF('Target &amp; Team Lists'!$E$5:$E$504,D415)&gt;0),"Yes","No")))</f>
        <v/>
      </c>
      <c r="P415" s="31"/>
    </row>
    <row r="416" customFormat="false" ht="15" hidden="false" customHeight="false" outlineLevel="0" collapsed="false">
      <c r="A416" s="34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2" t="str">
        <f aca="false">IF(D416="","",IF(SUM(H416:K416)&gt;0,1,0))</f>
        <v/>
      </c>
      <c r="N416" s="33" t="str">
        <f aca="false">IF(D416="","",IF(OR(COUNTIF('Target &amp; Team Lists'!$J$5:$J$204,D416)&gt;0,ISNUMBER(SEARCH("alpha nodus",F416))),"Yes","No"))</f>
        <v/>
      </c>
      <c r="O416" s="33" t="str">
        <f aca="false">IF(D416="","",IF(N416="Yes","No",IF(OR(AND(F416&lt;&gt;"",COUNTIF('Target &amp; Team Lists'!$A$5:$A$504,F416)&gt;0),COUNTIF('Target &amp; Team Lists'!$E$5:$E$504,D416)&gt;0),"Yes","No")))</f>
        <v/>
      </c>
      <c r="P416" s="31"/>
    </row>
    <row r="417" customFormat="false" ht="15" hidden="false" customHeight="false" outlineLevel="0" collapsed="false">
      <c r="A417" s="34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2" t="str">
        <f aca="false">IF(D417="","",IF(SUM(H417:K417)&gt;0,1,0))</f>
        <v/>
      </c>
      <c r="N417" s="33" t="str">
        <f aca="false">IF(D417="","",IF(OR(COUNTIF('Target &amp; Team Lists'!$J$5:$J$204,D417)&gt;0,ISNUMBER(SEARCH("alpha nodus",F417))),"Yes","No"))</f>
        <v/>
      </c>
      <c r="O417" s="33" t="str">
        <f aca="false">IF(D417="","",IF(N417="Yes","No",IF(OR(AND(F417&lt;&gt;"",COUNTIF('Target &amp; Team Lists'!$A$5:$A$504,F417)&gt;0),COUNTIF('Target &amp; Team Lists'!$E$5:$E$504,D417)&gt;0),"Yes","No")))</f>
        <v/>
      </c>
      <c r="P417" s="31"/>
    </row>
    <row r="418" customFormat="false" ht="15" hidden="false" customHeight="false" outlineLevel="0" collapsed="false">
      <c r="A418" s="34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2" t="str">
        <f aca="false">IF(D418="","",IF(SUM(H418:K418)&gt;0,1,0))</f>
        <v/>
      </c>
      <c r="N418" s="33" t="str">
        <f aca="false">IF(D418="","",IF(OR(COUNTIF('Target &amp; Team Lists'!$J$5:$J$204,D418)&gt;0,ISNUMBER(SEARCH("alpha nodus",F418))),"Yes","No"))</f>
        <v/>
      </c>
      <c r="O418" s="33" t="str">
        <f aca="false">IF(D418="","",IF(N418="Yes","No",IF(OR(AND(F418&lt;&gt;"",COUNTIF('Target &amp; Team Lists'!$A$5:$A$504,F418)&gt;0),COUNTIF('Target &amp; Team Lists'!$E$5:$E$504,D418)&gt;0),"Yes","No")))</f>
        <v/>
      </c>
      <c r="P418" s="31"/>
    </row>
    <row r="419" customFormat="false" ht="15" hidden="false" customHeight="false" outlineLevel="0" collapsed="false">
      <c r="A419" s="34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2" t="str">
        <f aca="false">IF(D419="","",IF(SUM(H419:K419)&gt;0,1,0))</f>
        <v/>
      </c>
      <c r="N419" s="33" t="str">
        <f aca="false">IF(D419="","",IF(OR(COUNTIF('Target &amp; Team Lists'!$J$5:$J$204,D419)&gt;0,ISNUMBER(SEARCH("alpha nodus",F419))),"Yes","No"))</f>
        <v/>
      </c>
      <c r="O419" s="33" t="str">
        <f aca="false">IF(D419="","",IF(N419="Yes","No",IF(OR(AND(F419&lt;&gt;"",COUNTIF('Target &amp; Team Lists'!$A$5:$A$504,F419)&gt;0),COUNTIF('Target &amp; Team Lists'!$E$5:$E$504,D419)&gt;0),"Yes","No")))</f>
        <v/>
      </c>
      <c r="P419" s="31"/>
    </row>
    <row r="420" customFormat="false" ht="15" hidden="false" customHeight="false" outlineLevel="0" collapsed="false">
      <c r="A420" s="34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2" t="str">
        <f aca="false">IF(D420="","",IF(SUM(H420:K420)&gt;0,1,0))</f>
        <v/>
      </c>
      <c r="N420" s="33" t="str">
        <f aca="false">IF(D420="","",IF(OR(COUNTIF('Target &amp; Team Lists'!$J$5:$J$204,D420)&gt;0,ISNUMBER(SEARCH("alpha nodus",F420))),"Yes","No"))</f>
        <v/>
      </c>
      <c r="O420" s="33" t="str">
        <f aca="false">IF(D420="","",IF(N420="Yes","No",IF(OR(AND(F420&lt;&gt;"",COUNTIF('Target &amp; Team Lists'!$A$5:$A$504,F420)&gt;0),COUNTIF('Target &amp; Team Lists'!$E$5:$E$504,D420)&gt;0),"Yes","No")))</f>
        <v/>
      </c>
      <c r="P420" s="31"/>
    </row>
    <row r="421" customFormat="false" ht="15" hidden="false" customHeight="false" outlineLevel="0" collapsed="false">
      <c r="A421" s="34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2" t="str">
        <f aca="false">IF(D421="","",IF(SUM(H421:K421)&gt;0,1,0))</f>
        <v/>
      </c>
      <c r="N421" s="33" t="str">
        <f aca="false">IF(D421="","",IF(OR(COUNTIF('Target &amp; Team Lists'!$J$5:$J$204,D421)&gt;0,ISNUMBER(SEARCH("alpha nodus",F421))),"Yes","No"))</f>
        <v/>
      </c>
      <c r="O421" s="33" t="str">
        <f aca="false">IF(D421="","",IF(N421="Yes","No",IF(OR(AND(F421&lt;&gt;"",COUNTIF('Target &amp; Team Lists'!$A$5:$A$504,F421)&gt;0),COUNTIF('Target &amp; Team Lists'!$E$5:$E$504,D421)&gt;0),"Yes","No")))</f>
        <v/>
      </c>
      <c r="P421" s="31"/>
    </row>
    <row r="422" customFormat="false" ht="15" hidden="false" customHeight="false" outlineLevel="0" collapsed="false">
      <c r="A422" s="34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2" t="str">
        <f aca="false">IF(D422="","",IF(SUM(H422:K422)&gt;0,1,0))</f>
        <v/>
      </c>
      <c r="N422" s="33" t="str">
        <f aca="false">IF(D422="","",IF(OR(COUNTIF('Target &amp; Team Lists'!$J$5:$J$204,D422)&gt;0,ISNUMBER(SEARCH("alpha nodus",F422))),"Yes","No"))</f>
        <v/>
      </c>
      <c r="O422" s="33" t="str">
        <f aca="false">IF(D422="","",IF(N422="Yes","No",IF(OR(AND(F422&lt;&gt;"",COUNTIF('Target &amp; Team Lists'!$A$5:$A$504,F422)&gt;0),COUNTIF('Target &amp; Team Lists'!$E$5:$E$504,D422)&gt;0),"Yes","No")))</f>
        <v/>
      </c>
      <c r="P422" s="31"/>
    </row>
    <row r="423" customFormat="false" ht="15" hidden="false" customHeight="false" outlineLevel="0" collapsed="false">
      <c r="A423" s="34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2" t="str">
        <f aca="false">IF(D423="","",IF(SUM(H423:K423)&gt;0,1,0))</f>
        <v/>
      </c>
      <c r="N423" s="33" t="str">
        <f aca="false">IF(D423="","",IF(OR(COUNTIF('Target &amp; Team Lists'!$J$5:$J$204,D423)&gt;0,ISNUMBER(SEARCH("alpha nodus",F423))),"Yes","No"))</f>
        <v/>
      </c>
      <c r="O423" s="33" t="str">
        <f aca="false">IF(D423="","",IF(N423="Yes","No",IF(OR(AND(F423&lt;&gt;"",COUNTIF('Target &amp; Team Lists'!$A$5:$A$504,F423)&gt;0),COUNTIF('Target &amp; Team Lists'!$E$5:$E$504,D423)&gt;0),"Yes","No")))</f>
        <v/>
      </c>
      <c r="P423" s="31"/>
    </row>
    <row r="424" customFormat="false" ht="15" hidden="false" customHeight="false" outlineLevel="0" collapsed="false">
      <c r="A424" s="34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2" t="str">
        <f aca="false">IF(D424="","",IF(SUM(H424:K424)&gt;0,1,0))</f>
        <v/>
      </c>
      <c r="N424" s="33" t="str">
        <f aca="false">IF(D424="","",IF(OR(COUNTIF('Target &amp; Team Lists'!$J$5:$J$204,D424)&gt;0,ISNUMBER(SEARCH("alpha nodus",F424))),"Yes","No"))</f>
        <v/>
      </c>
      <c r="O424" s="33" t="str">
        <f aca="false">IF(D424="","",IF(N424="Yes","No",IF(OR(AND(F424&lt;&gt;"",COUNTIF('Target &amp; Team Lists'!$A$5:$A$504,F424)&gt;0),COUNTIF('Target &amp; Team Lists'!$E$5:$E$504,D424)&gt;0),"Yes","No")))</f>
        <v/>
      </c>
      <c r="P424" s="31"/>
    </row>
    <row r="425" customFormat="false" ht="15" hidden="false" customHeight="false" outlineLevel="0" collapsed="false">
      <c r="A425" s="34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2" t="str">
        <f aca="false">IF(D425="","",IF(SUM(H425:K425)&gt;0,1,0))</f>
        <v/>
      </c>
      <c r="N425" s="33" t="str">
        <f aca="false">IF(D425="","",IF(OR(COUNTIF('Target &amp; Team Lists'!$J$5:$J$204,D425)&gt;0,ISNUMBER(SEARCH("alpha nodus",F425))),"Yes","No"))</f>
        <v/>
      </c>
      <c r="O425" s="33" t="str">
        <f aca="false">IF(D425="","",IF(N425="Yes","No",IF(OR(AND(F425&lt;&gt;"",COUNTIF('Target &amp; Team Lists'!$A$5:$A$504,F425)&gt;0),COUNTIF('Target &amp; Team Lists'!$E$5:$E$504,D425)&gt;0),"Yes","No")))</f>
        <v/>
      </c>
      <c r="P425" s="31"/>
    </row>
    <row r="426" customFormat="false" ht="15" hidden="false" customHeight="false" outlineLevel="0" collapsed="false">
      <c r="A426" s="34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2" t="str">
        <f aca="false">IF(D426="","",IF(SUM(H426:K426)&gt;0,1,0))</f>
        <v/>
      </c>
      <c r="N426" s="33" t="str">
        <f aca="false">IF(D426="","",IF(OR(COUNTIF('Target &amp; Team Lists'!$J$5:$J$204,D426)&gt;0,ISNUMBER(SEARCH("alpha nodus",F426))),"Yes","No"))</f>
        <v/>
      </c>
      <c r="O426" s="33" t="str">
        <f aca="false">IF(D426="","",IF(N426="Yes","No",IF(OR(AND(F426&lt;&gt;"",COUNTIF('Target &amp; Team Lists'!$A$5:$A$504,F426)&gt;0),COUNTIF('Target &amp; Team Lists'!$E$5:$E$504,D426)&gt;0),"Yes","No")))</f>
        <v/>
      </c>
      <c r="P426" s="31"/>
    </row>
    <row r="427" customFormat="false" ht="15" hidden="false" customHeight="false" outlineLevel="0" collapsed="false">
      <c r="A427" s="34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2" t="str">
        <f aca="false">IF(D427="","",IF(SUM(H427:K427)&gt;0,1,0))</f>
        <v/>
      </c>
      <c r="N427" s="33" t="str">
        <f aca="false">IF(D427="","",IF(OR(COUNTIF('Target &amp; Team Lists'!$J$5:$J$204,D427)&gt;0,ISNUMBER(SEARCH("alpha nodus",F427))),"Yes","No"))</f>
        <v/>
      </c>
      <c r="O427" s="33" t="str">
        <f aca="false">IF(D427="","",IF(N427="Yes","No",IF(OR(AND(F427&lt;&gt;"",COUNTIF('Target &amp; Team Lists'!$A$5:$A$504,F427)&gt;0),COUNTIF('Target &amp; Team Lists'!$E$5:$E$504,D427)&gt;0),"Yes","No")))</f>
        <v/>
      </c>
      <c r="P427" s="31"/>
    </row>
    <row r="428" customFormat="false" ht="15" hidden="false" customHeight="false" outlineLevel="0" collapsed="false">
      <c r="A428" s="34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2" t="str">
        <f aca="false">IF(D428="","",IF(SUM(H428:K428)&gt;0,1,0))</f>
        <v/>
      </c>
      <c r="N428" s="33" t="str">
        <f aca="false">IF(D428="","",IF(OR(COUNTIF('Target &amp; Team Lists'!$J$5:$J$204,D428)&gt;0,ISNUMBER(SEARCH("alpha nodus",F428))),"Yes","No"))</f>
        <v/>
      </c>
      <c r="O428" s="33" t="str">
        <f aca="false">IF(D428="","",IF(N428="Yes","No",IF(OR(AND(F428&lt;&gt;"",COUNTIF('Target &amp; Team Lists'!$A$5:$A$504,F428)&gt;0),COUNTIF('Target &amp; Team Lists'!$E$5:$E$504,D428)&gt;0),"Yes","No")))</f>
        <v/>
      </c>
      <c r="P428" s="31"/>
    </row>
    <row r="429" customFormat="false" ht="15" hidden="false" customHeight="false" outlineLevel="0" collapsed="false">
      <c r="A429" s="34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2" t="str">
        <f aca="false">IF(D429="","",IF(SUM(H429:K429)&gt;0,1,0))</f>
        <v/>
      </c>
      <c r="N429" s="33" t="str">
        <f aca="false">IF(D429="","",IF(OR(COUNTIF('Target &amp; Team Lists'!$J$5:$J$204,D429)&gt;0,ISNUMBER(SEARCH("alpha nodus",F429))),"Yes","No"))</f>
        <v/>
      </c>
      <c r="O429" s="33" t="str">
        <f aca="false">IF(D429="","",IF(N429="Yes","No",IF(OR(AND(F429&lt;&gt;"",COUNTIF('Target &amp; Team Lists'!$A$5:$A$504,F429)&gt;0),COUNTIF('Target &amp; Team Lists'!$E$5:$E$504,D429)&gt;0),"Yes","No")))</f>
        <v/>
      </c>
      <c r="P429" s="31"/>
    </row>
    <row r="430" customFormat="false" ht="15" hidden="false" customHeight="false" outlineLevel="0" collapsed="false">
      <c r="A430" s="34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2" t="str">
        <f aca="false">IF(D430="","",IF(SUM(H430:K430)&gt;0,1,0))</f>
        <v/>
      </c>
      <c r="N430" s="33" t="str">
        <f aca="false">IF(D430="","",IF(OR(COUNTIF('Target &amp; Team Lists'!$J$5:$J$204,D430)&gt;0,ISNUMBER(SEARCH("alpha nodus",F430))),"Yes","No"))</f>
        <v/>
      </c>
      <c r="O430" s="33" t="str">
        <f aca="false">IF(D430="","",IF(N430="Yes","No",IF(OR(AND(F430&lt;&gt;"",COUNTIF('Target &amp; Team Lists'!$A$5:$A$504,F430)&gt;0),COUNTIF('Target &amp; Team Lists'!$E$5:$E$504,D430)&gt;0),"Yes","No")))</f>
        <v/>
      </c>
      <c r="P430" s="31"/>
    </row>
    <row r="431" customFormat="false" ht="15" hidden="false" customHeight="false" outlineLevel="0" collapsed="false">
      <c r="A431" s="34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2" t="str">
        <f aca="false">IF(D431="","",IF(SUM(H431:K431)&gt;0,1,0))</f>
        <v/>
      </c>
      <c r="N431" s="33" t="str">
        <f aca="false">IF(D431="","",IF(OR(COUNTIF('Target &amp; Team Lists'!$J$5:$J$204,D431)&gt;0,ISNUMBER(SEARCH("alpha nodus",F431))),"Yes","No"))</f>
        <v/>
      </c>
      <c r="O431" s="33" t="str">
        <f aca="false">IF(D431="","",IF(N431="Yes","No",IF(OR(AND(F431&lt;&gt;"",COUNTIF('Target &amp; Team Lists'!$A$5:$A$504,F431)&gt;0),COUNTIF('Target &amp; Team Lists'!$E$5:$E$504,D431)&gt;0),"Yes","No")))</f>
        <v/>
      </c>
      <c r="P431" s="31"/>
    </row>
    <row r="432" customFormat="false" ht="15" hidden="false" customHeight="false" outlineLevel="0" collapsed="false">
      <c r="A432" s="34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2" t="str">
        <f aca="false">IF(D432="","",IF(SUM(H432:K432)&gt;0,1,0))</f>
        <v/>
      </c>
      <c r="N432" s="33" t="str">
        <f aca="false">IF(D432="","",IF(OR(COUNTIF('Target &amp; Team Lists'!$J$5:$J$204,D432)&gt;0,ISNUMBER(SEARCH("alpha nodus",F432))),"Yes","No"))</f>
        <v/>
      </c>
      <c r="O432" s="33" t="str">
        <f aca="false">IF(D432="","",IF(N432="Yes","No",IF(OR(AND(F432&lt;&gt;"",COUNTIF('Target &amp; Team Lists'!$A$5:$A$504,F432)&gt;0),COUNTIF('Target &amp; Team Lists'!$E$5:$E$504,D432)&gt;0),"Yes","No")))</f>
        <v/>
      </c>
      <c r="P432" s="31"/>
    </row>
    <row r="433" customFormat="false" ht="15" hidden="false" customHeight="false" outlineLevel="0" collapsed="false">
      <c r="A433" s="34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2" t="str">
        <f aca="false">IF(D433="","",IF(SUM(H433:K433)&gt;0,1,0))</f>
        <v/>
      </c>
      <c r="N433" s="33" t="str">
        <f aca="false">IF(D433="","",IF(OR(COUNTIF('Target &amp; Team Lists'!$J$5:$J$204,D433)&gt;0,ISNUMBER(SEARCH("alpha nodus",F433))),"Yes","No"))</f>
        <v/>
      </c>
      <c r="O433" s="33" t="str">
        <f aca="false">IF(D433="","",IF(N433="Yes","No",IF(OR(AND(F433&lt;&gt;"",COUNTIF('Target &amp; Team Lists'!$A$5:$A$504,F433)&gt;0),COUNTIF('Target &amp; Team Lists'!$E$5:$E$504,D433)&gt;0),"Yes","No")))</f>
        <v/>
      </c>
      <c r="P433" s="31"/>
    </row>
    <row r="434" customFormat="false" ht="15" hidden="false" customHeight="false" outlineLevel="0" collapsed="false">
      <c r="A434" s="34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2" t="str">
        <f aca="false">IF(D434="","",IF(SUM(H434:K434)&gt;0,1,0))</f>
        <v/>
      </c>
      <c r="N434" s="33" t="str">
        <f aca="false">IF(D434="","",IF(OR(COUNTIF('Target &amp; Team Lists'!$J$5:$J$204,D434)&gt;0,ISNUMBER(SEARCH("alpha nodus",F434))),"Yes","No"))</f>
        <v/>
      </c>
      <c r="O434" s="33" t="str">
        <f aca="false">IF(D434="","",IF(N434="Yes","No",IF(OR(AND(F434&lt;&gt;"",COUNTIF('Target &amp; Team Lists'!$A$5:$A$504,F434)&gt;0),COUNTIF('Target &amp; Team Lists'!$E$5:$E$504,D434)&gt;0),"Yes","No")))</f>
        <v/>
      </c>
      <c r="P434" s="31"/>
    </row>
    <row r="435" customFormat="false" ht="15" hidden="false" customHeight="false" outlineLevel="0" collapsed="false">
      <c r="A435" s="34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2" t="str">
        <f aca="false">IF(D435="","",IF(SUM(H435:K435)&gt;0,1,0))</f>
        <v/>
      </c>
      <c r="N435" s="33" t="str">
        <f aca="false">IF(D435="","",IF(OR(COUNTIF('Target &amp; Team Lists'!$J$5:$J$204,D435)&gt;0,ISNUMBER(SEARCH("alpha nodus",F435))),"Yes","No"))</f>
        <v/>
      </c>
      <c r="O435" s="33" t="str">
        <f aca="false">IF(D435="","",IF(N435="Yes","No",IF(OR(AND(F435&lt;&gt;"",COUNTIF('Target &amp; Team Lists'!$A$5:$A$504,F435)&gt;0),COUNTIF('Target &amp; Team Lists'!$E$5:$E$504,D435)&gt;0),"Yes","No")))</f>
        <v/>
      </c>
      <c r="P435" s="31"/>
    </row>
    <row r="436" customFormat="false" ht="15" hidden="false" customHeight="false" outlineLevel="0" collapsed="false">
      <c r="A436" s="34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2" t="str">
        <f aca="false">IF(D436="","",IF(SUM(H436:K436)&gt;0,1,0))</f>
        <v/>
      </c>
      <c r="N436" s="33" t="str">
        <f aca="false">IF(D436="","",IF(OR(COUNTIF('Target &amp; Team Lists'!$J$5:$J$204,D436)&gt;0,ISNUMBER(SEARCH("alpha nodus",F436))),"Yes","No"))</f>
        <v/>
      </c>
      <c r="O436" s="33" t="str">
        <f aca="false">IF(D436="","",IF(N436="Yes","No",IF(OR(AND(F436&lt;&gt;"",COUNTIF('Target &amp; Team Lists'!$A$5:$A$504,F436)&gt;0),COUNTIF('Target &amp; Team Lists'!$E$5:$E$504,D436)&gt;0),"Yes","No")))</f>
        <v/>
      </c>
      <c r="P436" s="31"/>
    </row>
    <row r="437" customFormat="false" ht="15" hidden="false" customHeight="false" outlineLevel="0" collapsed="false">
      <c r="A437" s="34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2" t="str">
        <f aca="false">IF(D437="","",IF(SUM(H437:K437)&gt;0,1,0))</f>
        <v/>
      </c>
      <c r="N437" s="33" t="str">
        <f aca="false">IF(D437="","",IF(OR(COUNTIF('Target &amp; Team Lists'!$J$5:$J$204,D437)&gt;0,ISNUMBER(SEARCH("alpha nodus",F437))),"Yes","No"))</f>
        <v/>
      </c>
      <c r="O437" s="33" t="str">
        <f aca="false">IF(D437="","",IF(N437="Yes","No",IF(OR(AND(F437&lt;&gt;"",COUNTIF('Target &amp; Team Lists'!$A$5:$A$504,F437)&gt;0),COUNTIF('Target &amp; Team Lists'!$E$5:$E$504,D437)&gt;0),"Yes","No")))</f>
        <v/>
      </c>
      <c r="P437" s="31"/>
    </row>
    <row r="438" customFormat="false" ht="15" hidden="false" customHeight="false" outlineLevel="0" collapsed="false">
      <c r="A438" s="34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2" t="str">
        <f aca="false">IF(D438="","",IF(SUM(H438:K438)&gt;0,1,0))</f>
        <v/>
      </c>
      <c r="N438" s="33" t="str">
        <f aca="false">IF(D438="","",IF(OR(COUNTIF('Target &amp; Team Lists'!$J$5:$J$204,D438)&gt;0,ISNUMBER(SEARCH("alpha nodus",F438))),"Yes","No"))</f>
        <v/>
      </c>
      <c r="O438" s="33" t="str">
        <f aca="false">IF(D438="","",IF(N438="Yes","No",IF(OR(AND(F438&lt;&gt;"",COUNTIF('Target &amp; Team Lists'!$A$5:$A$504,F438)&gt;0),COUNTIF('Target &amp; Team Lists'!$E$5:$E$504,D438)&gt;0),"Yes","No")))</f>
        <v/>
      </c>
      <c r="P438" s="31"/>
    </row>
    <row r="439" customFormat="false" ht="15" hidden="false" customHeight="false" outlineLevel="0" collapsed="false">
      <c r="A439" s="34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2" t="str">
        <f aca="false">IF(D439="","",IF(SUM(H439:K439)&gt;0,1,0))</f>
        <v/>
      </c>
      <c r="N439" s="33" t="str">
        <f aca="false">IF(D439="","",IF(OR(COUNTIF('Target &amp; Team Lists'!$J$5:$J$204,D439)&gt;0,ISNUMBER(SEARCH("alpha nodus",F439))),"Yes","No"))</f>
        <v/>
      </c>
      <c r="O439" s="33" t="str">
        <f aca="false">IF(D439="","",IF(N439="Yes","No",IF(OR(AND(F439&lt;&gt;"",COUNTIF('Target &amp; Team Lists'!$A$5:$A$504,F439)&gt;0),COUNTIF('Target &amp; Team Lists'!$E$5:$E$504,D439)&gt;0),"Yes","No")))</f>
        <v/>
      </c>
      <c r="P439" s="31"/>
    </row>
    <row r="440" customFormat="false" ht="15" hidden="false" customHeight="false" outlineLevel="0" collapsed="false">
      <c r="A440" s="34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2" t="str">
        <f aca="false">IF(D440="","",IF(SUM(H440:K440)&gt;0,1,0))</f>
        <v/>
      </c>
      <c r="N440" s="33" t="str">
        <f aca="false">IF(D440="","",IF(OR(COUNTIF('Target &amp; Team Lists'!$J$5:$J$204,D440)&gt;0,ISNUMBER(SEARCH("alpha nodus",F440))),"Yes","No"))</f>
        <v/>
      </c>
      <c r="O440" s="33" t="str">
        <f aca="false">IF(D440="","",IF(N440="Yes","No",IF(OR(AND(F440&lt;&gt;"",COUNTIF('Target &amp; Team Lists'!$A$5:$A$504,F440)&gt;0),COUNTIF('Target &amp; Team Lists'!$E$5:$E$504,D440)&gt;0),"Yes","No")))</f>
        <v/>
      </c>
      <c r="P440" s="31"/>
    </row>
    <row r="441" customFormat="false" ht="15" hidden="false" customHeight="false" outlineLevel="0" collapsed="false">
      <c r="A441" s="34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2" t="str">
        <f aca="false">IF(D441="","",IF(SUM(H441:K441)&gt;0,1,0))</f>
        <v/>
      </c>
      <c r="N441" s="33" t="str">
        <f aca="false">IF(D441="","",IF(OR(COUNTIF('Target &amp; Team Lists'!$J$5:$J$204,D441)&gt;0,ISNUMBER(SEARCH("alpha nodus",F441))),"Yes","No"))</f>
        <v/>
      </c>
      <c r="O441" s="33" t="str">
        <f aca="false">IF(D441="","",IF(N441="Yes","No",IF(OR(AND(F441&lt;&gt;"",COUNTIF('Target &amp; Team Lists'!$A$5:$A$504,F441)&gt;0),COUNTIF('Target &amp; Team Lists'!$E$5:$E$504,D441)&gt;0),"Yes","No")))</f>
        <v/>
      </c>
      <c r="P441" s="31"/>
    </row>
    <row r="442" customFormat="false" ht="15" hidden="false" customHeight="false" outlineLevel="0" collapsed="false">
      <c r="A442" s="34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2" t="str">
        <f aca="false">IF(D442="","",IF(SUM(H442:K442)&gt;0,1,0))</f>
        <v/>
      </c>
      <c r="N442" s="33" t="str">
        <f aca="false">IF(D442="","",IF(OR(COUNTIF('Target &amp; Team Lists'!$J$5:$J$204,D442)&gt;0,ISNUMBER(SEARCH("alpha nodus",F442))),"Yes","No"))</f>
        <v/>
      </c>
      <c r="O442" s="33" t="str">
        <f aca="false">IF(D442="","",IF(N442="Yes","No",IF(OR(AND(F442&lt;&gt;"",COUNTIF('Target &amp; Team Lists'!$A$5:$A$504,F442)&gt;0),COUNTIF('Target &amp; Team Lists'!$E$5:$E$504,D442)&gt;0),"Yes","No")))</f>
        <v/>
      </c>
      <c r="P442" s="31"/>
    </row>
    <row r="443" customFormat="false" ht="15" hidden="false" customHeight="false" outlineLevel="0" collapsed="false">
      <c r="A443" s="34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2" t="str">
        <f aca="false">IF(D443="","",IF(SUM(H443:K443)&gt;0,1,0))</f>
        <v/>
      </c>
      <c r="N443" s="33" t="str">
        <f aca="false">IF(D443="","",IF(OR(COUNTIF('Target &amp; Team Lists'!$J$5:$J$204,D443)&gt;0,ISNUMBER(SEARCH("alpha nodus",F443))),"Yes","No"))</f>
        <v/>
      </c>
      <c r="O443" s="33" t="str">
        <f aca="false">IF(D443="","",IF(N443="Yes","No",IF(OR(AND(F443&lt;&gt;"",COUNTIF('Target &amp; Team Lists'!$A$5:$A$504,F443)&gt;0),COUNTIF('Target &amp; Team Lists'!$E$5:$E$504,D443)&gt;0),"Yes","No")))</f>
        <v/>
      </c>
      <c r="P443" s="31"/>
    </row>
    <row r="444" customFormat="false" ht="15" hidden="false" customHeight="false" outlineLevel="0" collapsed="false">
      <c r="A444" s="34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2" t="str">
        <f aca="false">IF(D444="","",IF(SUM(H444:K444)&gt;0,1,0))</f>
        <v/>
      </c>
      <c r="N444" s="33" t="str">
        <f aca="false">IF(D444="","",IF(OR(COUNTIF('Target &amp; Team Lists'!$J$5:$J$204,D444)&gt;0,ISNUMBER(SEARCH("alpha nodus",F444))),"Yes","No"))</f>
        <v/>
      </c>
      <c r="O444" s="33" t="str">
        <f aca="false">IF(D444="","",IF(N444="Yes","No",IF(OR(AND(F444&lt;&gt;"",COUNTIF('Target &amp; Team Lists'!$A$5:$A$504,F444)&gt;0),COUNTIF('Target &amp; Team Lists'!$E$5:$E$504,D444)&gt;0),"Yes","No")))</f>
        <v/>
      </c>
      <c r="P444" s="31"/>
    </row>
    <row r="445" customFormat="false" ht="15" hidden="false" customHeight="false" outlineLevel="0" collapsed="false">
      <c r="A445" s="34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2" t="str">
        <f aca="false">IF(D445="","",IF(SUM(H445:K445)&gt;0,1,0))</f>
        <v/>
      </c>
      <c r="N445" s="33" t="str">
        <f aca="false">IF(D445="","",IF(OR(COUNTIF('Target &amp; Team Lists'!$J$5:$J$204,D445)&gt;0,ISNUMBER(SEARCH("alpha nodus",F445))),"Yes","No"))</f>
        <v/>
      </c>
      <c r="O445" s="33" t="str">
        <f aca="false">IF(D445="","",IF(N445="Yes","No",IF(OR(AND(F445&lt;&gt;"",COUNTIF('Target &amp; Team Lists'!$A$5:$A$504,F445)&gt;0),COUNTIF('Target &amp; Team Lists'!$E$5:$E$504,D445)&gt;0),"Yes","No")))</f>
        <v/>
      </c>
      <c r="P445" s="31"/>
    </row>
    <row r="446" customFormat="false" ht="15" hidden="false" customHeight="false" outlineLevel="0" collapsed="false">
      <c r="A446" s="34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2" t="str">
        <f aca="false">IF(D446="","",IF(SUM(H446:K446)&gt;0,1,0))</f>
        <v/>
      </c>
      <c r="N446" s="33" t="str">
        <f aca="false">IF(D446="","",IF(OR(COUNTIF('Target &amp; Team Lists'!$J$5:$J$204,D446)&gt;0,ISNUMBER(SEARCH("alpha nodus",F446))),"Yes","No"))</f>
        <v/>
      </c>
      <c r="O446" s="33" t="str">
        <f aca="false">IF(D446="","",IF(N446="Yes","No",IF(OR(AND(F446&lt;&gt;"",COUNTIF('Target &amp; Team Lists'!$A$5:$A$504,F446)&gt;0),COUNTIF('Target &amp; Team Lists'!$E$5:$E$504,D446)&gt;0),"Yes","No")))</f>
        <v/>
      </c>
      <c r="P446" s="31"/>
    </row>
    <row r="447" customFormat="false" ht="15" hidden="false" customHeight="false" outlineLevel="0" collapsed="false">
      <c r="A447" s="34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2" t="str">
        <f aca="false">IF(D447="","",IF(SUM(H447:K447)&gt;0,1,0))</f>
        <v/>
      </c>
      <c r="N447" s="33" t="str">
        <f aca="false">IF(D447="","",IF(OR(COUNTIF('Target &amp; Team Lists'!$J$5:$J$204,D447)&gt;0,ISNUMBER(SEARCH("alpha nodus",F447))),"Yes","No"))</f>
        <v/>
      </c>
      <c r="O447" s="33" t="str">
        <f aca="false">IF(D447="","",IF(N447="Yes","No",IF(OR(AND(F447&lt;&gt;"",COUNTIF('Target &amp; Team Lists'!$A$5:$A$504,F447)&gt;0),COUNTIF('Target &amp; Team Lists'!$E$5:$E$504,D447)&gt;0),"Yes","No")))</f>
        <v/>
      </c>
      <c r="P447" s="31"/>
    </row>
    <row r="448" customFormat="false" ht="15" hidden="false" customHeight="false" outlineLevel="0" collapsed="false">
      <c r="A448" s="34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2" t="str">
        <f aca="false">IF(D448="","",IF(SUM(H448:K448)&gt;0,1,0))</f>
        <v/>
      </c>
      <c r="N448" s="33" t="str">
        <f aca="false">IF(D448="","",IF(OR(COUNTIF('Target &amp; Team Lists'!$J$5:$J$204,D448)&gt;0,ISNUMBER(SEARCH("alpha nodus",F448))),"Yes","No"))</f>
        <v/>
      </c>
      <c r="O448" s="33" t="str">
        <f aca="false">IF(D448="","",IF(N448="Yes","No",IF(OR(AND(F448&lt;&gt;"",COUNTIF('Target &amp; Team Lists'!$A$5:$A$504,F448)&gt;0),COUNTIF('Target &amp; Team Lists'!$E$5:$E$504,D448)&gt;0),"Yes","No")))</f>
        <v/>
      </c>
      <c r="P448" s="31"/>
    </row>
    <row r="449" customFormat="false" ht="15" hidden="false" customHeight="false" outlineLevel="0" collapsed="false">
      <c r="A449" s="34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2" t="str">
        <f aca="false">IF(D449="","",IF(SUM(H449:K449)&gt;0,1,0))</f>
        <v/>
      </c>
      <c r="N449" s="33" t="str">
        <f aca="false">IF(D449="","",IF(OR(COUNTIF('Target &amp; Team Lists'!$J$5:$J$204,D449)&gt;0,ISNUMBER(SEARCH("alpha nodus",F449))),"Yes","No"))</f>
        <v/>
      </c>
      <c r="O449" s="33" t="str">
        <f aca="false">IF(D449="","",IF(N449="Yes","No",IF(OR(AND(F449&lt;&gt;"",COUNTIF('Target &amp; Team Lists'!$A$5:$A$504,F449)&gt;0),COUNTIF('Target &amp; Team Lists'!$E$5:$E$504,D449)&gt;0),"Yes","No")))</f>
        <v/>
      </c>
      <c r="P449" s="31"/>
    </row>
    <row r="450" customFormat="false" ht="15" hidden="false" customHeight="false" outlineLevel="0" collapsed="false">
      <c r="A450" s="34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2" t="str">
        <f aca="false">IF(D450="","",IF(SUM(H450:K450)&gt;0,1,0))</f>
        <v/>
      </c>
      <c r="N450" s="33" t="str">
        <f aca="false">IF(D450="","",IF(OR(COUNTIF('Target &amp; Team Lists'!$J$5:$J$204,D450)&gt;0,ISNUMBER(SEARCH("alpha nodus",F450))),"Yes","No"))</f>
        <v/>
      </c>
      <c r="O450" s="33" t="str">
        <f aca="false">IF(D450="","",IF(N450="Yes","No",IF(OR(AND(F450&lt;&gt;"",COUNTIF('Target &amp; Team Lists'!$A$5:$A$504,F450)&gt;0),COUNTIF('Target &amp; Team Lists'!$E$5:$E$504,D450)&gt;0),"Yes","No")))</f>
        <v/>
      </c>
      <c r="P450" s="31"/>
    </row>
    <row r="451" customFormat="false" ht="15" hidden="false" customHeight="false" outlineLevel="0" collapsed="false">
      <c r="A451" s="34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2" t="str">
        <f aca="false">IF(D451="","",IF(SUM(H451:K451)&gt;0,1,0))</f>
        <v/>
      </c>
      <c r="N451" s="33" t="str">
        <f aca="false">IF(D451="","",IF(OR(COUNTIF('Target &amp; Team Lists'!$J$5:$J$204,D451)&gt;0,ISNUMBER(SEARCH("alpha nodus",F451))),"Yes","No"))</f>
        <v/>
      </c>
      <c r="O451" s="33" t="str">
        <f aca="false">IF(D451="","",IF(N451="Yes","No",IF(OR(AND(F451&lt;&gt;"",COUNTIF('Target &amp; Team Lists'!$A$5:$A$504,F451)&gt;0),COUNTIF('Target &amp; Team Lists'!$E$5:$E$504,D451)&gt;0),"Yes","No")))</f>
        <v/>
      </c>
      <c r="P451" s="31"/>
    </row>
    <row r="452" customFormat="false" ht="15" hidden="false" customHeight="false" outlineLevel="0" collapsed="false">
      <c r="A452" s="34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2" t="str">
        <f aca="false">IF(D452="","",IF(SUM(H452:K452)&gt;0,1,0))</f>
        <v/>
      </c>
      <c r="N452" s="33" t="str">
        <f aca="false">IF(D452="","",IF(OR(COUNTIF('Target &amp; Team Lists'!$J$5:$J$204,D452)&gt;0,ISNUMBER(SEARCH("alpha nodus",F452))),"Yes","No"))</f>
        <v/>
      </c>
      <c r="O452" s="33" t="str">
        <f aca="false">IF(D452="","",IF(N452="Yes","No",IF(OR(AND(F452&lt;&gt;"",COUNTIF('Target &amp; Team Lists'!$A$5:$A$504,F452)&gt;0),COUNTIF('Target &amp; Team Lists'!$E$5:$E$504,D452)&gt;0),"Yes","No")))</f>
        <v/>
      </c>
      <c r="P452" s="31"/>
    </row>
    <row r="453" customFormat="false" ht="15" hidden="false" customHeight="false" outlineLevel="0" collapsed="false">
      <c r="A453" s="34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2" t="str">
        <f aca="false">IF(D453="","",IF(SUM(H453:K453)&gt;0,1,0))</f>
        <v/>
      </c>
      <c r="N453" s="33" t="str">
        <f aca="false">IF(D453="","",IF(OR(COUNTIF('Target &amp; Team Lists'!$J$5:$J$204,D453)&gt;0,ISNUMBER(SEARCH("alpha nodus",F453))),"Yes","No"))</f>
        <v/>
      </c>
      <c r="O453" s="33" t="str">
        <f aca="false">IF(D453="","",IF(N453="Yes","No",IF(OR(AND(F453&lt;&gt;"",COUNTIF('Target &amp; Team Lists'!$A$5:$A$504,F453)&gt;0),COUNTIF('Target &amp; Team Lists'!$E$5:$E$504,D453)&gt;0),"Yes","No")))</f>
        <v/>
      </c>
      <c r="P453" s="31"/>
    </row>
    <row r="454" customFormat="false" ht="15" hidden="false" customHeight="false" outlineLevel="0" collapsed="false">
      <c r="A454" s="34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2" t="str">
        <f aca="false">IF(D454="","",IF(SUM(H454:K454)&gt;0,1,0))</f>
        <v/>
      </c>
      <c r="N454" s="33" t="str">
        <f aca="false">IF(D454="","",IF(OR(COUNTIF('Target &amp; Team Lists'!$J$5:$J$204,D454)&gt;0,ISNUMBER(SEARCH("alpha nodus",F454))),"Yes","No"))</f>
        <v/>
      </c>
      <c r="O454" s="33" t="str">
        <f aca="false">IF(D454="","",IF(N454="Yes","No",IF(OR(AND(F454&lt;&gt;"",COUNTIF('Target &amp; Team Lists'!$A$5:$A$504,F454)&gt;0),COUNTIF('Target &amp; Team Lists'!$E$5:$E$504,D454)&gt;0),"Yes","No")))</f>
        <v/>
      </c>
      <c r="P454" s="31"/>
    </row>
    <row r="455" customFormat="false" ht="15" hidden="false" customHeight="false" outlineLevel="0" collapsed="false">
      <c r="A455" s="34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2" t="str">
        <f aca="false">IF(D455="","",IF(SUM(H455:K455)&gt;0,1,0))</f>
        <v/>
      </c>
      <c r="N455" s="33" t="str">
        <f aca="false">IF(D455="","",IF(OR(COUNTIF('Target &amp; Team Lists'!$J$5:$J$204,D455)&gt;0,ISNUMBER(SEARCH("alpha nodus",F455))),"Yes","No"))</f>
        <v/>
      </c>
      <c r="O455" s="33" t="str">
        <f aca="false">IF(D455="","",IF(N455="Yes","No",IF(OR(AND(F455&lt;&gt;"",COUNTIF('Target &amp; Team Lists'!$A$5:$A$504,F455)&gt;0),COUNTIF('Target &amp; Team Lists'!$E$5:$E$504,D455)&gt;0),"Yes","No")))</f>
        <v/>
      </c>
      <c r="P455" s="31"/>
    </row>
    <row r="456" customFormat="false" ht="15" hidden="false" customHeight="false" outlineLevel="0" collapsed="false">
      <c r="A456" s="34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2" t="str">
        <f aca="false">IF(D456="","",IF(SUM(H456:K456)&gt;0,1,0))</f>
        <v/>
      </c>
      <c r="N456" s="33" t="str">
        <f aca="false">IF(D456="","",IF(OR(COUNTIF('Target &amp; Team Lists'!$J$5:$J$204,D456)&gt;0,ISNUMBER(SEARCH("alpha nodus",F456))),"Yes","No"))</f>
        <v/>
      </c>
      <c r="O456" s="33" t="str">
        <f aca="false">IF(D456="","",IF(N456="Yes","No",IF(OR(AND(F456&lt;&gt;"",COUNTIF('Target &amp; Team Lists'!$A$5:$A$504,F456)&gt;0),COUNTIF('Target &amp; Team Lists'!$E$5:$E$504,D456)&gt;0),"Yes","No")))</f>
        <v/>
      </c>
      <c r="P456" s="31"/>
    </row>
    <row r="457" customFormat="false" ht="15" hidden="false" customHeight="false" outlineLevel="0" collapsed="false">
      <c r="A457" s="34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2" t="str">
        <f aca="false">IF(D457="","",IF(SUM(H457:K457)&gt;0,1,0))</f>
        <v/>
      </c>
      <c r="N457" s="33" t="str">
        <f aca="false">IF(D457="","",IF(OR(COUNTIF('Target &amp; Team Lists'!$J$5:$J$204,D457)&gt;0,ISNUMBER(SEARCH("alpha nodus",F457))),"Yes","No"))</f>
        <v/>
      </c>
      <c r="O457" s="33" t="str">
        <f aca="false">IF(D457="","",IF(N457="Yes","No",IF(OR(AND(F457&lt;&gt;"",COUNTIF('Target &amp; Team Lists'!$A$5:$A$504,F457)&gt;0),COUNTIF('Target &amp; Team Lists'!$E$5:$E$504,D457)&gt;0),"Yes","No")))</f>
        <v/>
      </c>
      <c r="P457" s="31"/>
    </row>
    <row r="458" customFormat="false" ht="15" hidden="false" customHeight="false" outlineLevel="0" collapsed="false">
      <c r="A458" s="34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2" t="str">
        <f aca="false">IF(D458="","",IF(SUM(H458:K458)&gt;0,1,0))</f>
        <v/>
      </c>
      <c r="N458" s="33" t="str">
        <f aca="false">IF(D458="","",IF(OR(COUNTIF('Target &amp; Team Lists'!$J$5:$J$204,D458)&gt;0,ISNUMBER(SEARCH("alpha nodus",F458))),"Yes","No"))</f>
        <v/>
      </c>
      <c r="O458" s="33" t="str">
        <f aca="false">IF(D458="","",IF(N458="Yes","No",IF(OR(AND(F458&lt;&gt;"",COUNTIF('Target &amp; Team Lists'!$A$5:$A$504,F458)&gt;0),COUNTIF('Target &amp; Team Lists'!$E$5:$E$504,D458)&gt;0),"Yes","No")))</f>
        <v/>
      </c>
      <c r="P458" s="31"/>
    </row>
    <row r="459" customFormat="false" ht="15" hidden="false" customHeight="false" outlineLevel="0" collapsed="false">
      <c r="A459" s="34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2" t="str">
        <f aca="false">IF(D459="","",IF(SUM(H459:K459)&gt;0,1,0))</f>
        <v/>
      </c>
      <c r="N459" s="33" t="str">
        <f aca="false">IF(D459="","",IF(OR(COUNTIF('Target &amp; Team Lists'!$J$5:$J$204,D459)&gt;0,ISNUMBER(SEARCH("alpha nodus",F459))),"Yes","No"))</f>
        <v/>
      </c>
      <c r="O459" s="33" t="str">
        <f aca="false">IF(D459="","",IF(N459="Yes","No",IF(OR(AND(F459&lt;&gt;"",COUNTIF('Target &amp; Team Lists'!$A$5:$A$504,F459)&gt;0),COUNTIF('Target &amp; Team Lists'!$E$5:$E$504,D459)&gt;0),"Yes","No")))</f>
        <v/>
      </c>
      <c r="P459" s="31"/>
    </row>
    <row r="460" customFormat="false" ht="15" hidden="false" customHeight="false" outlineLevel="0" collapsed="false">
      <c r="A460" s="34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2" t="str">
        <f aca="false">IF(D460="","",IF(SUM(H460:K460)&gt;0,1,0))</f>
        <v/>
      </c>
      <c r="N460" s="33" t="str">
        <f aca="false">IF(D460="","",IF(OR(COUNTIF('Target &amp; Team Lists'!$J$5:$J$204,D460)&gt;0,ISNUMBER(SEARCH("alpha nodus",F460))),"Yes","No"))</f>
        <v/>
      </c>
      <c r="O460" s="33" t="str">
        <f aca="false">IF(D460="","",IF(N460="Yes","No",IF(OR(AND(F460&lt;&gt;"",COUNTIF('Target &amp; Team Lists'!$A$5:$A$504,F460)&gt;0),COUNTIF('Target &amp; Team Lists'!$E$5:$E$504,D460)&gt;0),"Yes","No")))</f>
        <v/>
      </c>
      <c r="P460" s="31"/>
    </row>
    <row r="461" customFormat="false" ht="15" hidden="false" customHeight="false" outlineLevel="0" collapsed="false">
      <c r="A461" s="34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2" t="str">
        <f aca="false">IF(D461="","",IF(SUM(H461:K461)&gt;0,1,0))</f>
        <v/>
      </c>
      <c r="N461" s="33" t="str">
        <f aca="false">IF(D461="","",IF(OR(COUNTIF('Target &amp; Team Lists'!$J$5:$J$204,D461)&gt;0,ISNUMBER(SEARCH("alpha nodus",F461))),"Yes","No"))</f>
        <v/>
      </c>
      <c r="O461" s="33" t="str">
        <f aca="false">IF(D461="","",IF(N461="Yes","No",IF(OR(AND(F461&lt;&gt;"",COUNTIF('Target &amp; Team Lists'!$A$5:$A$504,F461)&gt;0),COUNTIF('Target &amp; Team Lists'!$E$5:$E$504,D461)&gt;0),"Yes","No")))</f>
        <v/>
      </c>
      <c r="P461" s="31"/>
    </row>
    <row r="462" customFormat="false" ht="15" hidden="false" customHeight="false" outlineLevel="0" collapsed="false">
      <c r="A462" s="34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2" t="str">
        <f aca="false">IF(D462="","",IF(SUM(H462:K462)&gt;0,1,0))</f>
        <v/>
      </c>
      <c r="N462" s="33" t="str">
        <f aca="false">IF(D462="","",IF(OR(COUNTIF('Target &amp; Team Lists'!$J$5:$J$204,D462)&gt;0,ISNUMBER(SEARCH("alpha nodus",F462))),"Yes","No"))</f>
        <v/>
      </c>
      <c r="O462" s="33" t="str">
        <f aca="false">IF(D462="","",IF(N462="Yes","No",IF(OR(AND(F462&lt;&gt;"",COUNTIF('Target &amp; Team Lists'!$A$5:$A$504,F462)&gt;0),COUNTIF('Target &amp; Team Lists'!$E$5:$E$504,D462)&gt;0),"Yes","No")))</f>
        <v/>
      </c>
      <c r="P462" s="31"/>
    </row>
    <row r="463" customFormat="false" ht="15" hidden="false" customHeight="false" outlineLevel="0" collapsed="false">
      <c r="A463" s="34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2" t="str">
        <f aca="false">IF(D463="","",IF(SUM(H463:K463)&gt;0,1,0))</f>
        <v/>
      </c>
      <c r="N463" s="33" t="str">
        <f aca="false">IF(D463="","",IF(OR(COUNTIF('Target &amp; Team Lists'!$J$5:$J$204,D463)&gt;0,ISNUMBER(SEARCH("alpha nodus",F463))),"Yes","No"))</f>
        <v/>
      </c>
      <c r="O463" s="33" t="str">
        <f aca="false">IF(D463="","",IF(N463="Yes","No",IF(OR(AND(F463&lt;&gt;"",COUNTIF('Target &amp; Team Lists'!$A$5:$A$504,F463)&gt;0),COUNTIF('Target &amp; Team Lists'!$E$5:$E$504,D463)&gt;0),"Yes","No")))</f>
        <v/>
      </c>
      <c r="P463" s="31"/>
    </row>
    <row r="464" customFormat="false" ht="15" hidden="false" customHeight="false" outlineLevel="0" collapsed="false">
      <c r="A464" s="34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2" t="str">
        <f aca="false">IF(D464="","",IF(SUM(H464:K464)&gt;0,1,0))</f>
        <v/>
      </c>
      <c r="N464" s="33" t="str">
        <f aca="false">IF(D464="","",IF(OR(COUNTIF('Target &amp; Team Lists'!$J$5:$J$204,D464)&gt;0,ISNUMBER(SEARCH("alpha nodus",F464))),"Yes","No"))</f>
        <v/>
      </c>
      <c r="O464" s="33" t="str">
        <f aca="false">IF(D464="","",IF(N464="Yes","No",IF(OR(AND(F464&lt;&gt;"",COUNTIF('Target &amp; Team Lists'!$A$5:$A$504,F464)&gt;0),COUNTIF('Target &amp; Team Lists'!$E$5:$E$504,D464)&gt;0),"Yes","No")))</f>
        <v/>
      </c>
      <c r="P464" s="31"/>
    </row>
    <row r="465" customFormat="false" ht="15" hidden="false" customHeight="false" outlineLevel="0" collapsed="false">
      <c r="A465" s="34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2" t="str">
        <f aca="false">IF(D465="","",IF(SUM(H465:K465)&gt;0,1,0))</f>
        <v/>
      </c>
      <c r="N465" s="33" t="str">
        <f aca="false">IF(D465="","",IF(OR(COUNTIF('Target &amp; Team Lists'!$J$5:$J$204,D465)&gt;0,ISNUMBER(SEARCH("alpha nodus",F465))),"Yes","No"))</f>
        <v/>
      </c>
      <c r="O465" s="33" t="str">
        <f aca="false">IF(D465="","",IF(N465="Yes","No",IF(OR(AND(F465&lt;&gt;"",COUNTIF('Target &amp; Team Lists'!$A$5:$A$504,F465)&gt;0),COUNTIF('Target &amp; Team Lists'!$E$5:$E$504,D465)&gt;0),"Yes","No")))</f>
        <v/>
      </c>
      <c r="P465" s="31"/>
    </row>
    <row r="466" customFormat="false" ht="15" hidden="false" customHeight="false" outlineLevel="0" collapsed="false">
      <c r="A466" s="34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2" t="str">
        <f aca="false">IF(D466="","",IF(SUM(H466:K466)&gt;0,1,0))</f>
        <v/>
      </c>
      <c r="N466" s="33" t="str">
        <f aca="false">IF(D466="","",IF(OR(COUNTIF('Target &amp; Team Lists'!$J$5:$J$204,D466)&gt;0,ISNUMBER(SEARCH("alpha nodus",F466))),"Yes","No"))</f>
        <v/>
      </c>
      <c r="O466" s="33" t="str">
        <f aca="false">IF(D466="","",IF(N466="Yes","No",IF(OR(AND(F466&lt;&gt;"",COUNTIF('Target &amp; Team Lists'!$A$5:$A$504,F466)&gt;0),COUNTIF('Target &amp; Team Lists'!$E$5:$E$504,D466)&gt;0),"Yes","No")))</f>
        <v/>
      </c>
      <c r="P466" s="31"/>
    </row>
    <row r="467" customFormat="false" ht="15" hidden="false" customHeight="false" outlineLevel="0" collapsed="false">
      <c r="A467" s="34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2" t="str">
        <f aca="false">IF(D467="","",IF(SUM(H467:K467)&gt;0,1,0))</f>
        <v/>
      </c>
      <c r="N467" s="33" t="str">
        <f aca="false">IF(D467="","",IF(OR(COUNTIF('Target &amp; Team Lists'!$J$5:$J$204,D467)&gt;0,ISNUMBER(SEARCH("alpha nodus",F467))),"Yes","No"))</f>
        <v/>
      </c>
      <c r="O467" s="33" t="str">
        <f aca="false">IF(D467="","",IF(N467="Yes","No",IF(OR(AND(F467&lt;&gt;"",COUNTIF('Target &amp; Team Lists'!$A$5:$A$504,F467)&gt;0),COUNTIF('Target &amp; Team Lists'!$E$5:$E$504,D467)&gt;0),"Yes","No")))</f>
        <v/>
      </c>
      <c r="P467" s="31"/>
    </row>
    <row r="468" customFormat="false" ht="15" hidden="false" customHeight="false" outlineLevel="0" collapsed="false">
      <c r="A468" s="34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2" t="str">
        <f aca="false">IF(D468="","",IF(SUM(H468:K468)&gt;0,1,0))</f>
        <v/>
      </c>
      <c r="N468" s="33" t="str">
        <f aca="false">IF(D468="","",IF(OR(COUNTIF('Target &amp; Team Lists'!$J$5:$J$204,D468)&gt;0,ISNUMBER(SEARCH("alpha nodus",F468))),"Yes","No"))</f>
        <v/>
      </c>
      <c r="O468" s="33" t="str">
        <f aca="false">IF(D468="","",IF(N468="Yes","No",IF(OR(AND(F468&lt;&gt;"",COUNTIF('Target &amp; Team Lists'!$A$5:$A$504,F468)&gt;0),COUNTIF('Target &amp; Team Lists'!$E$5:$E$504,D468)&gt;0),"Yes","No")))</f>
        <v/>
      </c>
      <c r="P468" s="31"/>
    </row>
    <row r="469" customFormat="false" ht="15" hidden="false" customHeight="false" outlineLevel="0" collapsed="false">
      <c r="A469" s="34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2" t="str">
        <f aca="false">IF(D469="","",IF(SUM(H469:K469)&gt;0,1,0))</f>
        <v/>
      </c>
      <c r="N469" s="33" t="str">
        <f aca="false">IF(D469="","",IF(OR(COUNTIF('Target &amp; Team Lists'!$J$5:$J$204,D469)&gt;0,ISNUMBER(SEARCH("alpha nodus",F469))),"Yes","No"))</f>
        <v/>
      </c>
      <c r="O469" s="33" t="str">
        <f aca="false">IF(D469="","",IF(N469="Yes","No",IF(OR(AND(F469&lt;&gt;"",COUNTIF('Target &amp; Team Lists'!$A$5:$A$504,F469)&gt;0),COUNTIF('Target &amp; Team Lists'!$E$5:$E$504,D469)&gt;0),"Yes","No")))</f>
        <v/>
      </c>
      <c r="P469" s="31"/>
    </row>
    <row r="470" customFormat="false" ht="15" hidden="false" customHeight="false" outlineLevel="0" collapsed="false">
      <c r="A470" s="34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2" t="str">
        <f aca="false">IF(D470="","",IF(SUM(H470:K470)&gt;0,1,0))</f>
        <v/>
      </c>
      <c r="N470" s="33" t="str">
        <f aca="false">IF(D470="","",IF(OR(COUNTIF('Target &amp; Team Lists'!$J$5:$J$204,D470)&gt;0,ISNUMBER(SEARCH("alpha nodus",F470))),"Yes","No"))</f>
        <v/>
      </c>
      <c r="O470" s="33" t="str">
        <f aca="false">IF(D470="","",IF(N470="Yes","No",IF(OR(AND(F470&lt;&gt;"",COUNTIF('Target &amp; Team Lists'!$A$5:$A$504,F470)&gt;0),COUNTIF('Target &amp; Team Lists'!$E$5:$E$504,D470)&gt;0),"Yes","No")))</f>
        <v/>
      </c>
      <c r="P470" s="31"/>
    </row>
    <row r="471" customFormat="false" ht="15" hidden="false" customHeight="false" outlineLevel="0" collapsed="false">
      <c r="A471" s="34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2" t="str">
        <f aca="false">IF(D471="","",IF(SUM(H471:K471)&gt;0,1,0))</f>
        <v/>
      </c>
      <c r="N471" s="33" t="str">
        <f aca="false">IF(D471="","",IF(OR(COUNTIF('Target &amp; Team Lists'!$J$5:$J$204,D471)&gt;0,ISNUMBER(SEARCH("alpha nodus",F471))),"Yes","No"))</f>
        <v/>
      </c>
      <c r="O471" s="33" t="str">
        <f aca="false">IF(D471="","",IF(N471="Yes","No",IF(OR(AND(F471&lt;&gt;"",COUNTIF('Target &amp; Team Lists'!$A$5:$A$504,F471)&gt;0),COUNTIF('Target &amp; Team Lists'!$E$5:$E$504,D471)&gt;0),"Yes","No")))</f>
        <v/>
      </c>
      <c r="P471" s="31"/>
    </row>
    <row r="472" customFormat="false" ht="15" hidden="false" customHeight="false" outlineLevel="0" collapsed="false">
      <c r="A472" s="34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2" t="str">
        <f aca="false">IF(D472="","",IF(SUM(H472:K472)&gt;0,1,0))</f>
        <v/>
      </c>
      <c r="N472" s="33" t="str">
        <f aca="false">IF(D472="","",IF(OR(COUNTIF('Target &amp; Team Lists'!$J$5:$J$204,D472)&gt;0,ISNUMBER(SEARCH("alpha nodus",F472))),"Yes","No"))</f>
        <v/>
      </c>
      <c r="O472" s="33" t="str">
        <f aca="false">IF(D472="","",IF(N472="Yes","No",IF(OR(AND(F472&lt;&gt;"",COUNTIF('Target &amp; Team Lists'!$A$5:$A$504,F472)&gt;0),COUNTIF('Target &amp; Team Lists'!$E$5:$E$504,D472)&gt;0),"Yes","No")))</f>
        <v/>
      </c>
      <c r="P472" s="31"/>
    </row>
    <row r="473" customFormat="false" ht="15" hidden="false" customHeight="false" outlineLevel="0" collapsed="false">
      <c r="A473" s="34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2" t="str">
        <f aca="false">IF(D473="","",IF(SUM(H473:K473)&gt;0,1,0))</f>
        <v/>
      </c>
      <c r="N473" s="33" t="str">
        <f aca="false">IF(D473="","",IF(OR(COUNTIF('Target &amp; Team Lists'!$J$5:$J$204,D473)&gt;0,ISNUMBER(SEARCH("alpha nodus",F473))),"Yes","No"))</f>
        <v/>
      </c>
      <c r="O473" s="33" t="str">
        <f aca="false">IF(D473="","",IF(N473="Yes","No",IF(OR(AND(F473&lt;&gt;"",COUNTIF('Target &amp; Team Lists'!$A$5:$A$504,F473)&gt;0),COUNTIF('Target &amp; Team Lists'!$E$5:$E$504,D473)&gt;0),"Yes","No")))</f>
        <v/>
      </c>
      <c r="P473" s="31"/>
    </row>
    <row r="474" customFormat="false" ht="15" hidden="false" customHeight="false" outlineLevel="0" collapsed="false">
      <c r="A474" s="34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2" t="str">
        <f aca="false">IF(D474="","",IF(SUM(H474:K474)&gt;0,1,0))</f>
        <v/>
      </c>
      <c r="N474" s="33" t="str">
        <f aca="false">IF(D474="","",IF(OR(COUNTIF('Target &amp; Team Lists'!$J$5:$J$204,D474)&gt;0,ISNUMBER(SEARCH("alpha nodus",F474))),"Yes","No"))</f>
        <v/>
      </c>
      <c r="O474" s="33" t="str">
        <f aca="false">IF(D474="","",IF(N474="Yes","No",IF(OR(AND(F474&lt;&gt;"",COUNTIF('Target &amp; Team Lists'!$A$5:$A$504,F474)&gt;0),COUNTIF('Target &amp; Team Lists'!$E$5:$E$504,D474)&gt;0),"Yes","No")))</f>
        <v/>
      </c>
      <c r="P474" s="31"/>
    </row>
    <row r="475" customFormat="false" ht="15" hidden="false" customHeight="false" outlineLevel="0" collapsed="false">
      <c r="A475" s="34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2" t="str">
        <f aca="false">IF(D475="","",IF(SUM(H475:K475)&gt;0,1,0))</f>
        <v/>
      </c>
      <c r="N475" s="33" t="str">
        <f aca="false">IF(D475="","",IF(OR(COUNTIF('Target &amp; Team Lists'!$J$5:$J$204,D475)&gt;0,ISNUMBER(SEARCH("alpha nodus",F475))),"Yes","No"))</f>
        <v/>
      </c>
      <c r="O475" s="33" t="str">
        <f aca="false">IF(D475="","",IF(N475="Yes","No",IF(OR(AND(F475&lt;&gt;"",COUNTIF('Target &amp; Team Lists'!$A$5:$A$504,F475)&gt;0),COUNTIF('Target &amp; Team Lists'!$E$5:$E$504,D475)&gt;0),"Yes","No")))</f>
        <v/>
      </c>
      <c r="P475" s="31"/>
    </row>
    <row r="476" customFormat="false" ht="15" hidden="false" customHeight="false" outlineLevel="0" collapsed="false">
      <c r="A476" s="34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2" t="str">
        <f aca="false">IF(D476="","",IF(SUM(H476:K476)&gt;0,1,0))</f>
        <v/>
      </c>
      <c r="N476" s="33" t="str">
        <f aca="false">IF(D476="","",IF(OR(COUNTIF('Target &amp; Team Lists'!$J$5:$J$204,D476)&gt;0,ISNUMBER(SEARCH("alpha nodus",F476))),"Yes","No"))</f>
        <v/>
      </c>
      <c r="O476" s="33" t="str">
        <f aca="false">IF(D476="","",IF(N476="Yes","No",IF(OR(AND(F476&lt;&gt;"",COUNTIF('Target &amp; Team Lists'!$A$5:$A$504,F476)&gt;0),COUNTIF('Target &amp; Team Lists'!$E$5:$E$504,D476)&gt;0),"Yes","No")))</f>
        <v/>
      </c>
      <c r="P476" s="31"/>
    </row>
    <row r="477" customFormat="false" ht="15" hidden="false" customHeight="false" outlineLevel="0" collapsed="false">
      <c r="A477" s="34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2" t="str">
        <f aca="false">IF(D477="","",IF(SUM(H477:K477)&gt;0,1,0))</f>
        <v/>
      </c>
      <c r="N477" s="33" t="str">
        <f aca="false">IF(D477="","",IF(OR(COUNTIF('Target &amp; Team Lists'!$J$5:$J$204,D477)&gt;0,ISNUMBER(SEARCH("alpha nodus",F477))),"Yes","No"))</f>
        <v/>
      </c>
      <c r="O477" s="33" t="str">
        <f aca="false">IF(D477="","",IF(N477="Yes","No",IF(OR(AND(F477&lt;&gt;"",COUNTIF('Target &amp; Team Lists'!$A$5:$A$504,F477)&gt;0),COUNTIF('Target &amp; Team Lists'!$E$5:$E$504,D477)&gt;0),"Yes","No")))</f>
        <v/>
      </c>
      <c r="P477" s="31"/>
    </row>
    <row r="478" customFormat="false" ht="15" hidden="false" customHeight="false" outlineLevel="0" collapsed="false">
      <c r="A478" s="34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2" t="str">
        <f aca="false">IF(D478="","",IF(SUM(H478:K478)&gt;0,1,0))</f>
        <v/>
      </c>
      <c r="N478" s="33" t="str">
        <f aca="false">IF(D478="","",IF(OR(COUNTIF('Target &amp; Team Lists'!$J$5:$J$204,D478)&gt;0,ISNUMBER(SEARCH("alpha nodus",F478))),"Yes","No"))</f>
        <v/>
      </c>
      <c r="O478" s="33" t="str">
        <f aca="false">IF(D478="","",IF(N478="Yes","No",IF(OR(AND(F478&lt;&gt;"",COUNTIF('Target &amp; Team Lists'!$A$5:$A$504,F478)&gt;0),COUNTIF('Target &amp; Team Lists'!$E$5:$E$504,D478)&gt;0),"Yes","No")))</f>
        <v/>
      </c>
      <c r="P478" s="31"/>
    </row>
    <row r="479" customFormat="false" ht="15" hidden="false" customHeight="false" outlineLevel="0" collapsed="false">
      <c r="A479" s="34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2" t="str">
        <f aca="false">IF(D479="","",IF(SUM(H479:K479)&gt;0,1,0))</f>
        <v/>
      </c>
      <c r="N479" s="33" t="str">
        <f aca="false">IF(D479="","",IF(OR(COUNTIF('Target &amp; Team Lists'!$J$5:$J$204,D479)&gt;0,ISNUMBER(SEARCH("alpha nodus",F479))),"Yes","No"))</f>
        <v/>
      </c>
      <c r="O479" s="33" t="str">
        <f aca="false">IF(D479="","",IF(N479="Yes","No",IF(OR(AND(F479&lt;&gt;"",COUNTIF('Target &amp; Team Lists'!$A$5:$A$504,F479)&gt;0),COUNTIF('Target &amp; Team Lists'!$E$5:$E$504,D479)&gt;0),"Yes","No")))</f>
        <v/>
      </c>
      <c r="P479" s="31"/>
    </row>
    <row r="480" customFormat="false" ht="15" hidden="false" customHeight="false" outlineLevel="0" collapsed="false">
      <c r="A480" s="34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2" t="str">
        <f aca="false">IF(D480="","",IF(SUM(H480:K480)&gt;0,1,0))</f>
        <v/>
      </c>
      <c r="N480" s="33" t="str">
        <f aca="false">IF(D480="","",IF(OR(COUNTIF('Target &amp; Team Lists'!$J$5:$J$204,D480)&gt;0,ISNUMBER(SEARCH("alpha nodus",F480))),"Yes","No"))</f>
        <v/>
      </c>
      <c r="O480" s="33" t="str">
        <f aca="false">IF(D480="","",IF(N480="Yes","No",IF(OR(AND(F480&lt;&gt;"",COUNTIF('Target &amp; Team Lists'!$A$5:$A$504,F480)&gt;0),COUNTIF('Target &amp; Team Lists'!$E$5:$E$504,D480)&gt;0),"Yes","No")))</f>
        <v/>
      </c>
      <c r="P480" s="31"/>
    </row>
    <row r="481" customFormat="false" ht="15" hidden="false" customHeight="false" outlineLevel="0" collapsed="false">
      <c r="A481" s="34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2" t="str">
        <f aca="false">IF(D481="","",IF(SUM(H481:K481)&gt;0,1,0))</f>
        <v/>
      </c>
      <c r="N481" s="33" t="str">
        <f aca="false">IF(D481="","",IF(OR(COUNTIF('Target &amp; Team Lists'!$J$5:$J$204,D481)&gt;0,ISNUMBER(SEARCH("alpha nodus",F481))),"Yes","No"))</f>
        <v/>
      </c>
      <c r="O481" s="33" t="str">
        <f aca="false">IF(D481="","",IF(N481="Yes","No",IF(OR(AND(F481&lt;&gt;"",COUNTIF('Target &amp; Team Lists'!$A$5:$A$504,F481)&gt;0),COUNTIF('Target &amp; Team Lists'!$E$5:$E$504,D481)&gt;0),"Yes","No")))</f>
        <v/>
      </c>
      <c r="P481" s="31"/>
    </row>
    <row r="482" customFormat="false" ht="15" hidden="false" customHeight="false" outlineLevel="0" collapsed="false">
      <c r="A482" s="34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2" t="str">
        <f aca="false">IF(D482="","",IF(SUM(H482:K482)&gt;0,1,0))</f>
        <v/>
      </c>
      <c r="N482" s="33" t="str">
        <f aca="false">IF(D482="","",IF(OR(COUNTIF('Target &amp; Team Lists'!$J$5:$J$204,D482)&gt;0,ISNUMBER(SEARCH("alpha nodus",F482))),"Yes","No"))</f>
        <v/>
      </c>
      <c r="O482" s="33" t="str">
        <f aca="false">IF(D482="","",IF(N482="Yes","No",IF(OR(AND(F482&lt;&gt;"",COUNTIF('Target &amp; Team Lists'!$A$5:$A$504,F482)&gt;0),COUNTIF('Target &amp; Team Lists'!$E$5:$E$504,D482)&gt;0),"Yes","No")))</f>
        <v/>
      </c>
      <c r="P482" s="31"/>
    </row>
    <row r="483" customFormat="false" ht="15" hidden="false" customHeight="false" outlineLevel="0" collapsed="false">
      <c r="A483" s="34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2" t="str">
        <f aca="false">IF(D483="","",IF(SUM(H483:K483)&gt;0,1,0))</f>
        <v/>
      </c>
      <c r="N483" s="33" t="str">
        <f aca="false">IF(D483="","",IF(OR(COUNTIF('Target &amp; Team Lists'!$J$5:$J$204,D483)&gt;0,ISNUMBER(SEARCH("alpha nodus",F483))),"Yes","No"))</f>
        <v/>
      </c>
      <c r="O483" s="33" t="str">
        <f aca="false">IF(D483="","",IF(N483="Yes","No",IF(OR(AND(F483&lt;&gt;"",COUNTIF('Target &amp; Team Lists'!$A$5:$A$504,F483)&gt;0),COUNTIF('Target &amp; Team Lists'!$E$5:$E$504,D483)&gt;0),"Yes","No")))</f>
        <v/>
      </c>
      <c r="P483" s="31"/>
    </row>
    <row r="484" customFormat="false" ht="15" hidden="false" customHeight="false" outlineLevel="0" collapsed="false">
      <c r="A484" s="34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2" t="str">
        <f aca="false">IF(D484="","",IF(SUM(H484:K484)&gt;0,1,0))</f>
        <v/>
      </c>
      <c r="N484" s="33" t="str">
        <f aca="false">IF(D484="","",IF(OR(COUNTIF('Target &amp; Team Lists'!$J$5:$J$204,D484)&gt;0,ISNUMBER(SEARCH("alpha nodus",F484))),"Yes","No"))</f>
        <v/>
      </c>
      <c r="O484" s="33" t="str">
        <f aca="false">IF(D484="","",IF(N484="Yes","No",IF(OR(AND(F484&lt;&gt;"",COUNTIF('Target &amp; Team Lists'!$A$5:$A$504,F484)&gt;0),COUNTIF('Target &amp; Team Lists'!$E$5:$E$504,D484)&gt;0),"Yes","No")))</f>
        <v/>
      </c>
      <c r="P484" s="31"/>
    </row>
    <row r="485" customFormat="false" ht="15" hidden="false" customHeight="false" outlineLevel="0" collapsed="false">
      <c r="A485" s="34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2" t="str">
        <f aca="false">IF(D485="","",IF(SUM(H485:K485)&gt;0,1,0))</f>
        <v/>
      </c>
      <c r="N485" s="33" t="str">
        <f aca="false">IF(D485="","",IF(OR(COUNTIF('Target &amp; Team Lists'!$J$5:$J$204,D485)&gt;0,ISNUMBER(SEARCH("alpha nodus",F485))),"Yes","No"))</f>
        <v/>
      </c>
      <c r="O485" s="33" t="str">
        <f aca="false">IF(D485="","",IF(N485="Yes","No",IF(OR(AND(F485&lt;&gt;"",COUNTIF('Target &amp; Team Lists'!$A$5:$A$504,F485)&gt;0),COUNTIF('Target &amp; Team Lists'!$E$5:$E$504,D485)&gt;0),"Yes","No")))</f>
        <v/>
      </c>
      <c r="P485" s="31"/>
    </row>
    <row r="486" customFormat="false" ht="15" hidden="false" customHeight="false" outlineLevel="0" collapsed="false">
      <c r="A486" s="34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2" t="str">
        <f aca="false">IF(D486="","",IF(SUM(H486:K486)&gt;0,1,0))</f>
        <v/>
      </c>
      <c r="N486" s="33" t="str">
        <f aca="false">IF(D486="","",IF(OR(COUNTIF('Target &amp; Team Lists'!$J$5:$J$204,D486)&gt;0,ISNUMBER(SEARCH("alpha nodus",F486))),"Yes","No"))</f>
        <v/>
      </c>
      <c r="O486" s="33" t="str">
        <f aca="false">IF(D486="","",IF(N486="Yes","No",IF(OR(AND(F486&lt;&gt;"",COUNTIF('Target &amp; Team Lists'!$A$5:$A$504,F486)&gt;0),COUNTIF('Target &amp; Team Lists'!$E$5:$E$504,D486)&gt;0),"Yes","No")))</f>
        <v/>
      </c>
      <c r="P486" s="31"/>
    </row>
    <row r="487" customFormat="false" ht="15" hidden="false" customHeight="false" outlineLevel="0" collapsed="false">
      <c r="A487" s="34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2" t="str">
        <f aca="false">IF(D487="","",IF(SUM(H487:K487)&gt;0,1,0))</f>
        <v/>
      </c>
      <c r="N487" s="33" t="str">
        <f aca="false">IF(D487="","",IF(OR(COUNTIF('Target &amp; Team Lists'!$J$5:$J$204,D487)&gt;0,ISNUMBER(SEARCH("alpha nodus",F487))),"Yes","No"))</f>
        <v/>
      </c>
      <c r="O487" s="33" t="str">
        <f aca="false">IF(D487="","",IF(N487="Yes","No",IF(OR(AND(F487&lt;&gt;"",COUNTIF('Target &amp; Team Lists'!$A$5:$A$504,F487)&gt;0),COUNTIF('Target &amp; Team Lists'!$E$5:$E$504,D487)&gt;0),"Yes","No")))</f>
        <v/>
      </c>
      <c r="P487" s="31"/>
    </row>
    <row r="488" customFormat="false" ht="15" hidden="false" customHeight="false" outlineLevel="0" collapsed="false">
      <c r="A488" s="34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2" t="str">
        <f aca="false">IF(D488="","",IF(SUM(H488:K488)&gt;0,1,0))</f>
        <v/>
      </c>
      <c r="N488" s="33" t="str">
        <f aca="false">IF(D488="","",IF(OR(COUNTIF('Target &amp; Team Lists'!$J$5:$J$204,D488)&gt;0,ISNUMBER(SEARCH("alpha nodus",F488))),"Yes","No"))</f>
        <v/>
      </c>
      <c r="O488" s="33" t="str">
        <f aca="false">IF(D488="","",IF(N488="Yes","No",IF(OR(AND(F488&lt;&gt;"",COUNTIF('Target &amp; Team Lists'!$A$5:$A$504,F488)&gt;0),COUNTIF('Target &amp; Team Lists'!$E$5:$E$504,D488)&gt;0),"Yes","No")))</f>
        <v/>
      </c>
      <c r="P488" s="31"/>
    </row>
    <row r="489" customFormat="false" ht="15" hidden="false" customHeight="false" outlineLevel="0" collapsed="false">
      <c r="A489" s="34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2" t="str">
        <f aca="false">IF(D489="","",IF(SUM(H489:K489)&gt;0,1,0))</f>
        <v/>
      </c>
      <c r="N489" s="33" t="str">
        <f aca="false">IF(D489="","",IF(OR(COUNTIF('Target &amp; Team Lists'!$J$5:$J$204,D489)&gt;0,ISNUMBER(SEARCH("alpha nodus",F489))),"Yes","No"))</f>
        <v/>
      </c>
      <c r="O489" s="33" t="str">
        <f aca="false">IF(D489="","",IF(N489="Yes","No",IF(OR(AND(F489&lt;&gt;"",COUNTIF('Target &amp; Team Lists'!$A$5:$A$504,F489)&gt;0),COUNTIF('Target &amp; Team Lists'!$E$5:$E$504,D489)&gt;0),"Yes","No")))</f>
        <v/>
      </c>
      <c r="P489" s="31"/>
    </row>
    <row r="490" customFormat="false" ht="15" hidden="false" customHeight="false" outlineLevel="0" collapsed="false">
      <c r="A490" s="34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2" t="str">
        <f aca="false">IF(D490="","",IF(SUM(H490:K490)&gt;0,1,0))</f>
        <v/>
      </c>
      <c r="N490" s="33" t="str">
        <f aca="false">IF(D490="","",IF(OR(COUNTIF('Target &amp; Team Lists'!$J$5:$J$204,D490)&gt;0,ISNUMBER(SEARCH("alpha nodus",F490))),"Yes","No"))</f>
        <v/>
      </c>
      <c r="O490" s="33" t="str">
        <f aca="false">IF(D490="","",IF(N490="Yes","No",IF(OR(AND(F490&lt;&gt;"",COUNTIF('Target &amp; Team Lists'!$A$5:$A$504,F490)&gt;0),COUNTIF('Target &amp; Team Lists'!$E$5:$E$504,D490)&gt;0),"Yes","No")))</f>
        <v/>
      </c>
      <c r="P490" s="31"/>
    </row>
    <row r="491" customFormat="false" ht="15" hidden="false" customHeight="false" outlineLevel="0" collapsed="false">
      <c r="A491" s="34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2" t="str">
        <f aca="false">IF(D491="","",IF(SUM(H491:K491)&gt;0,1,0))</f>
        <v/>
      </c>
      <c r="N491" s="33" t="str">
        <f aca="false">IF(D491="","",IF(OR(COUNTIF('Target &amp; Team Lists'!$J$5:$J$204,D491)&gt;0,ISNUMBER(SEARCH("alpha nodus",F491))),"Yes","No"))</f>
        <v/>
      </c>
      <c r="O491" s="33" t="str">
        <f aca="false">IF(D491="","",IF(N491="Yes","No",IF(OR(AND(F491&lt;&gt;"",COUNTIF('Target &amp; Team Lists'!$A$5:$A$504,F491)&gt;0),COUNTIF('Target &amp; Team Lists'!$E$5:$E$504,D491)&gt;0),"Yes","No")))</f>
        <v/>
      </c>
      <c r="P491" s="31"/>
    </row>
    <row r="492" customFormat="false" ht="15" hidden="false" customHeight="false" outlineLevel="0" collapsed="false">
      <c r="A492" s="34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2" t="str">
        <f aca="false">IF(D492="","",IF(SUM(H492:K492)&gt;0,1,0))</f>
        <v/>
      </c>
      <c r="N492" s="33" t="str">
        <f aca="false">IF(D492="","",IF(OR(COUNTIF('Target &amp; Team Lists'!$J$5:$J$204,D492)&gt;0,ISNUMBER(SEARCH("alpha nodus",F492))),"Yes","No"))</f>
        <v/>
      </c>
      <c r="O492" s="33" t="str">
        <f aca="false">IF(D492="","",IF(N492="Yes","No",IF(OR(AND(F492&lt;&gt;"",COUNTIF('Target &amp; Team Lists'!$A$5:$A$504,F492)&gt;0),COUNTIF('Target &amp; Team Lists'!$E$5:$E$504,D492)&gt;0),"Yes","No")))</f>
        <v/>
      </c>
      <c r="P492" s="31"/>
    </row>
    <row r="493" customFormat="false" ht="15" hidden="false" customHeight="false" outlineLevel="0" collapsed="false">
      <c r="A493" s="34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2" t="str">
        <f aca="false">IF(D493="","",IF(SUM(H493:K493)&gt;0,1,0))</f>
        <v/>
      </c>
      <c r="N493" s="33" t="str">
        <f aca="false">IF(D493="","",IF(OR(COUNTIF('Target &amp; Team Lists'!$J$5:$J$204,D493)&gt;0,ISNUMBER(SEARCH("alpha nodus",F493))),"Yes","No"))</f>
        <v/>
      </c>
      <c r="O493" s="33" t="str">
        <f aca="false">IF(D493="","",IF(N493="Yes","No",IF(OR(AND(F493&lt;&gt;"",COUNTIF('Target &amp; Team Lists'!$A$5:$A$504,F493)&gt;0),COUNTIF('Target &amp; Team Lists'!$E$5:$E$504,D493)&gt;0),"Yes","No")))</f>
        <v/>
      </c>
      <c r="P493" s="31"/>
    </row>
    <row r="494" customFormat="false" ht="15" hidden="false" customHeight="false" outlineLevel="0" collapsed="false">
      <c r="A494" s="34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2" t="str">
        <f aca="false">IF(D494="","",IF(SUM(H494:K494)&gt;0,1,0))</f>
        <v/>
      </c>
      <c r="N494" s="33" t="str">
        <f aca="false">IF(D494="","",IF(OR(COUNTIF('Target &amp; Team Lists'!$J$5:$J$204,D494)&gt;0,ISNUMBER(SEARCH("alpha nodus",F494))),"Yes","No"))</f>
        <v/>
      </c>
      <c r="O494" s="33" t="str">
        <f aca="false">IF(D494="","",IF(N494="Yes","No",IF(OR(AND(F494&lt;&gt;"",COUNTIF('Target &amp; Team Lists'!$A$5:$A$504,F494)&gt;0),COUNTIF('Target &amp; Team Lists'!$E$5:$E$504,D494)&gt;0),"Yes","No")))</f>
        <v/>
      </c>
      <c r="P494" s="31"/>
    </row>
    <row r="495" customFormat="false" ht="15" hidden="false" customHeight="false" outlineLevel="0" collapsed="false">
      <c r="A495" s="34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2" t="str">
        <f aca="false">IF(D495="","",IF(SUM(H495:K495)&gt;0,1,0))</f>
        <v/>
      </c>
      <c r="N495" s="33" t="str">
        <f aca="false">IF(D495="","",IF(OR(COUNTIF('Target &amp; Team Lists'!$J$5:$J$204,D495)&gt;0,ISNUMBER(SEARCH("alpha nodus",F495))),"Yes","No"))</f>
        <v/>
      </c>
      <c r="O495" s="33" t="str">
        <f aca="false">IF(D495="","",IF(N495="Yes","No",IF(OR(AND(F495&lt;&gt;"",COUNTIF('Target &amp; Team Lists'!$A$5:$A$504,F495)&gt;0),COUNTIF('Target &amp; Team Lists'!$E$5:$E$504,D495)&gt;0),"Yes","No")))</f>
        <v/>
      </c>
      <c r="P495" s="31"/>
    </row>
    <row r="496" customFormat="false" ht="15" hidden="false" customHeight="false" outlineLevel="0" collapsed="false">
      <c r="A496" s="34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2" t="str">
        <f aca="false">IF(D496="","",IF(SUM(H496:K496)&gt;0,1,0))</f>
        <v/>
      </c>
      <c r="N496" s="33" t="str">
        <f aca="false">IF(D496="","",IF(OR(COUNTIF('Target &amp; Team Lists'!$J$5:$J$204,D496)&gt;0,ISNUMBER(SEARCH("alpha nodus",F496))),"Yes","No"))</f>
        <v/>
      </c>
      <c r="O496" s="33" t="str">
        <f aca="false">IF(D496="","",IF(N496="Yes","No",IF(OR(AND(F496&lt;&gt;"",COUNTIF('Target &amp; Team Lists'!$A$5:$A$504,F496)&gt;0),COUNTIF('Target &amp; Team Lists'!$E$5:$E$504,D496)&gt;0),"Yes","No")))</f>
        <v/>
      </c>
      <c r="P496" s="31"/>
    </row>
    <row r="497" customFormat="false" ht="15" hidden="false" customHeight="false" outlineLevel="0" collapsed="false">
      <c r="A497" s="34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2" t="str">
        <f aca="false">IF(D497="","",IF(SUM(H497:K497)&gt;0,1,0))</f>
        <v/>
      </c>
      <c r="N497" s="33" t="str">
        <f aca="false">IF(D497="","",IF(OR(COUNTIF('Target &amp; Team Lists'!$J$5:$J$204,D497)&gt;0,ISNUMBER(SEARCH("alpha nodus",F497))),"Yes","No"))</f>
        <v/>
      </c>
      <c r="O497" s="33" t="str">
        <f aca="false">IF(D497="","",IF(N497="Yes","No",IF(OR(AND(F497&lt;&gt;"",COUNTIF('Target &amp; Team Lists'!$A$5:$A$504,F497)&gt;0),COUNTIF('Target &amp; Team Lists'!$E$5:$E$504,D497)&gt;0),"Yes","No")))</f>
        <v/>
      </c>
      <c r="P497" s="31"/>
    </row>
    <row r="498" customFormat="false" ht="15" hidden="false" customHeight="false" outlineLevel="0" collapsed="false">
      <c r="A498" s="34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2" t="str">
        <f aca="false">IF(D498="","",IF(SUM(H498:K498)&gt;0,1,0))</f>
        <v/>
      </c>
      <c r="N498" s="33" t="str">
        <f aca="false">IF(D498="","",IF(OR(COUNTIF('Target &amp; Team Lists'!$J$5:$J$204,D498)&gt;0,ISNUMBER(SEARCH("alpha nodus",F498))),"Yes","No"))</f>
        <v/>
      </c>
      <c r="O498" s="33" t="str">
        <f aca="false">IF(D498="","",IF(N498="Yes","No",IF(OR(AND(F498&lt;&gt;"",COUNTIF('Target &amp; Team Lists'!$A$5:$A$504,F498)&gt;0),COUNTIF('Target &amp; Team Lists'!$E$5:$E$504,D498)&gt;0),"Yes","No")))</f>
        <v/>
      </c>
      <c r="P498" s="31"/>
    </row>
    <row r="499" customFormat="false" ht="15" hidden="false" customHeight="false" outlineLevel="0" collapsed="false">
      <c r="A499" s="34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2" t="str">
        <f aca="false">IF(D499="","",IF(SUM(H499:K499)&gt;0,1,0))</f>
        <v/>
      </c>
      <c r="N499" s="33" t="str">
        <f aca="false">IF(D499="","",IF(OR(COUNTIF('Target &amp; Team Lists'!$J$5:$J$204,D499)&gt;0,ISNUMBER(SEARCH("alpha nodus",F499))),"Yes","No"))</f>
        <v/>
      </c>
      <c r="O499" s="33" t="str">
        <f aca="false">IF(D499="","",IF(N499="Yes","No",IF(OR(AND(F499&lt;&gt;"",COUNTIF('Target &amp; Team Lists'!$A$5:$A$504,F499)&gt;0),COUNTIF('Target &amp; Team Lists'!$E$5:$E$504,D499)&gt;0),"Yes","No")))</f>
        <v/>
      </c>
      <c r="P499" s="31"/>
    </row>
    <row r="500" customFormat="false" ht="15" hidden="false" customHeight="false" outlineLevel="0" collapsed="false">
      <c r="A500" s="34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2" t="str">
        <f aca="false">IF(D500="","",IF(SUM(H500:K500)&gt;0,1,0))</f>
        <v/>
      </c>
      <c r="N500" s="33" t="str">
        <f aca="false">IF(D500="","",IF(OR(COUNTIF('Target &amp; Team Lists'!$J$5:$J$204,D500)&gt;0,ISNUMBER(SEARCH("alpha nodus",F500))),"Yes","No"))</f>
        <v/>
      </c>
      <c r="O500" s="33" t="str">
        <f aca="false">IF(D500="","",IF(N500="Yes","No",IF(OR(AND(F500&lt;&gt;"",COUNTIF('Target &amp; Team Lists'!$A$5:$A$504,F500)&gt;0),COUNTIF('Target &amp; Team Lists'!$E$5:$E$504,D500)&gt;0),"Yes","No")))</f>
        <v/>
      </c>
      <c r="P500" s="31"/>
    </row>
    <row r="501" customFormat="false" ht="15" hidden="false" customHeight="false" outlineLevel="0" collapsed="false">
      <c r="A501" s="34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2" t="str">
        <f aca="false">IF(D501="","",IF(SUM(H501:K501)&gt;0,1,0))</f>
        <v/>
      </c>
      <c r="N501" s="33" t="str">
        <f aca="false">IF(D501="","",IF(OR(COUNTIF('Target &amp; Team Lists'!$J$5:$J$204,D501)&gt;0,ISNUMBER(SEARCH("alpha nodus",F501))),"Yes","No"))</f>
        <v/>
      </c>
      <c r="O501" s="33" t="str">
        <f aca="false">IF(D501="","",IF(N501="Yes","No",IF(OR(AND(F501&lt;&gt;"",COUNTIF('Target &amp; Team Lists'!$A$5:$A$504,F501)&gt;0),COUNTIF('Target &amp; Team Lists'!$E$5:$E$504,D501)&gt;0),"Yes","No")))</f>
        <v/>
      </c>
      <c r="P501" s="31"/>
    </row>
    <row r="502" customFormat="false" ht="15" hidden="false" customHeight="false" outlineLevel="0" collapsed="false">
      <c r="A502" s="34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2" t="str">
        <f aca="false">IF(D502="","",IF(SUM(H502:K502)&gt;0,1,0))</f>
        <v/>
      </c>
      <c r="N502" s="33" t="str">
        <f aca="false">IF(D502="","",IF(OR(COUNTIF('Target &amp; Team Lists'!$J$5:$J$204,D502)&gt;0,ISNUMBER(SEARCH("alpha nodus",F502))),"Yes","No"))</f>
        <v/>
      </c>
      <c r="O502" s="33" t="str">
        <f aca="false">IF(D502="","",IF(N502="Yes","No",IF(OR(AND(F502&lt;&gt;"",COUNTIF('Target &amp; Team Lists'!$A$5:$A$504,F502)&gt;0),COUNTIF('Target &amp; Team Lists'!$E$5:$E$504,D502)&gt;0),"Yes","No")))</f>
        <v/>
      </c>
      <c r="P502" s="31"/>
    </row>
    <row r="503" customFormat="false" ht="15" hidden="false" customHeight="false" outlineLevel="0" collapsed="false">
      <c r="A503" s="34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2" t="str">
        <f aca="false">IF(D503="","",IF(SUM(H503:K503)&gt;0,1,0))</f>
        <v/>
      </c>
      <c r="N503" s="33" t="str">
        <f aca="false">IF(D503="","",IF(OR(COUNTIF('Target &amp; Team Lists'!$J$5:$J$204,D503)&gt;0,ISNUMBER(SEARCH("alpha nodus",F503))),"Yes","No"))</f>
        <v/>
      </c>
      <c r="O503" s="33" t="str">
        <f aca="false">IF(D503="","",IF(N503="Yes","No",IF(OR(AND(F503&lt;&gt;"",COUNTIF('Target &amp; Team Lists'!$A$5:$A$504,F503)&gt;0),COUNTIF('Target &amp; Team Lists'!$E$5:$E$504,D503)&gt;0),"Yes","No")))</f>
        <v/>
      </c>
      <c r="P503" s="31"/>
    </row>
    <row r="504" customFormat="false" ht="15" hidden="false" customHeight="false" outlineLevel="0" collapsed="false">
      <c r="A504" s="34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2" t="str">
        <f aca="false">IF(D504="","",IF(SUM(H504:K504)&gt;0,1,0))</f>
        <v/>
      </c>
      <c r="N504" s="33" t="str">
        <f aca="false">IF(D504="","",IF(OR(COUNTIF('Target &amp; Team Lists'!$J$5:$J$204,D504)&gt;0,ISNUMBER(SEARCH("alpha nodus",F504))),"Yes","No"))</f>
        <v/>
      </c>
      <c r="O504" s="33" t="str">
        <f aca="false">IF(D504="","",IF(N504="Yes","No",IF(OR(AND(F504&lt;&gt;"",COUNTIF('Target &amp; Team Lists'!$A$5:$A$504,F504)&gt;0),COUNTIF('Target &amp; Team Lists'!$E$5:$E$504,D504)&gt;0),"Yes","No")))</f>
        <v/>
      </c>
      <c r="P504" s="31"/>
    </row>
    <row r="505" customFormat="false" ht="15" hidden="false" customHeight="false" outlineLevel="0" collapsed="false">
      <c r="A505" s="34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2" t="str">
        <f aca="false">IF(D505="","",IF(SUM(H505:K505)&gt;0,1,0))</f>
        <v/>
      </c>
      <c r="N505" s="33" t="str">
        <f aca="false">IF(D505="","",IF(OR(COUNTIF('Target &amp; Team Lists'!$J$5:$J$204,D505)&gt;0,ISNUMBER(SEARCH("alpha nodus",F505))),"Yes","No"))</f>
        <v/>
      </c>
      <c r="O505" s="33" t="str">
        <f aca="false">IF(D505="","",IF(N505="Yes","No",IF(OR(AND(F505&lt;&gt;"",COUNTIF('Target &amp; Team Lists'!$A$5:$A$504,F505)&gt;0),COUNTIF('Target &amp; Team Lists'!$E$5:$E$504,D505)&gt;0),"Yes","No")))</f>
        <v/>
      </c>
      <c r="P505" s="31"/>
    </row>
    <row r="506" customFormat="false" ht="15" hidden="false" customHeight="false" outlineLevel="0" collapsed="false">
      <c r="A506" s="34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2" t="str">
        <f aca="false">IF(D506="","",IF(SUM(H506:K506)&gt;0,1,0))</f>
        <v/>
      </c>
      <c r="N506" s="33" t="str">
        <f aca="false">IF(D506="","",IF(OR(COUNTIF('Target &amp; Team Lists'!$J$5:$J$204,D506)&gt;0,ISNUMBER(SEARCH("alpha nodus",F506))),"Yes","No"))</f>
        <v/>
      </c>
      <c r="O506" s="33" t="str">
        <f aca="false">IF(D506="","",IF(N506="Yes","No",IF(OR(AND(F506&lt;&gt;"",COUNTIF('Target &amp; Team Lists'!$A$5:$A$504,F506)&gt;0),COUNTIF('Target &amp; Team Lists'!$E$5:$E$504,D506)&gt;0),"Yes","No")))</f>
        <v/>
      </c>
      <c r="P506" s="31"/>
    </row>
    <row r="507" customFormat="false" ht="15" hidden="false" customHeight="false" outlineLevel="0" collapsed="false">
      <c r="A507" s="34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2" t="str">
        <f aca="false">IF(D507="","",IF(SUM(H507:K507)&gt;0,1,0))</f>
        <v/>
      </c>
      <c r="N507" s="33" t="str">
        <f aca="false">IF(D507="","",IF(OR(COUNTIF('Target &amp; Team Lists'!$J$5:$J$204,D507)&gt;0,ISNUMBER(SEARCH("alpha nodus",F507))),"Yes","No"))</f>
        <v/>
      </c>
      <c r="O507" s="33" t="str">
        <f aca="false">IF(D507="","",IF(N507="Yes","No",IF(OR(AND(F507&lt;&gt;"",COUNTIF('Target &amp; Team Lists'!$A$5:$A$504,F507)&gt;0),COUNTIF('Target &amp; Team Lists'!$E$5:$E$504,D507)&gt;0),"Yes","No")))</f>
        <v/>
      </c>
      <c r="P507" s="31"/>
    </row>
    <row r="508" customFormat="false" ht="15" hidden="false" customHeight="false" outlineLevel="0" collapsed="false">
      <c r="A508" s="34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2" t="str">
        <f aca="false">IF(D508="","",IF(SUM(H508:K508)&gt;0,1,0))</f>
        <v/>
      </c>
      <c r="N508" s="33" t="str">
        <f aca="false">IF(D508="","",IF(OR(COUNTIF('Target &amp; Team Lists'!$J$5:$J$204,D508)&gt;0,ISNUMBER(SEARCH("alpha nodus",F508))),"Yes","No"))</f>
        <v/>
      </c>
      <c r="O508" s="33" t="str">
        <f aca="false">IF(D508="","",IF(N508="Yes","No",IF(OR(AND(F508&lt;&gt;"",COUNTIF('Target &amp; Team Lists'!$A$5:$A$504,F508)&gt;0),COUNTIF('Target &amp; Team Lists'!$E$5:$E$504,D508)&gt;0),"Yes","No")))</f>
        <v/>
      </c>
      <c r="P508" s="31"/>
    </row>
    <row r="509" customFormat="false" ht="15" hidden="false" customHeight="false" outlineLevel="0" collapsed="false">
      <c r="A509" s="34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2" t="str">
        <f aca="false">IF(D509="","",IF(SUM(H509:K509)&gt;0,1,0))</f>
        <v/>
      </c>
      <c r="N509" s="33" t="str">
        <f aca="false">IF(D509="","",IF(OR(COUNTIF('Target &amp; Team Lists'!$J$5:$J$204,D509)&gt;0,ISNUMBER(SEARCH("alpha nodus",F509))),"Yes","No"))</f>
        <v/>
      </c>
      <c r="O509" s="33" t="str">
        <f aca="false">IF(D509="","",IF(N509="Yes","No",IF(OR(AND(F509&lt;&gt;"",COUNTIF('Target &amp; Team Lists'!$A$5:$A$504,F509)&gt;0),COUNTIF('Target &amp; Team Lists'!$E$5:$E$504,D509)&gt;0),"Yes","No")))</f>
        <v/>
      </c>
      <c r="P509" s="31"/>
    </row>
    <row r="510" customFormat="false" ht="15" hidden="false" customHeight="false" outlineLevel="0" collapsed="false">
      <c r="A510" s="34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2" t="str">
        <f aca="false">IF(D510="","",IF(SUM(H510:K510)&gt;0,1,0))</f>
        <v/>
      </c>
      <c r="N510" s="33" t="str">
        <f aca="false">IF(D510="","",IF(OR(COUNTIF('Target &amp; Team Lists'!$J$5:$J$204,D510)&gt;0,ISNUMBER(SEARCH("alpha nodus",F510))),"Yes","No"))</f>
        <v/>
      </c>
      <c r="O510" s="33" t="str">
        <f aca="false">IF(D510="","",IF(N510="Yes","No",IF(OR(AND(F510&lt;&gt;"",COUNTIF('Target &amp; Team Lists'!$A$5:$A$504,F510)&gt;0),COUNTIF('Target &amp; Team Lists'!$E$5:$E$504,D510)&gt;0),"Yes","No")))</f>
        <v/>
      </c>
      <c r="P510" s="31"/>
    </row>
    <row r="511" customFormat="false" ht="15" hidden="false" customHeight="false" outlineLevel="0" collapsed="false">
      <c r="A511" s="34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2" t="str">
        <f aca="false">IF(D511="","",IF(SUM(H511:K511)&gt;0,1,0))</f>
        <v/>
      </c>
      <c r="N511" s="33" t="str">
        <f aca="false">IF(D511="","",IF(OR(COUNTIF('Target &amp; Team Lists'!$J$5:$J$204,D511)&gt;0,ISNUMBER(SEARCH("alpha nodus",F511))),"Yes","No"))</f>
        <v/>
      </c>
      <c r="O511" s="33" t="str">
        <f aca="false">IF(D511="","",IF(N511="Yes","No",IF(OR(AND(F511&lt;&gt;"",COUNTIF('Target &amp; Team Lists'!$A$5:$A$504,F511)&gt;0),COUNTIF('Target &amp; Team Lists'!$E$5:$E$504,D511)&gt;0),"Yes","No")))</f>
        <v/>
      </c>
      <c r="P511" s="31"/>
    </row>
    <row r="512" customFormat="false" ht="15" hidden="false" customHeight="false" outlineLevel="0" collapsed="false">
      <c r="A512" s="34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2" t="str">
        <f aca="false">IF(D512="","",IF(SUM(H512:K512)&gt;0,1,0))</f>
        <v/>
      </c>
      <c r="N512" s="33" t="str">
        <f aca="false">IF(D512="","",IF(OR(COUNTIF('Target &amp; Team Lists'!$J$5:$J$204,D512)&gt;0,ISNUMBER(SEARCH("alpha nodus",F512))),"Yes","No"))</f>
        <v/>
      </c>
      <c r="O512" s="33" t="str">
        <f aca="false">IF(D512="","",IF(N512="Yes","No",IF(OR(AND(F512&lt;&gt;"",COUNTIF('Target &amp; Team Lists'!$A$5:$A$504,F512)&gt;0),COUNTIF('Target &amp; Team Lists'!$E$5:$E$504,D512)&gt;0),"Yes","No")))</f>
        <v/>
      </c>
      <c r="P512" s="31"/>
    </row>
    <row r="513" customFormat="false" ht="15" hidden="false" customHeight="false" outlineLevel="0" collapsed="false">
      <c r="A513" s="34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2" t="str">
        <f aca="false">IF(D513="","",IF(SUM(H513:K513)&gt;0,1,0))</f>
        <v/>
      </c>
      <c r="N513" s="33" t="str">
        <f aca="false">IF(D513="","",IF(OR(COUNTIF('Target &amp; Team Lists'!$J$5:$J$204,D513)&gt;0,ISNUMBER(SEARCH("alpha nodus",F513))),"Yes","No"))</f>
        <v/>
      </c>
      <c r="O513" s="33" t="str">
        <f aca="false">IF(D513="","",IF(N513="Yes","No",IF(OR(AND(F513&lt;&gt;"",COUNTIF('Target &amp; Team Lists'!$A$5:$A$504,F513)&gt;0),COUNTIF('Target &amp; Team Lists'!$E$5:$E$504,D513)&gt;0),"Yes","No")))</f>
        <v/>
      </c>
      <c r="P513" s="31"/>
    </row>
    <row r="514" customFormat="false" ht="15" hidden="false" customHeight="false" outlineLevel="0" collapsed="false">
      <c r="A514" s="34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2" t="str">
        <f aca="false">IF(D514="","",IF(SUM(H514:K514)&gt;0,1,0))</f>
        <v/>
      </c>
      <c r="N514" s="33" t="str">
        <f aca="false">IF(D514="","",IF(OR(COUNTIF('Target &amp; Team Lists'!$J$5:$J$204,D514)&gt;0,ISNUMBER(SEARCH("alpha nodus",F514))),"Yes","No"))</f>
        <v/>
      </c>
      <c r="O514" s="33" t="str">
        <f aca="false">IF(D514="","",IF(N514="Yes","No",IF(OR(AND(F514&lt;&gt;"",COUNTIF('Target &amp; Team Lists'!$A$5:$A$504,F514)&gt;0),COUNTIF('Target &amp; Team Lists'!$E$5:$E$504,D514)&gt;0),"Yes","No")))</f>
        <v/>
      </c>
      <c r="P514" s="31"/>
    </row>
    <row r="515" customFormat="false" ht="15" hidden="false" customHeight="false" outlineLevel="0" collapsed="false">
      <c r="A515" s="34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2" t="str">
        <f aca="false">IF(D515="","",IF(SUM(H515:K515)&gt;0,1,0))</f>
        <v/>
      </c>
      <c r="N515" s="33" t="str">
        <f aca="false">IF(D515="","",IF(OR(COUNTIF('Target &amp; Team Lists'!$J$5:$J$204,D515)&gt;0,ISNUMBER(SEARCH("alpha nodus",F515))),"Yes","No"))</f>
        <v/>
      </c>
      <c r="O515" s="33" t="str">
        <f aca="false">IF(D515="","",IF(N515="Yes","No",IF(OR(AND(F515&lt;&gt;"",COUNTIF('Target &amp; Team Lists'!$A$5:$A$504,F515)&gt;0),COUNTIF('Target &amp; Team Lists'!$E$5:$E$504,D515)&gt;0),"Yes","No")))</f>
        <v/>
      </c>
      <c r="P515" s="31"/>
    </row>
    <row r="516" customFormat="false" ht="15" hidden="false" customHeight="false" outlineLevel="0" collapsed="false">
      <c r="A516" s="34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2" t="str">
        <f aca="false">IF(D516="","",IF(SUM(H516:K516)&gt;0,1,0))</f>
        <v/>
      </c>
      <c r="N516" s="33" t="str">
        <f aca="false">IF(D516="","",IF(OR(COUNTIF('Target &amp; Team Lists'!$J$5:$J$204,D516)&gt;0,ISNUMBER(SEARCH("alpha nodus",F516))),"Yes","No"))</f>
        <v/>
      </c>
      <c r="O516" s="33" t="str">
        <f aca="false">IF(D516="","",IF(N516="Yes","No",IF(OR(AND(F516&lt;&gt;"",COUNTIF('Target &amp; Team Lists'!$A$5:$A$504,F516)&gt;0),COUNTIF('Target &amp; Team Lists'!$E$5:$E$504,D516)&gt;0),"Yes","No")))</f>
        <v/>
      </c>
      <c r="P516" s="31"/>
    </row>
    <row r="517" customFormat="false" ht="15" hidden="false" customHeight="false" outlineLevel="0" collapsed="false">
      <c r="A517" s="34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2" t="str">
        <f aca="false">IF(D517="","",IF(SUM(H517:K517)&gt;0,1,0))</f>
        <v/>
      </c>
      <c r="N517" s="33" t="str">
        <f aca="false">IF(D517="","",IF(OR(COUNTIF('Target &amp; Team Lists'!$J$5:$J$204,D517)&gt;0,ISNUMBER(SEARCH("alpha nodus",F517))),"Yes","No"))</f>
        <v/>
      </c>
      <c r="O517" s="33" t="str">
        <f aca="false">IF(D517="","",IF(N517="Yes","No",IF(OR(AND(F517&lt;&gt;"",COUNTIF('Target &amp; Team Lists'!$A$5:$A$504,F517)&gt;0),COUNTIF('Target &amp; Team Lists'!$E$5:$E$504,D517)&gt;0),"Yes","No")))</f>
        <v/>
      </c>
      <c r="P517" s="31"/>
    </row>
    <row r="518" customFormat="false" ht="15" hidden="false" customHeight="false" outlineLevel="0" collapsed="false">
      <c r="A518" s="34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2" t="str">
        <f aca="false">IF(D518="","",IF(SUM(H518:K518)&gt;0,1,0))</f>
        <v/>
      </c>
      <c r="N518" s="33" t="str">
        <f aca="false">IF(D518="","",IF(OR(COUNTIF('Target &amp; Team Lists'!$J$5:$J$204,D518)&gt;0,ISNUMBER(SEARCH("alpha nodus",F518))),"Yes","No"))</f>
        <v/>
      </c>
      <c r="O518" s="33" t="str">
        <f aca="false">IF(D518="","",IF(N518="Yes","No",IF(OR(AND(F518&lt;&gt;"",COUNTIF('Target &amp; Team Lists'!$A$5:$A$504,F518)&gt;0),COUNTIF('Target &amp; Team Lists'!$E$5:$E$504,D518)&gt;0),"Yes","No")))</f>
        <v/>
      </c>
      <c r="P518" s="31"/>
    </row>
    <row r="519" customFormat="false" ht="15" hidden="false" customHeight="false" outlineLevel="0" collapsed="false">
      <c r="A519" s="34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2" t="str">
        <f aca="false">IF(D519="","",IF(SUM(H519:K519)&gt;0,1,0))</f>
        <v/>
      </c>
      <c r="N519" s="33" t="str">
        <f aca="false">IF(D519="","",IF(OR(COUNTIF('Target &amp; Team Lists'!$J$5:$J$204,D519)&gt;0,ISNUMBER(SEARCH("alpha nodus",F519))),"Yes","No"))</f>
        <v/>
      </c>
      <c r="O519" s="33" t="str">
        <f aca="false">IF(D519="","",IF(N519="Yes","No",IF(OR(AND(F519&lt;&gt;"",COUNTIF('Target &amp; Team Lists'!$A$5:$A$504,F519)&gt;0),COUNTIF('Target &amp; Team Lists'!$E$5:$E$504,D519)&gt;0),"Yes","No")))</f>
        <v/>
      </c>
      <c r="P519" s="31"/>
    </row>
    <row r="520" customFormat="false" ht="15" hidden="false" customHeight="false" outlineLevel="0" collapsed="false">
      <c r="A520" s="34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2" t="str">
        <f aca="false">IF(D520="","",IF(SUM(H520:K520)&gt;0,1,0))</f>
        <v/>
      </c>
      <c r="N520" s="33" t="str">
        <f aca="false">IF(D520="","",IF(OR(COUNTIF('Target &amp; Team Lists'!$J$5:$J$204,D520)&gt;0,ISNUMBER(SEARCH("alpha nodus",F520))),"Yes","No"))</f>
        <v/>
      </c>
      <c r="O520" s="33" t="str">
        <f aca="false">IF(D520="","",IF(N520="Yes","No",IF(OR(AND(F520&lt;&gt;"",COUNTIF('Target &amp; Team Lists'!$A$5:$A$504,F520)&gt;0),COUNTIF('Target &amp; Team Lists'!$E$5:$E$504,D520)&gt;0),"Yes","No")))</f>
        <v/>
      </c>
      <c r="P520" s="31"/>
    </row>
    <row r="521" customFormat="false" ht="15" hidden="false" customHeight="false" outlineLevel="0" collapsed="false">
      <c r="A521" s="34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2" t="str">
        <f aca="false">IF(D521="","",IF(SUM(H521:K521)&gt;0,1,0))</f>
        <v/>
      </c>
      <c r="N521" s="33" t="str">
        <f aca="false">IF(D521="","",IF(OR(COUNTIF('Target &amp; Team Lists'!$J$5:$J$204,D521)&gt;0,ISNUMBER(SEARCH("alpha nodus",F521))),"Yes","No"))</f>
        <v/>
      </c>
      <c r="O521" s="33" t="str">
        <f aca="false">IF(D521="","",IF(N521="Yes","No",IF(OR(AND(F521&lt;&gt;"",COUNTIF('Target &amp; Team Lists'!$A$5:$A$504,F521)&gt;0),COUNTIF('Target &amp; Team Lists'!$E$5:$E$504,D521)&gt;0),"Yes","No")))</f>
        <v/>
      </c>
      <c r="P521" s="31"/>
    </row>
    <row r="522" customFormat="false" ht="15" hidden="false" customHeight="false" outlineLevel="0" collapsed="false">
      <c r="A522" s="34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2" t="str">
        <f aca="false">IF(D522="","",IF(SUM(H522:K522)&gt;0,1,0))</f>
        <v/>
      </c>
      <c r="N522" s="33" t="str">
        <f aca="false">IF(D522="","",IF(OR(COUNTIF('Target &amp; Team Lists'!$J$5:$J$204,D522)&gt;0,ISNUMBER(SEARCH("alpha nodus",F522))),"Yes","No"))</f>
        <v/>
      </c>
      <c r="O522" s="33" t="str">
        <f aca="false">IF(D522="","",IF(N522="Yes","No",IF(OR(AND(F522&lt;&gt;"",COUNTIF('Target &amp; Team Lists'!$A$5:$A$504,F522)&gt;0),COUNTIF('Target &amp; Team Lists'!$E$5:$E$504,D522)&gt;0),"Yes","No")))</f>
        <v/>
      </c>
      <c r="P522" s="31"/>
    </row>
    <row r="523" customFormat="false" ht="15" hidden="false" customHeight="false" outlineLevel="0" collapsed="false">
      <c r="A523" s="34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2" t="str">
        <f aca="false">IF(D523="","",IF(SUM(H523:K523)&gt;0,1,0))</f>
        <v/>
      </c>
      <c r="N523" s="33" t="str">
        <f aca="false">IF(D523="","",IF(OR(COUNTIF('Target &amp; Team Lists'!$J$5:$J$204,D523)&gt;0,ISNUMBER(SEARCH("alpha nodus",F523))),"Yes","No"))</f>
        <v/>
      </c>
      <c r="O523" s="33" t="str">
        <f aca="false">IF(D523="","",IF(N523="Yes","No",IF(OR(AND(F523&lt;&gt;"",COUNTIF('Target &amp; Team Lists'!$A$5:$A$504,F523)&gt;0),COUNTIF('Target &amp; Team Lists'!$E$5:$E$504,D523)&gt;0),"Yes","No")))</f>
        <v/>
      </c>
      <c r="P523" s="31"/>
    </row>
    <row r="524" customFormat="false" ht="15" hidden="false" customHeight="false" outlineLevel="0" collapsed="false">
      <c r="A524" s="34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2" t="str">
        <f aca="false">IF(D524="","",IF(SUM(H524:K524)&gt;0,1,0))</f>
        <v/>
      </c>
      <c r="N524" s="33" t="str">
        <f aca="false">IF(D524="","",IF(OR(COUNTIF('Target &amp; Team Lists'!$J$5:$J$204,D524)&gt;0,ISNUMBER(SEARCH("alpha nodus",F524))),"Yes","No"))</f>
        <v/>
      </c>
      <c r="O524" s="33" t="str">
        <f aca="false">IF(D524="","",IF(N524="Yes","No",IF(OR(AND(F524&lt;&gt;"",COUNTIF('Target &amp; Team Lists'!$A$5:$A$504,F524)&gt;0),COUNTIF('Target &amp; Team Lists'!$E$5:$E$504,D524)&gt;0),"Yes","No")))</f>
        <v/>
      </c>
      <c r="P524" s="31"/>
    </row>
    <row r="525" customFormat="false" ht="15" hidden="false" customHeight="false" outlineLevel="0" collapsed="false">
      <c r="A525" s="34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2" t="str">
        <f aca="false">IF(D525="","",IF(SUM(H525:K525)&gt;0,1,0))</f>
        <v/>
      </c>
      <c r="N525" s="33" t="str">
        <f aca="false">IF(D525="","",IF(OR(COUNTIF('Target &amp; Team Lists'!$J$5:$J$204,D525)&gt;0,ISNUMBER(SEARCH("alpha nodus",F525))),"Yes","No"))</f>
        <v/>
      </c>
      <c r="O525" s="33" t="str">
        <f aca="false">IF(D525="","",IF(N525="Yes","No",IF(OR(AND(F525&lt;&gt;"",COUNTIF('Target &amp; Team Lists'!$A$5:$A$504,F525)&gt;0),COUNTIF('Target &amp; Team Lists'!$E$5:$E$504,D525)&gt;0),"Yes","No")))</f>
        <v/>
      </c>
      <c r="P525" s="31"/>
    </row>
    <row r="526" customFormat="false" ht="15" hidden="false" customHeight="false" outlineLevel="0" collapsed="false">
      <c r="A526" s="34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2" t="str">
        <f aca="false">IF(D526="","",IF(SUM(H526:K526)&gt;0,1,0))</f>
        <v/>
      </c>
      <c r="N526" s="33" t="str">
        <f aca="false">IF(D526="","",IF(OR(COUNTIF('Target &amp; Team Lists'!$J$5:$J$204,D526)&gt;0,ISNUMBER(SEARCH("alpha nodus",F526))),"Yes","No"))</f>
        <v/>
      </c>
      <c r="O526" s="33" t="str">
        <f aca="false">IF(D526="","",IF(N526="Yes","No",IF(OR(AND(F526&lt;&gt;"",COUNTIF('Target &amp; Team Lists'!$A$5:$A$504,F526)&gt;0),COUNTIF('Target &amp; Team Lists'!$E$5:$E$504,D526)&gt;0),"Yes","No")))</f>
        <v/>
      </c>
      <c r="P526" s="31"/>
    </row>
    <row r="527" customFormat="false" ht="15" hidden="false" customHeight="false" outlineLevel="0" collapsed="false">
      <c r="A527" s="34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2" t="str">
        <f aca="false">IF(D527="","",IF(SUM(H527:K527)&gt;0,1,0))</f>
        <v/>
      </c>
      <c r="N527" s="33" t="str">
        <f aca="false">IF(D527="","",IF(OR(COUNTIF('Target &amp; Team Lists'!$J$5:$J$204,D527)&gt;0,ISNUMBER(SEARCH("alpha nodus",F527))),"Yes","No"))</f>
        <v/>
      </c>
      <c r="O527" s="33" t="str">
        <f aca="false">IF(D527="","",IF(N527="Yes","No",IF(OR(AND(F527&lt;&gt;"",COUNTIF('Target &amp; Team Lists'!$A$5:$A$504,F527)&gt;0),COUNTIF('Target &amp; Team Lists'!$E$5:$E$504,D527)&gt;0),"Yes","No")))</f>
        <v/>
      </c>
      <c r="P527" s="31"/>
    </row>
    <row r="528" customFormat="false" ht="15" hidden="false" customHeight="false" outlineLevel="0" collapsed="false">
      <c r="A528" s="34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2" t="str">
        <f aca="false">IF(D528="","",IF(SUM(H528:K528)&gt;0,1,0))</f>
        <v/>
      </c>
      <c r="N528" s="33" t="str">
        <f aca="false">IF(D528="","",IF(OR(COUNTIF('Target &amp; Team Lists'!$J$5:$J$204,D528)&gt;0,ISNUMBER(SEARCH("alpha nodus",F528))),"Yes","No"))</f>
        <v/>
      </c>
      <c r="O528" s="33" t="str">
        <f aca="false">IF(D528="","",IF(N528="Yes","No",IF(OR(AND(F528&lt;&gt;"",COUNTIF('Target &amp; Team Lists'!$A$5:$A$504,F528)&gt;0),COUNTIF('Target &amp; Team Lists'!$E$5:$E$504,D528)&gt;0),"Yes","No")))</f>
        <v/>
      </c>
      <c r="P528" s="31"/>
    </row>
    <row r="529" customFormat="false" ht="15" hidden="false" customHeight="false" outlineLevel="0" collapsed="false">
      <c r="A529" s="34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2" t="str">
        <f aca="false">IF(D529="","",IF(SUM(H529:K529)&gt;0,1,0))</f>
        <v/>
      </c>
      <c r="N529" s="33" t="str">
        <f aca="false">IF(D529="","",IF(OR(COUNTIF('Target &amp; Team Lists'!$J$5:$J$204,D529)&gt;0,ISNUMBER(SEARCH("alpha nodus",F529))),"Yes","No"))</f>
        <v/>
      </c>
      <c r="O529" s="33" t="str">
        <f aca="false">IF(D529="","",IF(N529="Yes","No",IF(OR(AND(F529&lt;&gt;"",COUNTIF('Target &amp; Team Lists'!$A$5:$A$504,F529)&gt;0),COUNTIF('Target &amp; Team Lists'!$E$5:$E$504,D529)&gt;0),"Yes","No")))</f>
        <v/>
      </c>
      <c r="P529" s="31"/>
    </row>
    <row r="530" customFormat="false" ht="15" hidden="false" customHeight="false" outlineLevel="0" collapsed="false">
      <c r="A530" s="34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2" t="str">
        <f aca="false">IF(D530="","",IF(SUM(H530:K530)&gt;0,1,0))</f>
        <v/>
      </c>
      <c r="N530" s="33" t="str">
        <f aca="false">IF(D530="","",IF(OR(COUNTIF('Target &amp; Team Lists'!$J$5:$J$204,D530)&gt;0,ISNUMBER(SEARCH("alpha nodus",F530))),"Yes","No"))</f>
        <v/>
      </c>
      <c r="O530" s="33" t="str">
        <f aca="false">IF(D530="","",IF(N530="Yes","No",IF(OR(AND(F530&lt;&gt;"",COUNTIF('Target &amp; Team Lists'!$A$5:$A$504,F530)&gt;0),COUNTIF('Target &amp; Team Lists'!$E$5:$E$504,D530)&gt;0),"Yes","No")))</f>
        <v/>
      </c>
      <c r="P530" s="31"/>
    </row>
    <row r="531" customFormat="false" ht="15" hidden="false" customHeight="false" outlineLevel="0" collapsed="false">
      <c r="A531" s="34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2" t="str">
        <f aca="false">IF(D531="","",IF(SUM(H531:K531)&gt;0,1,0))</f>
        <v/>
      </c>
      <c r="N531" s="33" t="str">
        <f aca="false">IF(D531="","",IF(OR(COUNTIF('Target &amp; Team Lists'!$J$5:$J$204,D531)&gt;0,ISNUMBER(SEARCH("alpha nodus",F531))),"Yes","No"))</f>
        <v/>
      </c>
      <c r="O531" s="33" t="str">
        <f aca="false">IF(D531="","",IF(N531="Yes","No",IF(OR(AND(F531&lt;&gt;"",COUNTIF('Target &amp; Team Lists'!$A$5:$A$504,F531)&gt;0),COUNTIF('Target &amp; Team Lists'!$E$5:$E$504,D531)&gt;0),"Yes","No")))</f>
        <v/>
      </c>
      <c r="P531" s="31"/>
    </row>
    <row r="532" customFormat="false" ht="15" hidden="false" customHeight="false" outlineLevel="0" collapsed="false">
      <c r="A532" s="34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2" t="str">
        <f aca="false">IF(D532="","",IF(SUM(H532:K532)&gt;0,1,0))</f>
        <v/>
      </c>
      <c r="N532" s="33" t="str">
        <f aca="false">IF(D532="","",IF(OR(COUNTIF('Target &amp; Team Lists'!$J$5:$J$204,D532)&gt;0,ISNUMBER(SEARCH("alpha nodus",F532))),"Yes","No"))</f>
        <v/>
      </c>
      <c r="O532" s="33" t="str">
        <f aca="false">IF(D532="","",IF(N532="Yes","No",IF(OR(AND(F532&lt;&gt;"",COUNTIF('Target &amp; Team Lists'!$A$5:$A$504,F532)&gt;0),COUNTIF('Target &amp; Team Lists'!$E$5:$E$504,D532)&gt;0),"Yes","No")))</f>
        <v/>
      </c>
      <c r="P532" s="31"/>
    </row>
    <row r="533" customFormat="false" ht="15" hidden="false" customHeight="false" outlineLevel="0" collapsed="false">
      <c r="A533" s="34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2" t="str">
        <f aca="false">IF(D533="","",IF(SUM(H533:K533)&gt;0,1,0))</f>
        <v/>
      </c>
      <c r="N533" s="33" t="str">
        <f aca="false">IF(D533="","",IF(OR(COUNTIF('Target &amp; Team Lists'!$J$5:$J$204,D533)&gt;0,ISNUMBER(SEARCH("alpha nodus",F533))),"Yes","No"))</f>
        <v/>
      </c>
      <c r="O533" s="33" t="str">
        <f aca="false">IF(D533="","",IF(N533="Yes","No",IF(OR(AND(F533&lt;&gt;"",COUNTIF('Target &amp; Team Lists'!$A$5:$A$504,F533)&gt;0),COUNTIF('Target &amp; Team Lists'!$E$5:$E$504,D533)&gt;0),"Yes","No")))</f>
        <v/>
      </c>
      <c r="P533" s="31"/>
    </row>
    <row r="534" customFormat="false" ht="15" hidden="false" customHeight="false" outlineLevel="0" collapsed="false">
      <c r="A534" s="34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2" t="str">
        <f aca="false">IF(D534="","",IF(SUM(H534:K534)&gt;0,1,0))</f>
        <v/>
      </c>
      <c r="N534" s="33" t="str">
        <f aca="false">IF(D534="","",IF(OR(COUNTIF('Target &amp; Team Lists'!$J$5:$J$204,D534)&gt;0,ISNUMBER(SEARCH("alpha nodus",F534))),"Yes","No"))</f>
        <v/>
      </c>
      <c r="O534" s="33" t="str">
        <f aca="false">IF(D534="","",IF(N534="Yes","No",IF(OR(AND(F534&lt;&gt;"",COUNTIF('Target &amp; Team Lists'!$A$5:$A$504,F534)&gt;0),COUNTIF('Target &amp; Team Lists'!$E$5:$E$504,D534)&gt;0),"Yes","No")))</f>
        <v/>
      </c>
      <c r="P534" s="31"/>
    </row>
    <row r="535" customFormat="false" ht="15" hidden="false" customHeight="false" outlineLevel="0" collapsed="false">
      <c r="A535" s="34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2" t="str">
        <f aca="false">IF(D535="","",IF(SUM(H535:K535)&gt;0,1,0))</f>
        <v/>
      </c>
      <c r="N535" s="33" t="str">
        <f aca="false">IF(D535="","",IF(OR(COUNTIF('Target &amp; Team Lists'!$J$5:$J$204,D535)&gt;0,ISNUMBER(SEARCH("alpha nodus",F535))),"Yes","No"))</f>
        <v/>
      </c>
      <c r="O535" s="33" t="str">
        <f aca="false">IF(D535="","",IF(N535="Yes","No",IF(OR(AND(F535&lt;&gt;"",COUNTIF('Target &amp; Team Lists'!$A$5:$A$504,F535)&gt;0),COUNTIF('Target &amp; Team Lists'!$E$5:$E$504,D535)&gt;0),"Yes","No")))</f>
        <v/>
      </c>
      <c r="P535" s="31"/>
    </row>
    <row r="536" customFormat="false" ht="15" hidden="false" customHeight="false" outlineLevel="0" collapsed="false">
      <c r="A536" s="34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2" t="str">
        <f aca="false">IF(D536="","",IF(SUM(H536:K536)&gt;0,1,0))</f>
        <v/>
      </c>
      <c r="N536" s="33" t="str">
        <f aca="false">IF(D536="","",IF(OR(COUNTIF('Target &amp; Team Lists'!$J$5:$J$204,D536)&gt;0,ISNUMBER(SEARCH("alpha nodus",F536))),"Yes","No"))</f>
        <v/>
      </c>
      <c r="O536" s="33" t="str">
        <f aca="false">IF(D536="","",IF(N536="Yes","No",IF(OR(AND(F536&lt;&gt;"",COUNTIF('Target &amp; Team Lists'!$A$5:$A$504,F536)&gt;0),COUNTIF('Target &amp; Team Lists'!$E$5:$E$504,D536)&gt;0),"Yes","No")))</f>
        <v/>
      </c>
      <c r="P536" s="31"/>
    </row>
    <row r="537" customFormat="false" ht="15" hidden="false" customHeight="false" outlineLevel="0" collapsed="false">
      <c r="A537" s="34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2" t="str">
        <f aca="false">IF(D537="","",IF(SUM(H537:K537)&gt;0,1,0))</f>
        <v/>
      </c>
      <c r="N537" s="33" t="str">
        <f aca="false">IF(D537="","",IF(OR(COUNTIF('Target &amp; Team Lists'!$J$5:$J$204,D537)&gt;0,ISNUMBER(SEARCH("alpha nodus",F537))),"Yes","No"))</f>
        <v/>
      </c>
      <c r="O537" s="33" t="str">
        <f aca="false">IF(D537="","",IF(N537="Yes","No",IF(OR(AND(F537&lt;&gt;"",COUNTIF('Target &amp; Team Lists'!$A$5:$A$504,F537)&gt;0),COUNTIF('Target &amp; Team Lists'!$E$5:$E$504,D537)&gt;0),"Yes","No")))</f>
        <v/>
      </c>
      <c r="P537" s="31"/>
    </row>
    <row r="538" customFormat="false" ht="15" hidden="false" customHeight="false" outlineLevel="0" collapsed="false">
      <c r="A538" s="34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2" t="str">
        <f aca="false">IF(D538="","",IF(SUM(H538:K538)&gt;0,1,0))</f>
        <v/>
      </c>
      <c r="N538" s="33" t="str">
        <f aca="false">IF(D538="","",IF(OR(COUNTIF('Target &amp; Team Lists'!$J$5:$J$204,D538)&gt;0,ISNUMBER(SEARCH("alpha nodus",F538))),"Yes","No"))</f>
        <v/>
      </c>
      <c r="O538" s="33" t="str">
        <f aca="false">IF(D538="","",IF(N538="Yes","No",IF(OR(AND(F538&lt;&gt;"",COUNTIF('Target &amp; Team Lists'!$A$5:$A$504,F538)&gt;0),COUNTIF('Target &amp; Team Lists'!$E$5:$E$504,D538)&gt;0),"Yes","No")))</f>
        <v/>
      </c>
      <c r="P538" s="31"/>
    </row>
    <row r="539" customFormat="false" ht="15" hidden="false" customHeight="false" outlineLevel="0" collapsed="false">
      <c r="A539" s="34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2" t="str">
        <f aca="false">IF(D539="","",IF(SUM(H539:K539)&gt;0,1,0))</f>
        <v/>
      </c>
      <c r="N539" s="33" t="str">
        <f aca="false">IF(D539="","",IF(OR(COUNTIF('Target &amp; Team Lists'!$J$5:$J$204,D539)&gt;0,ISNUMBER(SEARCH("alpha nodus",F539))),"Yes","No"))</f>
        <v/>
      </c>
      <c r="O539" s="33" t="str">
        <f aca="false">IF(D539="","",IF(N539="Yes","No",IF(OR(AND(F539&lt;&gt;"",COUNTIF('Target &amp; Team Lists'!$A$5:$A$504,F539)&gt;0),COUNTIF('Target &amp; Team Lists'!$E$5:$E$504,D539)&gt;0),"Yes","No")))</f>
        <v/>
      </c>
      <c r="P539" s="31"/>
    </row>
    <row r="540" customFormat="false" ht="15" hidden="false" customHeight="false" outlineLevel="0" collapsed="false">
      <c r="A540" s="34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2" t="str">
        <f aca="false">IF(D540="","",IF(SUM(H540:K540)&gt;0,1,0))</f>
        <v/>
      </c>
      <c r="N540" s="33" t="str">
        <f aca="false">IF(D540="","",IF(OR(COUNTIF('Target &amp; Team Lists'!$J$5:$J$204,D540)&gt;0,ISNUMBER(SEARCH("alpha nodus",F540))),"Yes","No"))</f>
        <v/>
      </c>
      <c r="O540" s="33" t="str">
        <f aca="false">IF(D540="","",IF(N540="Yes","No",IF(OR(AND(F540&lt;&gt;"",COUNTIF('Target &amp; Team Lists'!$A$5:$A$504,F540)&gt;0),COUNTIF('Target &amp; Team Lists'!$E$5:$E$504,D540)&gt;0),"Yes","No")))</f>
        <v/>
      </c>
      <c r="P540" s="31"/>
    </row>
    <row r="541" customFormat="false" ht="15" hidden="false" customHeight="false" outlineLevel="0" collapsed="false">
      <c r="A541" s="34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2" t="str">
        <f aca="false">IF(D541="","",IF(SUM(H541:K541)&gt;0,1,0))</f>
        <v/>
      </c>
      <c r="N541" s="33" t="str">
        <f aca="false">IF(D541="","",IF(OR(COUNTIF('Target &amp; Team Lists'!$J$5:$J$204,D541)&gt;0,ISNUMBER(SEARCH("alpha nodus",F541))),"Yes","No"))</f>
        <v/>
      </c>
      <c r="O541" s="33" t="str">
        <f aca="false">IF(D541="","",IF(N541="Yes","No",IF(OR(AND(F541&lt;&gt;"",COUNTIF('Target &amp; Team Lists'!$A$5:$A$504,F541)&gt;0),COUNTIF('Target &amp; Team Lists'!$E$5:$E$504,D541)&gt;0),"Yes","No")))</f>
        <v/>
      </c>
      <c r="P541" s="31"/>
    </row>
    <row r="542" customFormat="false" ht="15" hidden="false" customHeight="false" outlineLevel="0" collapsed="false">
      <c r="A542" s="34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2" t="str">
        <f aca="false">IF(D542="","",IF(SUM(H542:K542)&gt;0,1,0))</f>
        <v/>
      </c>
      <c r="N542" s="33" t="str">
        <f aca="false">IF(D542="","",IF(OR(COUNTIF('Target &amp; Team Lists'!$J$5:$J$204,D542)&gt;0,ISNUMBER(SEARCH("alpha nodus",F542))),"Yes","No"))</f>
        <v/>
      </c>
      <c r="O542" s="33" t="str">
        <f aca="false">IF(D542="","",IF(N542="Yes","No",IF(OR(AND(F542&lt;&gt;"",COUNTIF('Target &amp; Team Lists'!$A$5:$A$504,F542)&gt;0),COUNTIF('Target &amp; Team Lists'!$E$5:$E$504,D542)&gt;0),"Yes","No")))</f>
        <v/>
      </c>
      <c r="P542" s="31"/>
    </row>
    <row r="543" customFormat="false" ht="15" hidden="false" customHeight="false" outlineLevel="0" collapsed="false">
      <c r="A543" s="34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2" t="str">
        <f aca="false">IF(D543="","",IF(SUM(H543:K543)&gt;0,1,0))</f>
        <v/>
      </c>
      <c r="N543" s="33" t="str">
        <f aca="false">IF(D543="","",IF(OR(COUNTIF('Target &amp; Team Lists'!$J$5:$J$204,D543)&gt;0,ISNUMBER(SEARCH("alpha nodus",F543))),"Yes","No"))</f>
        <v/>
      </c>
      <c r="O543" s="33" t="str">
        <f aca="false">IF(D543="","",IF(N543="Yes","No",IF(OR(AND(F543&lt;&gt;"",COUNTIF('Target &amp; Team Lists'!$A$5:$A$504,F543)&gt;0),COUNTIF('Target &amp; Team Lists'!$E$5:$E$504,D543)&gt;0),"Yes","No")))</f>
        <v/>
      </c>
      <c r="P543" s="31"/>
    </row>
    <row r="544" customFormat="false" ht="15" hidden="false" customHeight="false" outlineLevel="0" collapsed="false">
      <c r="A544" s="34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2" t="str">
        <f aca="false">IF(D544="","",IF(SUM(H544:K544)&gt;0,1,0))</f>
        <v/>
      </c>
      <c r="N544" s="33" t="str">
        <f aca="false">IF(D544="","",IF(OR(COUNTIF('Target &amp; Team Lists'!$J$5:$J$204,D544)&gt;0,ISNUMBER(SEARCH("alpha nodus",F544))),"Yes","No"))</f>
        <v/>
      </c>
      <c r="O544" s="33" t="str">
        <f aca="false">IF(D544="","",IF(N544="Yes","No",IF(OR(AND(F544&lt;&gt;"",COUNTIF('Target &amp; Team Lists'!$A$5:$A$504,F544)&gt;0),COUNTIF('Target &amp; Team Lists'!$E$5:$E$504,D544)&gt;0),"Yes","No")))</f>
        <v/>
      </c>
      <c r="P544" s="31"/>
    </row>
    <row r="545" customFormat="false" ht="15" hidden="false" customHeight="false" outlineLevel="0" collapsed="false">
      <c r="A545" s="34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2" t="str">
        <f aca="false">IF(D545="","",IF(SUM(H545:K545)&gt;0,1,0))</f>
        <v/>
      </c>
      <c r="N545" s="33" t="str">
        <f aca="false">IF(D545="","",IF(OR(COUNTIF('Target &amp; Team Lists'!$J$5:$J$204,D545)&gt;0,ISNUMBER(SEARCH("alpha nodus",F545))),"Yes","No"))</f>
        <v/>
      </c>
      <c r="O545" s="33" t="str">
        <f aca="false">IF(D545="","",IF(N545="Yes","No",IF(OR(AND(F545&lt;&gt;"",COUNTIF('Target &amp; Team Lists'!$A$5:$A$504,F545)&gt;0),COUNTIF('Target &amp; Team Lists'!$E$5:$E$504,D545)&gt;0),"Yes","No")))</f>
        <v/>
      </c>
      <c r="P545" s="31"/>
    </row>
    <row r="546" customFormat="false" ht="15" hidden="false" customHeight="false" outlineLevel="0" collapsed="false">
      <c r="A546" s="34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2" t="str">
        <f aca="false">IF(D546="","",IF(SUM(H546:K546)&gt;0,1,0))</f>
        <v/>
      </c>
      <c r="N546" s="33" t="str">
        <f aca="false">IF(D546="","",IF(OR(COUNTIF('Target &amp; Team Lists'!$J$5:$J$204,D546)&gt;0,ISNUMBER(SEARCH("alpha nodus",F546))),"Yes","No"))</f>
        <v/>
      </c>
      <c r="O546" s="33" t="str">
        <f aca="false">IF(D546="","",IF(N546="Yes","No",IF(OR(AND(F546&lt;&gt;"",COUNTIF('Target &amp; Team Lists'!$A$5:$A$504,F546)&gt;0),COUNTIF('Target &amp; Team Lists'!$E$5:$E$504,D546)&gt;0),"Yes","No")))</f>
        <v/>
      </c>
      <c r="P546" s="31"/>
    </row>
    <row r="547" customFormat="false" ht="15" hidden="false" customHeight="false" outlineLevel="0" collapsed="false">
      <c r="A547" s="34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2" t="str">
        <f aca="false">IF(D547="","",IF(SUM(H547:K547)&gt;0,1,0))</f>
        <v/>
      </c>
      <c r="N547" s="33" t="str">
        <f aca="false">IF(D547="","",IF(OR(COUNTIF('Target &amp; Team Lists'!$J$5:$J$204,D547)&gt;0,ISNUMBER(SEARCH("alpha nodus",F547))),"Yes","No"))</f>
        <v/>
      </c>
      <c r="O547" s="33" t="str">
        <f aca="false">IF(D547="","",IF(N547="Yes","No",IF(OR(AND(F547&lt;&gt;"",COUNTIF('Target &amp; Team Lists'!$A$5:$A$504,F547)&gt;0),COUNTIF('Target &amp; Team Lists'!$E$5:$E$504,D547)&gt;0),"Yes","No")))</f>
        <v/>
      </c>
      <c r="P547" s="31"/>
    </row>
    <row r="548" customFormat="false" ht="15" hidden="false" customHeight="false" outlineLevel="0" collapsed="false">
      <c r="A548" s="34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2" t="str">
        <f aca="false">IF(D548="","",IF(SUM(H548:K548)&gt;0,1,0))</f>
        <v/>
      </c>
      <c r="N548" s="33" t="str">
        <f aca="false">IF(D548="","",IF(OR(COUNTIF('Target &amp; Team Lists'!$J$5:$J$204,D548)&gt;0,ISNUMBER(SEARCH("alpha nodus",F548))),"Yes","No"))</f>
        <v/>
      </c>
      <c r="O548" s="33" t="str">
        <f aca="false">IF(D548="","",IF(N548="Yes","No",IF(OR(AND(F548&lt;&gt;"",COUNTIF('Target &amp; Team Lists'!$A$5:$A$504,F548)&gt;0),COUNTIF('Target &amp; Team Lists'!$E$5:$E$504,D548)&gt;0),"Yes","No")))</f>
        <v/>
      </c>
      <c r="P548" s="31"/>
    </row>
    <row r="549" customFormat="false" ht="15" hidden="false" customHeight="false" outlineLevel="0" collapsed="false">
      <c r="A549" s="34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2" t="str">
        <f aca="false">IF(D549="","",IF(SUM(H549:K549)&gt;0,1,0))</f>
        <v/>
      </c>
      <c r="N549" s="33" t="str">
        <f aca="false">IF(D549="","",IF(OR(COUNTIF('Target &amp; Team Lists'!$J$5:$J$204,D549)&gt;0,ISNUMBER(SEARCH("alpha nodus",F549))),"Yes","No"))</f>
        <v/>
      </c>
      <c r="O549" s="33" t="str">
        <f aca="false">IF(D549="","",IF(N549="Yes","No",IF(OR(AND(F549&lt;&gt;"",COUNTIF('Target &amp; Team Lists'!$A$5:$A$504,F549)&gt;0),COUNTIF('Target &amp; Team Lists'!$E$5:$E$504,D549)&gt;0),"Yes","No")))</f>
        <v/>
      </c>
      <c r="P549" s="31"/>
    </row>
    <row r="550" customFormat="false" ht="15" hidden="false" customHeight="false" outlineLevel="0" collapsed="false">
      <c r="A550" s="34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2" t="str">
        <f aca="false">IF(D550="","",IF(SUM(H550:K550)&gt;0,1,0))</f>
        <v/>
      </c>
      <c r="N550" s="33" t="str">
        <f aca="false">IF(D550="","",IF(OR(COUNTIF('Target &amp; Team Lists'!$J$5:$J$204,D550)&gt;0,ISNUMBER(SEARCH("alpha nodus",F550))),"Yes","No"))</f>
        <v/>
      </c>
      <c r="O550" s="33" t="str">
        <f aca="false">IF(D550="","",IF(N550="Yes","No",IF(OR(AND(F550&lt;&gt;"",COUNTIF('Target &amp; Team Lists'!$A$5:$A$504,F550)&gt;0),COUNTIF('Target &amp; Team Lists'!$E$5:$E$504,D550)&gt;0),"Yes","No")))</f>
        <v/>
      </c>
      <c r="P550" s="31"/>
    </row>
    <row r="551" customFormat="false" ht="15" hidden="false" customHeight="false" outlineLevel="0" collapsed="false">
      <c r="A551" s="34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2" t="str">
        <f aca="false">IF(D551="","",IF(SUM(H551:K551)&gt;0,1,0))</f>
        <v/>
      </c>
      <c r="N551" s="33" t="str">
        <f aca="false">IF(D551="","",IF(OR(COUNTIF('Target &amp; Team Lists'!$J$5:$J$204,D551)&gt;0,ISNUMBER(SEARCH("alpha nodus",F551))),"Yes","No"))</f>
        <v/>
      </c>
      <c r="O551" s="33" t="str">
        <f aca="false">IF(D551="","",IF(N551="Yes","No",IF(OR(AND(F551&lt;&gt;"",COUNTIF('Target &amp; Team Lists'!$A$5:$A$504,F551)&gt;0),COUNTIF('Target &amp; Team Lists'!$E$5:$E$504,D551)&gt;0),"Yes","No")))</f>
        <v/>
      </c>
      <c r="P551" s="31"/>
    </row>
    <row r="552" customFormat="false" ht="15" hidden="false" customHeight="false" outlineLevel="0" collapsed="false">
      <c r="A552" s="34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2" t="str">
        <f aca="false">IF(D552="","",IF(SUM(H552:K552)&gt;0,1,0))</f>
        <v/>
      </c>
      <c r="N552" s="33" t="str">
        <f aca="false">IF(D552="","",IF(OR(COUNTIF('Target &amp; Team Lists'!$J$5:$J$204,D552)&gt;0,ISNUMBER(SEARCH("alpha nodus",F552))),"Yes","No"))</f>
        <v/>
      </c>
      <c r="O552" s="33" t="str">
        <f aca="false">IF(D552="","",IF(N552="Yes","No",IF(OR(AND(F552&lt;&gt;"",COUNTIF('Target &amp; Team Lists'!$A$5:$A$504,F552)&gt;0),COUNTIF('Target &amp; Team Lists'!$E$5:$E$504,D552)&gt;0),"Yes","No")))</f>
        <v/>
      </c>
      <c r="P552" s="31"/>
    </row>
    <row r="553" customFormat="false" ht="15" hidden="false" customHeight="false" outlineLevel="0" collapsed="false">
      <c r="A553" s="34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2" t="str">
        <f aca="false">IF(D553="","",IF(SUM(H553:K553)&gt;0,1,0))</f>
        <v/>
      </c>
      <c r="N553" s="33" t="str">
        <f aca="false">IF(D553="","",IF(OR(COUNTIF('Target &amp; Team Lists'!$J$5:$J$204,D553)&gt;0,ISNUMBER(SEARCH("alpha nodus",F553))),"Yes","No"))</f>
        <v/>
      </c>
      <c r="O553" s="33" t="str">
        <f aca="false">IF(D553="","",IF(N553="Yes","No",IF(OR(AND(F553&lt;&gt;"",COUNTIF('Target &amp; Team Lists'!$A$5:$A$504,F553)&gt;0),COUNTIF('Target &amp; Team Lists'!$E$5:$E$504,D553)&gt;0),"Yes","No")))</f>
        <v/>
      </c>
      <c r="P553" s="31"/>
    </row>
    <row r="554" customFormat="false" ht="15" hidden="false" customHeight="false" outlineLevel="0" collapsed="false">
      <c r="A554" s="34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2" t="str">
        <f aca="false">IF(D554="","",IF(SUM(H554:K554)&gt;0,1,0))</f>
        <v/>
      </c>
      <c r="N554" s="33" t="str">
        <f aca="false">IF(D554="","",IF(OR(COUNTIF('Target &amp; Team Lists'!$J$5:$J$204,D554)&gt;0,ISNUMBER(SEARCH("alpha nodus",F554))),"Yes","No"))</f>
        <v/>
      </c>
      <c r="O554" s="33" t="str">
        <f aca="false">IF(D554="","",IF(N554="Yes","No",IF(OR(AND(F554&lt;&gt;"",COUNTIF('Target &amp; Team Lists'!$A$5:$A$504,F554)&gt;0),COUNTIF('Target &amp; Team Lists'!$E$5:$E$504,D554)&gt;0),"Yes","No")))</f>
        <v/>
      </c>
      <c r="P554" s="31"/>
    </row>
    <row r="555" customFormat="false" ht="15" hidden="false" customHeight="false" outlineLevel="0" collapsed="false">
      <c r="A555" s="34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2" t="str">
        <f aca="false">IF(D555="","",IF(SUM(H555:K555)&gt;0,1,0))</f>
        <v/>
      </c>
      <c r="N555" s="33" t="str">
        <f aca="false">IF(D555="","",IF(OR(COUNTIF('Target &amp; Team Lists'!$J$5:$J$204,D555)&gt;0,ISNUMBER(SEARCH("alpha nodus",F555))),"Yes","No"))</f>
        <v/>
      </c>
      <c r="O555" s="33" t="str">
        <f aca="false">IF(D555="","",IF(N555="Yes","No",IF(OR(AND(F555&lt;&gt;"",COUNTIF('Target &amp; Team Lists'!$A$5:$A$504,F555)&gt;0),COUNTIF('Target &amp; Team Lists'!$E$5:$E$504,D555)&gt;0),"Yes","No")))</f>
        <v/>
      </c>
      <c r="P555" s="31"/>
    </row>
    <row r="556" customFormat="false" ht="15" hidden="false" customHeight="false" outlineLevel="0" collapsed="false">
      <c r="A556" s="34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2" t="str">
        <f aca="false">IF(D556="","",IF(SUM(H556:K556)&gt;0,1,0))</f>
        <v/>
      </c>
      <c r="N556" s="33" t="str">
        <f aca="false">IF(D556="","",IF(OR(COUNTIF('Target &amp; Team Lists'!$J$5:$J$204,D556)&gt;0,ISNUMBER(SEARCH("alpha nodus",F556))),"Yes","No"))</f>
        <v/>
      </c>
      <c r="O556" s="33" t="str">
        <f aca="false">IF(D556="","",IF(N556="Yes","No",IF(OR(AND(F556&lt;&gt;"",COUNTIF('Target &amp; Team Lists'!$A$5:$A$504,F556)&gt;0),COUNTIF('Target &amp; Team Lists'!$E$5:$E$504,D556)&gt;0),"Yes","No")))</f>
        <v/>
      </c>
      <c r="P556" s="31"/>
    </row>
    <row r="557" customFormat="false" ht="15" hidden="false" customHeight="false" outlineLevel="0" collapsed="false">
      <c r="A557" s="34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2" t="str">
        <f aca="false">IF(D557="","",IF(SUM(H557:K557)&gt;0,1,0))</f>
        <v/>
      </c>
      <c r="N557" s="33" t="str">
        <f aca="false">IF(D557="","",IF(OR(COUNTIF('Target &amp; Team Lists'!$J$5:$J$204,D557)&gt;0,ISNUMBER(SEARCH("alpha nodus",F557))),"Yes","No"))</f>
        <v/>
      </c>
      <c r="O557" s="33" t="str">
        <f aca="false">IF(D557="","",IF(N557="Yes","No",IF(OR(AND(F557&lt;&gt;"",COUNTIF('Target &amp; Team Lists'!$A$5:$A$504,F557)&gt;0),COUNTIF('Target &amp; Team Lists'!$E$5:$E$504,D557)&gt;0),"Yes","No")))</f>
        <v/>
      </c>
      <c r="P557" s="31"/>
    </row>
    <row r="558" customFormat="false" ht="15" hidden="false" customHeight="false" outlineLevel="0" collapsed="false">
      <c r="A558" s="34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2" t="str">
        <f aca="false">IF(D558="","",IF(SUM(H558:K558)&gt;0,1,0))</f>
        <v/>
      </c>
      <c r="N558" s="33" t="str">
        <f aca="false">IF(D558="","",IF(OR(COUNTIF('Target &amp; Team Lists'!$J$5:$J$204,D558)&gt;0,ISNUMBER(SEARCH("alpha nodus",F558))),"Yes","No"))</f>
        <v/>
      </c>
      <c r="O558" s="33" t="str">
        <f aca="false">IF(D558="","",IF(N558="Yes","No",IF(OR(AND(F558&lt;&gt;"",COUNTIF('Target &amp; Team Lists'!$A$5:$A$504,F558)&gt;0),COUNTIF('Target &amp; Team Lists'!$E$5:$E$504,D558)&gt;0),"Yes","No")))</f>
        <v/>
      </c>
      <c r="P558" s="31"/>
    </row>
    <row r="559" customFormat="false" ht="15" hidden="false" customHeight="false" outlineLevel="0" collapsed="false">
      <c r="A559" s="34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2" t="str">
        <f aca="false">IF(D559="","",IF(SUM(H559:K559)&gt;0,1,0))</f>
        <v/>
      </c>
      <c r="N559" s="33" t="str">
        <f aca="false">IF(D559="","",IF(OR(COUNTIF('Target &amp; Team Lists'!$J$5:$J$204,D559)&gt;0,ISNUMBER(SEARCH("alpha nodus",F559))),"Yes","No"))</f>
        <v/>
      </c>
      <c r="O559" s="33" t="str">
        <f aca="false">IF(D559="","",IF(N559="Yes","No",IF(OR(AND(F559&lt;&gt;"",COUNTIF('Target &amp; Team Lists'!$A$5:$A$504,F559)&gt;0),COUNTIF('Target &amp; Team Lists'!$E$5:$E$504,D559)&gt;0),"Yes","No")))</f>
        <v/>
      </c>
      <c r="P559" s="31"/>
    </row>
    <row r="560" customFormat="false" ht="15" hidden="false" customHeight="false" outlineLevel="0" collapsed="false">
      <c r="A560" s="34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2" t="str">
        <f aca="false">IF(D560="","",IF(SUM(H560:K560)&gt;0,1,0))</f>
        <v/>
      </c>
      <c r="N560" s="33" t="str">
        <f aca="false">IF(D560="","",IF(OR(COUNTIF('Target &amp; Team Lists'!$J$5:$J$204,D560)&gt;0,ISNUMBER(SEARCH("alpha nodus",F560))),"Yes","No"))</f>
        <v/>
      </c>
      <c r="O560" s="33" t="str">
        <f aca="false">IF(D560="","",IF(N560="Yes","No",IF(OR(AND(F560&lt;&gt;"",COUNTIF('Target &amp; Team Lists'!$A$5:$A$504,F560)&gt;0),COUNTIF('Target &amp; Team Lists'!$E$5:$E$504,D560)&gt;0),"Yes","No")))</f>
        <v/>
      </c>
      <c r="P560" s="31"/>
    </row>
    <row r="561" customFormat="false" ht="15" hidden="false" customHeight="false" outlineLevel="0" collapsed="false">
      <c r="A561" s="34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2" t="str">
        <f aca="false">IF(D561="","",IF(SUM(H561:K561)&gt;0,1,0))</f>
        <v/>
      </c>
      <c r="N561" s="33" t="str">
        <f aca="false">IF(D561="","",IF(OR(COUNTIF('Target &amp; Team Lists'!$J$5:$J$204,D561)&gt;0,ISNUMBER(SEARCH("alpha nodus",F561))),"Yes","No"))</f>
        <v/>
      </c>
      <c r="O561" s="33" t="str">
        <f aca="false">IF(D561="","",IF(N561="Yes","No",IF(OR(AND(F561&lt;&gt;"",COUNTIF('Target &amp; Team Lists'!$A$5:$A$504,F561)&gt;0),COUNTIF('Target &amp; Team Lists'!$E$5:$E$504,D561)&gt;0),"Yes","No")))</f>
        <v/>
      </c>
      <c r="P561" s="31"/>
    </row>
    <row r="562" customFormat="false" ht="15" hidden="false" customHeight="false" outlineLevel="0" collapsed="false">
      <c r="A562" s="34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2" t="str">
        <f aca="false">IF(D562="","",IF(SUM(H562:K562)&gt;0,1,0))</f>
        <v/>
      </c>
      <c r="N562" s="33" t="str">
        <f aca="false">IF(D562="","",IF(OR(COUNTIF('Target &amp; Team Lists'!$J$5:$J$204,D562)&gt;0,ISNUMBER(SEARCH("alpha nodus",F562))),"Yes","No"))</f>
        <v/>
      </c>
      <c r="O562" s="33" t="str">
        <f aca="false">IF(D562="","",IF(N562="Yes","No",IF(OR(AND(F562&lt;&gt;"",COUNTIF('Target &amp; Team Lists'!$A$5:$A$504,F562)&gt;0),COUNTIF('Target &amp; Team Lists'!$E$5:$E$504,D562)&gt;0),"Yes","No")))</f>
        <v/>
      </c>
      <c r="P562" s="31"/>
    </row>
    <row r="563" customFormat="false" ht="15" hidden="false" customHeight="false" outlineLevel="0" collapsed="false">
      <c r="A563" s="34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2" t="str">
        <f aca="false">IF(D563="","",IF(SUM(H563:K563)&gt;0,1,0))</f>
        <v/>
      </c>
      <c r="N563" s="33" t="str">
        <f aca="false">IF(D563="","",IF(OR(COUNTIF('Target &amp; Team Lists'!$J$5:$J$204,D563)&gt;0,ISNUMBER(SEARCH("alpha nodus",F563))),"Yes","No"))</f>
        <v/>
      </c>
      <c r="O563" s="33" t="str">
        <f aca="false">IF(D563="","",IF(N563="Yes","No",IF(OR(AND(F563&lt;&gt;"",COUNTIF('Target &amp; Team Lists'!$A$5:$A$504,F563)&gt;0),COUNTIF('Target &amp; Team Lists'!$E$5:$E$504,D563)&gt;0),"Yes","No")))</f>
        <v/>
      </c>
      <c r="P563" s="31"/>
    </row>
    <row r="564" customFormat="false" ht="15" hidden="false" customHeight="false" outlineLevel="0" collapsed="false">
      <c r="A564" s="34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2" t="str">
        <f aca="false">IF(D564="","",IF(SUM(H564:K564)&gt;0,1,0))</f>
        <v/>
      </c>
      <c r="N564" s="33" t="str">
        <f aca="false">IF(D564="","",IF(OR(COUNTIF('Target &amp; Team Lists'!$J$5:$J$204,D564)&gt;0,ISNUMBER(SEARCH("alpha nodus",F564))),"Yes","No"))</f>
        <v/>
      </c>
      <c r="O564" s="33" t="str">
        <f aca="false">IF(D564="","",IF(N564="Yes","No",IF(OR(AND(F564&lt;&gt;"",COUNTIF('Target &amp; Team Lists'!$A$5:$A$504,F564)&gt;0),COUNTIF('Target &amp; Team Lists'!$E$5:$E$504,D564)&gt;0),"Yes","No")))</f>
        <v/>
      </c>
      <c r="P564" s="31"/>
    </row>
    <row r="565" customFormat="false" ht="15" hidden="false" customHeight="false" outlineLevel="0" collapsed="false">
      <c r="A565" s="34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2" t="str">
        <f aca="false">IF(D565="","",IF(SUM(H565:K565)&gt;0,1,0))</f>
        <v/>
      </c>
      <c r="N565" s="33" t="str">
        <f aca="false">IF(D565="","",IF(OR(COUNTIF('Target &amp; Team Lists'!$J$5:$J$204,D565)&gt;0,ISNUMBER(SEARCH("alpha nodus",F565))),"Yes","No"))</f>
        <v/>
      </c>
      <c r="O565" s="33" t="str">
        <f aca="false">IF(D565="","",IF(N565="Yes","No",IF(OR(AND(F565&lt;&gt;"",COUNTIF('Target &amp; Team Lists'!$A$5:$A$504,F565)&gt;0),COUNTIF('Target &amp; Team Lists'!$E$5:$E$504,D565)&gt;0),"Yes","No")))</f>
        <v/>
      </c>
      <c r="P565" s="31"/>
    </row>
    <row r="566" customFormat="false" ht="15" hidden="false" customHeight="false" outlineLevel="0" collapsed="false">
      <c r="A566" s="34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2" t="str">
        <f aca="false">IF(D566="","",IF(SUM(H566:K566)&gt;0,1,0))</f>
        <v/>
      </c>
      <c r="N566" s="33" t="str">
        <f aca="false">IF(D566="","",IF(OR(COUNTIF('Target &amp; Team Lists'!$J$5:$J$204,D566)&gt;0,ISNUMBER(SEARCH("alpha nodus",F566))),"Yes","No"))</f>
        <v/>
      </c>
      <c r="O566" s="33" t="str">
        <f aca="false">IF(D566="","",IF(N566="Yes","No",IF(OR(AND(F566&lt;&gt;"",COUNTIF('Target &amp; Team Lists'!$A$5:$A$504,F566)&gt;0),COUNTIF('Target &amp; Team Lists'!$E$5:$E$504,D566)&gt;0),"Yes","No")))</f>
        <v/>
      </c>
      <c r="P566" s="31"/>
    </row>
    <row r="567" customFormat="false" ht="15" hidden="false" customHeight="false" outlineLevel="0" collapsed="false">
      <c r="A567" s="34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2" t="str">
        <f aca="false">IF(D567="","",IF(SUM(H567:K567)&gt;0,1,0))</f>
        <v/>
      </c>
      <c r="N567" s="33" t="str">
        <f aca="false">IF(D567="","",IF(OR(COUNTIF('Target &amp; Team Lists'!$J$5:$J$204,D567)&gt;0,ISNUMBER(SEARCH("alpha nodus",F567))),"Yes","No"))</f>
        <v/>
      </c>
      <c r="O567" s="33" t="str">
        <f aca="false">IF(D567="","",IF(N567="Yes","No",IF(OR(AND(F567&lt;&gt;"",COUNTIF('Target &amp; Team Lists'!$A$5:$A$504,F567)&gt;0),COUNTIF('Target &amp; Team Lists'!$E$5:$E$504,D567)&gt;0),"Yes","No")))</f>
        <v/>
      </c>
      <c r="P567" s="31"/>
    </row>
    <row r="568" customFormat="false" ht="15" hidden="false" customHeight="false" outlineLevel="0" collapsed="false">
      <c r="A568" s="34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2" t="str">
        <f aca="false">IF(D568="","",IF(SUM(H568:K568)&gt;0,1,0))</f>
        <v/>
      </c>
      <c r="N568" s="33" t="str">
        <f aca="false">IF(D568="","",IF(OR(COUNTIF('Target &amp; Team Lists'!$J$5:$J$204,D568)&gt;0,ISNUMBER(SEARCH("alpha nodus",F568))),"Yes","No"))</f>
        <v/>
      </c>
      <c r="O568" s="33" t="str">
        <f aca="false">IF(D568="","",IF(N568="Yes","No",IF(OR(AND(F568&lt;&gt;"",COUNTIF('Target &amp; Team Lists'!$A$5:$A$504,F568)&gt;0),COUNTIF('Target &amp; Team Lists'!$E$5:$E$504,D568)&gt;0),"Yes","No")))</f>
        <v/>
      </c>
      <c r="P568" s="31"/>
    </row>
    <row r="569" customFormat="false" ht="15" hidden="false" customHeight="false" outlineLevel="0" collapsed="false">
      <c r="A569" s="34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2" t="str">
        <f aca="false">IF(D569="","",IF(SUM(H569:K569)&gt;0,1,0))</f>
        <v/>
      </c>
      <c r="N569" s="33" t="str">
        <f aca="false">IF(D569="","",IF(OR(COUNTIF('Target &amp; Team Lists'!$J$5:$J$204,D569)&gt;0,ISNUMBER(SEARCH("alpha nodus",F569))),"Yes","No"))</f>
        <v/>
      </c>
      <c r="O569" s="33" t="str">
        <f aca="false">IF(D569="","",IF(N569="Yes","No",IF(OR(AND(F569&lt;&gt;"",COUNTIF('Target &amp; Team Lists'!$A$5:$A$504,F569)&gt;0),COUNTIF('Target &amp; Team Lists'!$E$5:$E$504,D569)&gt;0),"Yes","No")))</f>
        <v/>
      </c>
      <c r="P569" s="31"/>
    </row>
    <row r="570" customFormat="false" ht="15" hidden="false" customHeight="false" outlineLevel="0" collapsed="false">
      <c r="A570" s="34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2" t="str">
        <f aca="false">IF(D570="","",IF(SUM(H570:K570)&gt;0,1,0))</f>
        <v/>
      </c>
      <c r="N570" s="33" t="str">
        <f aca="false">IF(D570="","",IF(OR(COUNTIF('Target &amp; Team Lists'!$J$5:$J$204,D570)&gt;0,ISNUMBER(SEARCH("alpha nodus",F570))),"Yes","No"))</f>
        <v/>
      </c>
      <c r="O570" s="33" t="str">
        <f aca="false">IF(D570="","",IF(N570="Yes","No",IF(OR(AND(F570&lt;&gt;"",COUNTIF('Target &amp; Team Lists'!$A$5:$A$504,F570)&gt;0),COUNTIF('Target &amp; Team Lists'!$E$5:$E$504,D570)&gt;0),"Yes","No")))</f>
        <v/>
      </c>
      <c r="P570" s="31"/>
    </row>
    <row r="571" customFormat="false" ht="15" hidden="false" customHeight="false" outlineLevel="0" collapsed="false">
      <c r="A571" s="34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2" t="str">
        <f aca="false">IF(D571="","",IF(SUM(H571:K571)&gt;0,1,0))</f>
        <v/>
      </c>
      <c r="N571" s="33" t="str">
        <f aca="false">IF(D571="","",IF(OR(COUNTIF('Target &amp; Team Lists'!$J$5:$J$204,D571)&gt;0,ISNUMBER(SEARCH("alpha nodus",F571))),"Yes","No"))</f>
        <v/>
      </c>
      <c r="O571" s="33" t="str">
        <f aca="false">IF(D571="","",IF(N571="Yes","No",IF(OR(AND(F571&lt;&gt;"",COUNTIF('Target &amp; Team Lists'!$A$5:$A$504,F571)&gt;0),COUNTIF('Target &amp; Team Lists'!$E$5:$E$504,D571)&gt;0),"Yes","No")))</f>
        <v/>
      </c>
      <c r="P571" s="31"/>
    </row>
    <row r="572" customFormat="false" ht="15" hidden="false" customHeight="false" outlineLevel="0" collapsed="false">
      <c r="A572" s="34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2" t="str">
        <f aca="false">IF(D572="","",IF(SUM(H572:K572)&gt;0,1,0))</f>
        <v/>
      </c>
      <c r="N572" s="33" t="str">
        <f aca="false">IF(D572="","",IF(OR(COUNTIF('Target &amp; Team Lists'!$J$5:$J$204,D572)&gt;0,ISNUMBER(SEARCH("alpha nodus",F572))),"Yes","No"))</f>
        <v/>
      </c>
      <c r="O572" s="33" t="str">
        <f aca="false">IF(D572="","",IF(N572="Yes","No",IF(OR(AND(F572&lt;&gt;"",COUNTIF('Target &amp; Team Lists'!$A$5:$A$504,F572)&gt;0),COUNTIF('Target &amp; Team Lists'!$E$5:$E$504,D572)&gt;0),"Yes","No")))</f>
        <v/>
      </c>
      <c r="P572" s="31"/>
    </row>
    <row r="573" customFormat="false" ht="15" hidden="false" customHeight="false" outlineLevel="0" collapsed="false">
      <c r="A573" s="34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2" t="str">
        <f aca="false">IF(D573="","",IF(SUM(H573:K573)&gt;0,1,0))</f>
        <v/>
      </c>
      <c r="N573" s="33" t="str">
        <f aca="false">IF(D573="","",IF(OR(COUNTIF('Target &amp; Team Lists'!$J$5:$J$204,D573)&gt;0,ISNUMBER(SEARCH("alpha nodus",F573))),"Yes","No"))</f>
        <v/>
      </c>
      <c r="O573" s="33" t="str">
        <f aca="false">IF(D573="","",IF(N573="Yes","No",IF(OR(AND(F573&lt;&gt;"",COUNTIF('Target &amp; Team Lists'!$A$5:$A$504,F573)&gt;0),COUNTIF('Target &amp; Team Lists'!$E$5:$E$504,D573)&gt;0),"Yes","No")))</f>
        <v/>
      </c>
      <c r="P573" s="31"/>
    </row>
    <row r="574" customFormat="false" ht="15" hidden="false" customHeight="false" outlineLevel="0" collapsed="false">
      <c r="A574" s="34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2" t="str">
        <f aca="false">IF(D574="","",IF(SUM(H574:K574)&gt;0,1,0))</f>
        <v/>
      </c>
      <c r="N574" s="33" t="str">
        <f aca="false">IF(D574="","",IF(OR(COUNTIF('Target &amp; Team Lists'!$J$5:$J$204,D574)&gt;0,ISNUMBER(SEARCH("alpha nodus",F574))),"Yes","No"))</f>
        <v/>
      </c>
      <c r="O574" s="33" t="str">
        <f aca="false">IF(D574="","",IF(N574="Yes","No",IF(OR(AND(F574&lt;&gt;"",COUNTIF('Target &amp; Team Lists'!$A$5:$A$504,F574)&gt;0),COUNTIF('Target &amp; Team Lists'!$E$5:$E$504,D574)&gt;0),"Yes","No")))</f>
        <v/>
      </c>
      <c r="P574" s="31"/>
    </row>
    <row r="575" customFormat="false" ht="15" hidden="false" customHeight="false" outlineLevel="0" collapsed="false">
      <c r="A575" s="34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2" t="str">
        <f aca="false">IF(D575="","",IF(SUM(H575:K575)&gt;0,1,0))</f>
        <v/>
      </c>
      <c r="N575" s="33" t="str">
        <f aca="false">IF(D575="","",IF(OR(COUNTIF('Target &amp; Team Lists'!$J$5:$J$204,D575)&gt;0,ISNUMBER(SEARCH("alpha nodus",F575))),"Yes","No"))</f>
        <v/>
      </c>
      <c r="O575" s="33" t="str">
        <f aca="false">IF(D575="","",IF(N575="Yes","No",IF(OR(AND(F575&lt;&gt;"",COUNTIF('Target &amp; Team Lists'!$A$5:$A$504,F575)&gt;0),COUNTIF('Target &amp; Team Lists'!$E$5:$E$504,D575)&gt;0),"Yes","No")))</f>
        <v/>
      </c>
      <c r="P575" s="31"/>
    </row>
    <row r="576" customFormat="false" ht="15" hidden="false" customHeight="false" outlineLevel="0" collapsed="false">
      <c r="A576" s="34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2" t="str">
        <f aca="false">IF(D576="","",IF(SUM(H576:K576)&gt;0,1,0))</f>
        <v/>
      </c>
      <c r="N576" s="33" t="str">
        <f aca="false">IF(D576="","",IF(OR(COUNTIF('Target &amp; Team Lists'!$J$5:$J$204,D576)&gt;0,ISNUMBER(SEARCH("alpha nodus",F576))),"Yes","No"))</f>
        <v/>
      </c>
      <c r="O576" s="33" t="str">
        <f aca="false">IF(D576="","",IF(N576="Yes","No",IF(OR(AND(F576&lt;&gt;"",COUNTIF('Target &amp; Team Lists'!$A$5:$A$504,F576)&gt;0),COUNTIF('Target &amp; Team Lists'!$E$5:$E$504,D576)&gt;0),"Yes","No")))</f>
        <v/>
      </c>
      <c r="P576" s="31"/>
    </row>
    <row r="577" customFormat="false" ht="15" hidden="false" customHeight="false" outlineLevel="0" collapsed="false">
      <c r="A577" s="34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2" t="str">
        <f aca="false">IF(D577="","",IF(SUM(H577:K577)&gt;0,1,0))</f>
        <v/>
      </c>
      <c r="N577" s="33" t="str">
        <f aca="false">IF(D577="","",IF(OR(COUNTIF('Target &amp; Team Lists'!$J$5:$J$204,D577)&gt;0,ISNUMBER(SEARCH("alpha nodus",F577))),"Yes","No"))</f>
        <v/>
      </c>
      <c r="O577" s="33" t="str">
        <f aca="false">IF(D577="","",IF(N577="Yes","No",IF(OR(AND(F577&lt;&gt;"",COUNTIF('Target &amp; Team Lists'!$A$5:$A$504,F577)&gt;0),COUNTIF('Target &amp; Team Lists'!$E$5:$E$504,D577)&gt;0),"Yes","No")))</f>
        <v/>
      </c>
      <c r="P577" s="31"/>
    </row>
    <row r="578" customFormat="false" ht="15" hidden="false" customHeight="false" outlineLevel="0" collapsed="false">
      <c r="A578" s="34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2" t="str">
        <f aca="false">IF(D578="","",IF(SUM(H578:K578)&gt;0,1,0))</f>
        <v/>
      </c>
      <c r="N578" s="33" t="str">
        <f aca="false">IF(D578="","",IF(OR(COUNTIF('Target &amp; Team Lists'!$J$5:$J$204,D578)&gt;0,ISNUMBER(SEARCH("alpha nodus",F578))),"Yes","No"))</f>
        <v/>
      </c>
      <c r="O578" s="33" t="str">
        <f aca="false">IF(D578="","",IF(N578="Yes","No",IF(OR(AND(F578&lt;&gt;"",COUNTIF('Target &amp; Team Lists'!$A$5:$A$504,F578)&gt;0),COUNTIF('Target &amp; Team Lists'!$E$5:$E$504,D578)&gt;0),"Yes","No")))</f>
        <v/>
      </c>
      <c r="P578" s="31"/>
    </row>
    <row r="579" customFormat="false" ht="15" hidden="false" customHeight="false" outlineLevel="0" collapsed="false">
      <c r="A579" s="34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2" t="str">
        <f aca="false">IF(D579="","",IF(SUM(H579:K579)&gt;0,1,0))</f>
        <v/>
      </c>
      <c r="N579" s="33" t="str">
        <f aca="false">IF(D579="","",IF(OR(COUNTIF('Target &amp; Team Lists'!$J$5:$J$204,D579)&gt;0,ISNUMBER(SEARCH("alpha nodus",F579))),"Yes","No"))</f>
        <v/>
      </c>
      <c r="O579" s="33" t="str">
        <f aca="false">IF(D579="","",IF(N579="Yes","No",IF(OR(AND(F579&lt;&gt;"",COUNTIF('Target &amp; Team Lists'!$A$5:$A$504,F579)&gt;0),COUNTIF('Target &amp; Team Lists'!$E$5:$E$504,D579)&gt;0),"Yes","No")))</f>
        <v/>
      </c>
      <c r="P579" s="31"/>
    </row>
    <row r="580" customFormat="false" ht="15" hidden="false" customHeight="false" outlineLevel="0" collapsed="false">
      <c r="A580" s="34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2" t="str">
        <f aca="false">IF(D580="","",IF(SUM(H580:K580)&gt;0,1,0))</f>
        <v/>
      </c>
      <c r="N580" s="33" t="str">
        <f aca="false">IF(D580="","",IF(OR(COUNTIF('Target &amp; Team Lists'!$J$5:$J$204,D580)&gt;0,ISNUMBER(SEARCH("alpha nodus",F580))),"Yes","No"))</f>
        <v/>
      </c>
      <c r="O580" s="33" t="str">
        <f aca="false">IF(D580="","",IF(N580="Yes","No",IF(OR(AND(F580&lt;&gt;"",COUNTIF('Target &amp; Team Lists'!$A$5:$A$504,F580)&gt;0),COUNTIF('Target &amp; Team Lists'!$E$5:$E$504,D580)&gt;0),"Yes","No")))</f>
        <v/>
      </c>
      <c r="P580" s="31"/>
    </row>
    <row r="581" customFormat="false" ht="15" hidden="false" customHeight="false" outlineLevel="0" collapsed="false">
      <c r="A581" s="34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2" t="str">
        <f aca="false">IF(D581="","",IF(SUM(H581:K581)&gt;0,1,0))</f>
        <v/>
      </c>
      <c r="N581" s="33" t="str">
        <f aca="false">IF(D581="","",IF(OR(COUNTIF('Target &amp; Team Lists'!$J$5:$J$204,D581)&gt;0,ISNUMBER(SEARCH("alpha nodus",F581))),"Yes","No"))</f>
        <v/>
      </c>
      <c r="O581" s="33" t="str">
        <f aca="false">IF(D581="","",IF(N581="Yes","No",IF(OR(AND(F581&lt;&gt;"",COUNTIF('Target &amp; Team Lists'!$A$5:$A$504,F581)&gt;0),COUNTIF('Target &amp; Team Lists'!$E$5:$E$504,D581)&gt;0),"Yes","No")))</f>
        <v/>
      </c>
      <c r="P581" s="31"/>
    </row>
    <row r="582" customFormat="false" ht="15" hidden="false" customHeight="false" outlineLevel="0" collapsed="false">
      <c r="A582" s="34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2" t="str">
        <f aca="false">IF(D582="","",IF(SUM(H582:K582)&gt;0,1,0))</f>
        <v/>
      </c>
      <c r="N582" s="33" t="str">
        <f aca="false">IF(D582="","",IF(OR(COUNTIF('Target &amp; Team Lists'!$J$5:$J$204,D582)&gt;0,ISNUMBER(SEARCH("alpha nodus",F582))),"Yes","No"))</f>
        <v/>
      </c>
      <c r="O582" s="33" t="str">
        <f aca="false">IF(D582="","",IF(N582="Yes","No",IF(OR(AND(F582&lt;&gt;"",COUNTIF('Target &amp; Team Lists'!$A$5:$A$504,F582)&gt;0),COUNTIF('Target &amp; Team Lists'!$E$5:$E$504,D582)&gt;0),"Yes","No")))</f>
        <v/>
      </c>
      <c r="P582" s="31"/>
    </row>
    <row r="583" customFormat="false" ht="15" hidden="false" customHeight="false" outlineLevel="0" collapsed="false">
      <c r="A583" s="34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2" t="str">
        <f aca="false">IF(D583="","",IF(SUM(H583:K583)&gt;0,1,0))</f>
        <v/>
      </c>
      <c r="N583" s="33" t="str">
        <f aca="false">IF(D583="","",IF(OR(COUNTIF('Target &amp; Team Lists'!$J$5:$J$204,D583)&gt;0,ISNUMBER(SEARCH("alpha nodus",F583))),"Yes","No"))</f>
        <v/>
      </c>
      <c r="O583" s="33" t="str">
        <f aca="false">IF(D583="","",IF(N583="Yes","No",IF(OR(AND(F583&lt;&gt;"",COUNTIF('Target &amp; Team Lists'!$A$5:$A$504,F583)&gt;0),COUNTIF('Target &amp; Team Lists'!$E$5:$E$504,D583)&gt;0),"Yes","No")))</f>
        <v/>
      </c>
      <c r="P583" s="31"/>
    </row>
    <row r="584" customFormat="false" ht="15" hidden="false" customHeight="false" outlineLevel="0" collapsed="false">
      <c r="A584" s="34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2" t="str">
        <f aca="false">IF(D584="","",IF(SUM(H584:K584)&gt;0,1,0))</f>
        <v/>
      </c>
      <c r="N584" s="33" t="str">
        <f aca="false">IF(D584="","",IF(OR(COUNTIF('Target &amp; Team Lists'!$J$5:$J$204,D584)&gt;0,ISNUMBER(SEARCH("alpha nodus",F584))),"Yes","No"))</f>
        <v/>
      </c>
      <c r="O584" s="33" t="str">
        <f aca="false">IF(D584="","",IF(N584="Yes","No",IF(OR(AND(F584&lt;&gt;"",COUNTIF('Target &amp; Team Lists'!$A$5:$A$504,F584)&gt;0),COUNTIF('Target &amp; Team Lists'!$E$5:$E$504,D584)&gt;0),"Yes","No")))</f>
        <v/>
      </c>
      <c r="P584" s="31"/>
    </row>
    <row r="585" customFormat="false" ht="15" hidden="false" customHeight="false" outlineLevel="0" collapsed="false">
      <c r="A585" s="34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2" t="str">
        <f aca="false">IF(D585="","",IF(SUM(H585:K585)&gt;0,1,0))</f>
        <v/>
      </c>
      <c r="N585" s="33" t="str">
        <f aca="false">IF(D585="","",IF(OR(COUNTIF('Target &amp; Team Lists'!$J$5:$J$204,D585)&gt;0,ISNUMBER(SEARCH("alpha nodus",F585))),"Yes","No"))</f>
        <v/>
      </c>
      <c r="O585" s="33" t="str">
        <f aca="false">IF(D585="","",IF(N585="Yes","No",IF(OR(AND(F585&lt;&gt;"",COUNTIF('Target &amp; Team Lists'!$A$5:$A$504,F585)&gt;0),COUNTIF('Target &amp; Team Lists'!$E$5:$E$504,D585)&gt;0),"Yes","No")))</f>
        <v/>
      </c>
      <c r="P585" s="31"/>
    </row>
    <row r="586" customFormat="false" ht="15" hidden="false" customHeight="false" outlineLevel="0" collapsed="false">
      <c r="A586" s="34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2" t="str">
        <f aca="false">IF(D586="","",IF(SUM(H586:K586)&gt;0,1,0))</f>
        <v/>
      </c>
      <c r="N586" s="33" t="str">
        <f aca="false">IF(D586="","",IF(OR(COUNTIF('Target &amp; Team Lists'!$J$5:$J$204,D586)&gt;0,ISNUMBER(SEARCH("alpha nodus",F586))),"Yes","No"))</f>
        <v/>
      </c>
      <c r="O586" s="33" t="str">
        <f aca="false">IF(D586="","",IF(N586="Yes","No",IF(OR(AND(F586&lt;&gt;"",COUNTIF('Target &amp; Team Lists'!$A$5:$A$504,F586)&gt;0),COUNTIF('Target &amp; Team Lists'!$E$5:$E$504,D586)&gt;0),"Yes","No")))</f>
        <v/>
      </c>
      <c r="P586" s="31"/>
    </row>
    <row r="587" customFormat="false" ht="15" hidden="false" customHeight="false" outlineLevel="0" collapsed="false">
      <c r="A587" s="34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2" t="str">
        <f aca="false">IF(D587="","",IF(SUM(H587:K587)&gt;0,1,0))</f>
        <v/>
      </c>
      <c r="N587" s="33" t="str">
        <f aca="false">IF(D587="","",IF(OR(COUNTIF('Target &amp; Team Lists'!$J$5:$J$204,D587)&gt;0,ISNUMBER(SEARCH("alpha nodus",F587))),"Yes","No"))</f>
        <v/>
      </c>
      <c r="O587" s="33" t="str">
        <f aca="false">IF(D587="","",IF(N587="Yes","No",IF(OR(AND(F587&lt;&gt;"",COUNTIF('Target &amp; Team Lists'!$A$5:$A$504,F587)&gt;0),COUNTIF('Target &amp; Team Lists'!$E$5:$E$504,D587)&gt;0),"Yes","No")))</f>
        <v/>
      </c>
      <c r="P587" s="31"/>
    </row>
    <row r="588" customFormat="false" ht="15" hidden="false" customHeight="false" outlineLevel="0" collapsed="false">
      <c r="A588" s="34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2" t="str">
        <f aca="false">IF(D588="","",IF(SUM(H588:K588)&gt;0,1,0))</f>
        <v/>
      </c>
      <c r="N588" s="33" t="str">
        <f aca="false">IF(D588="","",IF(OR(COUNTIF('Target &amp; Team Lists'!$J$5:$J$204,D588)&gt;0,ISNUMBER(SEARCH("alpha nodus",F588))),"Yes","No"))</f>
        <v/>
      </c>
      <c r="O588" s="33" t="str">
        <f aca="false">IF(D588="","",IF(N588="Yes","No",IF(OR(AND(F588&lt;&gt;"",COUNTIF('Target &amp; Team Lists'!$A$5:$A$504,F588)&gt;0),COUNTIF('Target &amp; Team Lists'!$E$5:$E$504,D588)&gt;0),"Yes","No")))</f>
        <v/>
      </c>
      <c r="P588" s="31"/>
    </row>
    <row r="589" customFormat="false" ht="15" hidden="false" customHeight="false" outlineLevel="0" collapsed="false">
      <c r="A589" s="34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2" t="str">
        <f aca="false">IF(D589="","",IF(SUM(H589:K589)&gt;0,1,0))</f>
        <v/>
      </c>
      <c r="N589" s="33" t="str">
        <f aca="false">IF(D589="","",IF(OR(COUNTIF('Target &amp; Team Lists'!$J$5:$J$204,D589)&gt;0,ISNUMBER(SEARCH("alpha nodus",F589))),"Yes","No"))</f>
        <v/>
      </c>
      <c r="O589" s="33" t="str">
        <f aca="false">IF(D589="","",IF(N589="Yes","No",IF(OR(AND(F589&lt;&gt;"",COUNTIF('Target &amp; Team Lists'!$A$5:$A$504,F589)&gt;0),COUNTIF('Target &amp; Team Lists'!$E$5:$E$504,D589)&gt;0),"Yes","No")))</f>
        <v/>
      </c>
      <c r="P589" s="31"/>
    </row>
    <row r="590" customFormat="false" ht="15" hidden="false" customHeight="false" outlineLevel="0" collapsed="false">
      <c r="A590" s="34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2" t="str">
        <f aca="false">IF(D590="","",IF(SUM(H590:K590)&gt;0,1,0))</f>
        <v/>
      </c>
      <c r="N590" s="33" t="str">
        <f aca="false">IF(D590="","",IF(OR(COUNTIF('Target &amp; Team Lists'!$J$5:$J$204,D590)&gt;0,ISNUMBER(SEARCH("alpha nodus",F590))),"Yes","No"))</f>
        <v/>
      </c>
      <c r="O590" s="33" t="str">
        <f aca="false">IF(D590="","",IF(N590="Yes","No",IF(OR(AND(F590&lt;&gt;"",COUNTIF('Target &amp; Team Lists'!$A$5:$A$504,F590)&gt;0),COUNTIF('Target &amp; Team Lists'!$E$5:$E$504,D590)&gt;0),"Yes","No")))</f>
        <v/>
      </c>
      <c r="P590" s="31"/>
    </row>
    <row r="591" customFormat="false" ht="15" hidden="false" customHeight="false" outlineLevel="0" collapsed="false">
      <c r="A591" s="34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2" t="str">
        <f aca="false">IF(D591="","",IF(SUM(H591:K591)&gt;0,1,0))</f>
        <v/>
      </c>
      <c r="N591" s="33" t="str">
        <f aca="false">IF(D591="","",IF(OR(COUNTIF('Target &amp; Team Lists'!$J$5:$J$204,D591)&gt;0,ISNUMBER(SEARCH("alpha nodus",F591))),"Yes","No"))</f>
        <v/>
      </c>
      <c r="O591" s="33" t="str">
        <f aca="false">IF(D591="","",IF(N591="Yes","No",IF(OR(AND(F591&lt;&gt;"",COUNTIF('Target &amp; Team Lists'!$A$5:$A$504,F591)&gt;0),COUNTIF('Target &amp; Team Lists'!$E$5:$E$504,D591)&gt;0),"Yes","No")))</f>
        <v/>
      </c>
      <c r="P591" s="31"/>
    </row>
    <row r="592" customFormat="false" ht="15" hidden="false" customHeight="false" outlineLevel="0" collapsed="false">
      <c r="A592" s="34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2" t="str">
        <f aca="false">IF(D592="","",IF(SUM(H592:K592)&gt;0,1,0))</f>
        <v/>
      </c>
      <c r="N592" s="33" t="str">
        <f aca="false">IF(D592="","",IF(OR(COUNTIF('Target &amp; Team Lists'!$J$5:$J$204,D592)&gt;0,ISNUMBER(SEARCH("alpha nodus",F592))),"Yes","No"))</f>
        <v/>
      </c>
      <c r="O592" s="33" t="str">
        <f aca="false">IF(D592="","",IF(N592="Yes","No",IF(OR(AND(F592&lt;&gt;"",COUNTIF('Target &amp; Team Lists'!$A$5:$A$504,F592)&gt;0),COUNTIF('Target &amp; Team Lists'!$E$5:$E$504,D592)&gt;0),"Yes","No")))</f>
        <v/>
      </c>
      <c r="P592" s="31"/>
    </row>
    <row r="593" customFormat="false" ht="15" hidden="false" customHeight="false" outlineLevel="0" collapsed="false">
      <c r="A593" s="34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2" t="str">
        <f aca="false">IF(D593="","",IF(SUM(H593:K593)&gt;0,1,0))</f>
        <v/>
      </c>
      <c r="N593" s="33" t="str">
        <f aca="false">IF(D593="","",IF(OR(COUNTIF('Target &amp; Team Lists'!$J$5:$J$204,D593)&gt;0,ISNUMBER(SEARCH("alpha nodus",F593))),"Yes","No"))</f>
        <v/>
      </c>
      <c r="O593" s="33" t="str">
        <f aca="false">IF(D593="","",IF(N593="Yes","No",IF(OR(AND(F593&lt;&gt;"",COUNTIF('Target &amp; Team Lists'!$A$5:$A$504,F593)&gt;0),COUNTIF('Target &amp; Team Lists'!$E$5:$E$504,D593)&gt;0),"Yes","No")))</f>
        <v/>
      </c>
      <c r="P593" s="31"/>
    </row>
    <row r="594" customFormat="false" ht="15" hidden="false" customHeight="false" outlineLevel="0" collapsed="false">
      <c r="A594" s="34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2" t="str">
        <f aca="false">IF(D594="","",IF(SUM(H594:K594)&gt;0,1,0))</f>
        <v/>
      </c>
      <c r="N594" s="33" t="str">
        <f aca="false">IF(D594="","",IF(OR(COUNTIF('Target &amp; Team Lists'!$J$5:$J$204,D594)&gt;0,ISNUMBER(SEARCH("alpha nodus",F594))),"Yes","No"))</f>
        <v/>
      </c>
      <c r="O594" s="33" t="str">
        <f aca="false">IF(D594="","",IF(N594="Yes","No",IF(OR(AND(F594&lt;&gt;"",COUNTIF('Target &amp; Team Lists'!$A$5:$A$504,F594)&gt;0),COUNTIF('Target &amp; Team Lists'!$E$5:$E$504,D594)&gt;0),"Yes","No")))</f>
        <v/>
      </c>
      <c r="P594" s="31"/>
    </row>
    <row r="595" customFormat="false" ht="15" hidden="false" customHeight="false" outlineLevel="0" collapsed="false">
      <c r="A595" s="34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2" t="str">
        <f aca="false">IF(D595="","",IF(SUM(H595:K595)&gt;0,1,0))</f>
        <v/>
      </c>
      <c r="N595" s="33" t="str">
        <f aca="false">IF(D595="","",IF(OR(COUNTIF('Target &amp; Team Lists'!$J$5:$J$204,D595)&gt;0,ISNUMBER(SEARCH("alpha nodus",F595))),"Yes","No"))</f>
        <v/>
      </c>
      <c r="O595" s="33" t="str">
        <f aca="false">IF(D595="","",IF(N595="Yes","No",IF(OR(AND(F595&lt;&gt;"",COUNTIF('Target &amp; Team Lists'!$A$5:$A$504,F595)&gt;0),COUNTIF('Target &amp; Team Lists'!$E$5:$E$504,D595)&gt;0),"Yes","No")))</f>
        <v/>
      </c>
      <c r="P595" s="31"/>
    </row>
    <row r="596" customFormat="false" ht="15" hidden="false" customHeight="false" outlineLevel="0" collapsed="false">
      <c r="A596" s="34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2" t="str">
        <f aca="false">IF(D596="","",IF(SUM(H596:K596)&gt;0,1,0))</f>
        <v/>
      </c>
      <c r="N596" s="33" t="str">
        <f aca="false">IF(D596="","",IF(OR(COUNTIF('Target &amp; Team Lists'!$J$5:$J$204,D596)&gt;0,ISNUMBER(SEARCH("alpha nodus",F596))),"Yes","No"))</f>
        <v/>
      </c>
      <c r="O596" s="33" t="str">
        <f aca="false">IF(D596="","",IF(N596="Yes","No",IF(OR(AND(F596&lt;&gt;"",COUNTIF('Target &amp; Team Lists'!$A$5:$A$504,F596)&gt;0),COUNTIF('Target &amp; Team Lists'!$E$5:$E$504,D596)&gt;0),"Yes","No")))</f>
        <v/>
      </c>
      <c r="P596" s="31"/>
    </row>
    <row r="597" customFormat="false" ht="15" hidden="false" customHeight="false" outlineLevel="0" collapsed="false">
      <c r="A597" s="34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2" t="str">
        <f aca="false">IF(D597="","",IF(SUM(H597:K597)&gt;0,1,0))</f>
        <v/>
      </c>
      <c r="N597" s="33" t="str">
        <f aca="false">IF(D597="","",IF(OR(COUNTIF('Target &amp; Team Lists'!$J$5:$J$204,D597)&gt;0,ISNUMBER(SEARCH("alpha nodus",F597))),"Yes","No"))</f>
        <v/>
      </c>
      <c r="O597" s="33" t="str">
        <f aca="false">IF(D597="","",IF(N597="Yes","No",IF(OR(AND(F597&lt;&gt;"",COUNTIF('Target &amp; Team Lists'!$A$5:$A$504,F597)&gt;0),COUNTIF('Target &amp; Team Lists'!$E$5:$E$504,D597)&gt;0),"Yes","No")))</f>
        <v/>
      </c>
      <c r="P597" s="31"/>
    </row>
    <row r="598" customFormat="false" ht="15" hidden="false" customHeight="false" outlineLevel="0" collapsed="false">
      <c r="A598" s="34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2" t="str">
        <f aca="false">IF(D598="","",IF(SUM(H598:K598)&gt;0,1,0))</f>
        <v/>
      </c>
      <c r="N598" s="33" t="str">
        <f aca="false">IF(D598="","",IF(OR(COUNTIF('Target &amp; Team Lists'!$J$5:$J$204,D598)&gt;0,ISNUMBER(SEARCH("alpha nodus",F598))),"Yes","No"))</f>
        <v/>
      </c>
      <c r="O598" s="33" t="str">
        <f aca="false">IF(D598="","",IF(N598="Yes","No",IF(OR(AND(F598&lt;&gt;"",COUNTIF('Target &amp; Team Lists'!$A$5:$A$504,F598)&gt;0),COUNTIF('Target &amp; Team Lists'!$E$5:$E$504,D598)&gt;0),"Yes","No")))</f>
        <v/>
      </c>
      <c r="P598" s="31"/>
    </row>
    <row r="599" customFormat="false" ht="15" hidden="false" customHeight="false" outlineLevel="0" collapsed="false">
      <c r="A599" s="34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2" t="str">
        <f aca="false">IF(D599="","",IF(SUM(H599:K599)&gt;0,1,0))</f>
        <v/>
      </c>
      <c r="N599" s="33" t="str">
        <f aca="false">IF(D599="","",IF(OR(COUNTIF('Target &amp; Team Lists'!$J$5:$J$204,D599)&gt;0,ISNUMBER(SEARCH("alpha nodus",F599))),"Yes","No"))</f>
        <v/>
      </c>
      <c r="O599" s="33" t="str">
        <f aca="false">IF(D599="","",IF(N599="Yes","No",IF(OR(AND(F599&lt;&gt;"",COUNTIF('Target &amp; Team Lists'!$A$5:$A$504,F599)&gt;0),COUNTIF('Target &amp; Team Lists'!$E$5:$E$504,D599)&gt;0),"Yes","No")))</f>
        <v/>
      </c>
      <c r="P599" s="31"/>
    </row>
    <row r="600" customFormat="false" ht="15" hidden="false" customHeight="false" outlineLevel="0" collapsed="false">
      <c r="A600" s="34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2" t="str">
        <f aca="false">IF(D600="","",IF(SUM(H600:K600)&gt;0,1,0))</f>
        <v/>
      </c>
      <c r="N600" s="33" t="str">
        <f aca="false">IF(D600="","",IF(OR(COUNTIF('Target &amp; Team Lists'!$J$5:$J$204,D600)&gt;0,ISNUMBER(SEARCH("alpha nodus",F600))),"Yes","No"))</f>
        <v/>
      </c>
      <c r="O600" s="33" t="str">
        <f aca="false">IF(D600="","",IF(N600="Yes","No",IF(OR(AND(F600&lt;&gt;"",COUNTIF('Target &amp; Team Lists'!$A$5:$A$504,F600)&gt;0),COUNTIF('Target &amp; Team Lists'!$E$5:$E$504,D600)&gt;0),"Yes","No")))</f>
        <v/>
      </c>
      <c r="P600" s="31"/>
    </row>
    <row r="601" customFormat="false" ht="15" hidden="false" customHeight="false" outlineLevel="0" collapsed="false">
      <c r="A601" s="34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2" t="str">
        <f aca="false">IF(D601="","",IF(SUM(H601:K601)&gt;0,1,0))</f>
        <v/>
      </c>
      <c r="N601" s="33" t="str">
        <f aca="false">IF(D601="","",IF(OR(COUNTIF('Target &amp; Team Lists'!$J$5:$J$204,D601)&gt;0,ISNUMBER(SEARCH("alpha nodus",F601))),"Yes","No"))</f>
        <v/>
      </c>
      <c r="O601" s="33" t="str">
        <f aca="false">IF(D601="","",IF(N601="Yes","No",IF(OR(AND(F601&lt;&gt;"",COUNTIF('Target &amp; Team Lists'!$A$5:$A$504,F601)&gt;0),COUNTIF('Target &amp; Team Lists'!$E$5:$E$504,D601)&gt;0),"Yes","No")))</f>
        <v/>
      </c>
      <c r="P601" s="31"/>
    </row>
    <row r="602" customFormat="false" ht="15" hidden="false" customHeight="false" outlineLevel="0" collapsed="false">
      <c r="A602" s="34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2" t="str">
        <f aca="false">IF(D602="","",IF(SUM(H602:K602)&gt;0,1,0))</f>
        <v/>
      </c>
      <c r="N602" s="33" t="str">
        <f aca="false">IF(D602="","",IF(OR(COUNTIF('Target &amp; Team Lists'!$J$5:$J$204,D602)&gt;0,ISNUMBER(SEARCH("alpha nodus",F602))),"Yes","No"))</f>
        <v/>
      </c>
      <c r="O602" s="33" t="str">
        <f aca="false">IF(D602="","",IF(N602="Yes","No",IF(OR(AND(F602&lt;&gt;"",COUNTIF('Target &amp; Team Lists'!$A$5:$A$504,F602)&gt;0),COUNTIF('Target &amp; Team Lists'!$E$5:$E$504,D602)&gt;0),"Yes","No")))</f>
        <v/>
      </c>
      <c r="P602" s="31"/>
    </row>
    <row r="603" customFormat="false" ht="15" hidden="false" customHeight="false" outlineLevel="0" collapsed="false">
      <c r="A603" s="34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2" t="str">
        <f aca="false">IF(D603="","",IF(SUM(H603:K603)&gt;0,1,0))</f>
        <v/>
      </c>
      <c r="N603" s="33" t="str">
        <f aca="false">IF(D603="","",IF(OR(COUNTIF('Target &amp; Team Lists'!$J$5:$J$204,D603)&gt;0,ISNUMBER(SEARCH("alpha nodus",F603))),"Yes","No"))</f>
        <v/>
      </c>
      <c r="O603" s="33" t="str">
        <f aca="false">IF(D603="","",IF(N603="Yes","No",IF(OR(AND(F603&lt;&gt;"",COUNTIF('Target &amp; Team Lists'!$A$5:$A$504,F603)&gt;0),COUNTIF('Target &amp; Team Lists'!$E$5:$E$504,D603)&gt;0),"Yes","No")))</f>
        <v/>
      </c>
      <c r="P603" s="31"/>
    </row>
    <row r="604" customFormat="false" ht="15" hidden="false" customHeight="false" outlineLevel="0" collapsed="false">
      <c r="A604" s="34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2" t="str">
        <f aca="false">IF(D604="","",IF(SUM(H604:K604)&gt;0,1,0))</f>
        <v/>
      </c>
      <c r="N604" s="33" t="str">
        <f aca="false">IF(D604="","",IF(OR(COUNTIF('Target &amp; Team Lists'!$J$5:$J$204,D604)&gt;0,ISNUMBER(SEARCH("alpha nodus",F604))),"Yes","No"))</f>
        <v/>
      </c>
      <c r="O604" s="33" t="str">
        <f aca="false">IF(D604="","",IF(N604="Yes","No",IF(OR(AND(F604&lt;&gt;"",COUNTIF('Target &amp; Team Lists'!$A$5:$A$504,F604)&gt;0),COUNTIF('Target &amp; Team Lists'!$E$5:$E$504,D604)&gt;0),"Yes","No")))</f>
        <v/>
      </c>
      <c r="P604" s="31"/>
    </row>
    <row r="605" customFormat="false" ht="15" hidden="false" customHeight="false" outlineLevel="0" collapsed="false">
      <c r="A605" s="34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2" t="str">
        <f aca="false">IF(D605="","",IF(SUM(H605:K605)&gt;0,1,0))</f>
        <v/>
      </c>
      <c r="N605" s="33" t="str">
        <f aca="false">IF(D605="","",IF(OR(COUNTIF('Target &amp; Team Lists'!$J$5:$J$204,D605)&gt;0,ISNUMBER(SEARCH("alpha nodus",F605))),"Yes","No"))</f>
        <v/>
      </c>
      <c r="O605" s="33" t="str">
        <f aca="false">IF(D605="","",IF(N605="Yes","No",IF(OR(AND(F605&lt;&gt;"",COUNTIF('Target &amp; Team Lists'!$A$5:$A$504,F605)&gt;0),COUNTIF('Target &amp; Team Lists'!$E$5:$E$504,D605)&gt;0),"Yes","No")))</f>
        <v/>
      </c>
      <c r="P605" s="31"/>
    </row>
    <row r="606" customFormat="false" ht="15" hidden="false" customHeight="false" outlineLevel="0" collapsed="false">
      <c r="A606" s="34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2" t="str">
        <f aca="false">IF(D606="","",IF(SUM(H606:K606)&gt;0,1,0))</f>
        <v/>
      </c>
      <c r="N606" s="33" t="str">
        <f aca="false">IF(D606="","",IF(OR(COUNTIF('Target &amp; Team Lists'!$J$5:$J$204,D606)&gt;0,ISNUMBER(SEARCH("alpha nodus",F606))),"Yes","No"))</f>
        <v/>
      </c>
      <c r="O606" s="33" t="str">
        <f aca="false">IF(D606="","",IF(N606="Yes","No",IF(OR(AND(F606&lt;&gt;"",COUNTIF('Target &amp; Team Lists'!$A$5:$A$504,F606)&gt;0),COUNTIF('Target &amp; Team Lists'!$E$5:$E$504,D606)&gt;0),"Yes","No")))</f>
        <v/>
      </c>
      <c r="P606" s="31"/>
    </row>
    <row r="607" customFormat="false" ht="15" hidden="false" customHeight="false" outlineLevel="0" collapsed="false">
      <c r="A607" s="34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2" t="str">
        <f aca="false">IF(D607="","",IF(SUM(H607:K607)&gt;0,1,0))</f>
        <v/>
      </c>
      <c r="N607" s="33" t="str">
        <f aca="false">IF(D607="","",IF(OR(COUNTIF('Target &amp; Team Lists'!$J$5:$J$204,D607)&gt;0,ISNUMBER(SEARCH("alpha nodus",F607))),"Yes","No"))</f>
        <v/>
      </c>
      <c r="O607" s="33" t="str">
        <f aca="false">IF(D607="","",IF(N607="Yes","No",IF(OR(AND(F607&lt;&gt;"",COUNTIF('Target &amp; Team Lists'!$A$5:$A$504,F607)&gt;0),COUNTIF('Target &amp; Team Lists'!$E$5:$E$504,D607)&gt;0),"Yes","No")))</f>
        <v/>
      </c>
      <c r="P607" s="31"/>
    </row>
    <row r="608" customFormat="false" ht="15" hidden="false" customHeight="false" outlineLevel="0" collapsed="false">
      <c r="A608" s="34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2" t="str">
        <f aca="false">IF(D608="","",IF(SUM(H608:K608)&gt;0,1,0))</f>
        <v/>
      </c>
      <c r="N608" s="33" t="str">
        <f aca="false">IF(D608="","",IF(OR(COUNTIF('Target &amp; Team Lists'!$J$5:$J$204,D608)&gt;0,ISNUMBER(SEARCH("alpha nodus",F608))),"Yes","No"))</f>
        <v/>
      </c>
      <c r="O608" s="33" t="str">
        <f aca="false">IF(D608="","",IF(N608="Yes","No",IF(OR(AND(F608&lt;&gt;"",COUNTIF('Target &amp; Team Lists'!$A$5:$A$504,F608)&gt;0),COUNTIF('Target &amp; Team Lists'!$E$5:$E$504,D608)&gt;0),"Yes","No")))</f>
        <v/>
      </c>
      <c r="P608" s="31"/>
    </row>
    <row r="609" customFormat="false" ht="15" hidden="false" customHeight="false" outlineLevel="0" collapsed="false">
      <c r="A609" s="34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2" t="str">
        <f aca="false">IF(D609="","",IF(SUM(H609:K609)&gt;0,1,0))</f>
        <v/>
      </c>
      <c r="N609" s="33" t="str">
        <f aca="false">IF(D609="","",IF(OR(COUNTIF('Target &amp; Team Lists'!$J$5:$J$204,D609)&gt;0,ISNUMBER(SEARCH("alpha nodus",F609))),"Yes","No"))</f>
        <v/>
      </c>
      <c r="O609" s="33" t="str">
        <f aca="false">IF(D609="","",IF(N609="Yes","No",IF(OR(AND(F609&lt;&gt;"",COUNTIF('Target &amp; Team Lists'!$A$5:$A$504,F609)&gt;0),COUNTIF('Target &amp; Team Lists'!$E$5:$E$504,D609)&gt;0),"Yes","No")))</f>
        <v/>
      </c>
      <c r="P609" s="31"/>
    </row>
    <row r="610" customFormat="false" ht="15" hidden="false" customHeight="false" outlineLevel="0" collapsed="false">
      <c r="A610" s="34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2" t="str">
        <f aca="false">IF(D610="","",IF(SUM(H610:K610)&gt;0,1,0))</f>
        <v/>
      </c>
      <c r="N610" s="33" t="str">
        <f aca="false">IF(D610="","",IF(OR(COUNTIF('Target &amp; Team Lists'!$J$5:$J$204,D610)&gt;0,ISNUMBER(SEARCH("alpha nodus",F610))),"Yes","No"))</f>
        <v/>
      </c>
      <c r="O610" s="33" t="str">
        <f aca="false">IF(D610="","",IF(N610="Yes","No",IF(OR(AND(F610&lt;&gt;"",COUNTIF('Target &amp; Team Lists'!$A$5:$A$504,F610)&gt;0),COUNTIF('Target &amp; Team Lists'!$E$5:$E$504,D610)&gt;0),"Yes","No")))</f>
        <v/>
      </c>
      <c r="P610" s="31"/>
    </row>
    <row r="611" customFormat="false" ht="15" hidden="false" customHeight="false" outlineLevel="0" collapsed="false">
      <c r="A611" s="34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2" t="str">
        <f aca="false">IF(D611="","",IF(SUM(H611:K611)&gt;0,1,0))</f>
        <v/>
      </c>
      <c r="N611" s="33" t="str">
        <f aca="false">IF(D611="","",IF(OR(COUNTIF('Target &amp; Team Lists'!$J$5:$J$204,D611)&gt;0,ISNUMBER(SEARCH("alpha nodus",F611))),"Yes","No"))</f>
        <v/>
      </c>
      <c r="O611" s="33" t="str">
        <f aca="false">IF(D611="","",IF(N611="Yes","No",IF(OR(AND(F611&lt;&gt;"",COUNTIF('Target &amp; Team Lists'!$A$5:$A$504,F611)&gt;0),COUNTIF('Target &amp; Team Lists'!$E$5:$E$504,D611)&gt;0),"Yes","No")))</f>
        <v/>
      </c>
      <c r="P611" s="31"/>
    </row>
    <row r="612" customFormat="false" ht="15" hidden="false" customHeight="false" outlineLevel="0" collapsed="false">
      <c r="A612" s="34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2" t="str">
        <f aca="false">IF(D612="","",IF(SUM(H612:K612)&gt;0,1,0))</f>
        <v/>
      </c>
      <c r="N612" s="33" t="str">
        <f aca="false">IF(D612="","",IF(OR(COUNTIF('Target &amp; Team Lists'!$J$5:$J$204,D612)&gt;0,ISNUMBER(SEARCH("alpha nodus",F612))),"Yes","No"))</f>
        <v/>
      </c>
      <c r="O612" s="33" t="str">
        <f aca="false">IF(D612="","",IF(N612="Yes","No",IF(OR(AND(F612&lt;&gt;"",COUNTIF('Target &amp; Team Lists'!$A$5:$A$504,F612)&gt;0),COUNTIF('Target &amp; Team Lists'!$E$5:$E$504,D612)&gt;0),"Yes","No")))</f>
        <v/>
      </c>
      <c r="P612" s="31"/>
    </row>
    <row r="613" customFormat="false" ht="15" hidden="false" customHeight="false" outlineLevel="0" collapsed="false">
      <c r="A613" s="34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2" t="str">
        <f aca="false">IF(D613="","",IF(SUM(H613:K613)&gt;0,1,0))</f>
        <v/>
      </c>
      <c r="N613" s="33" t="str">
        <f aca="false">IF(D613="","",IF(OR(COUNTIF('Target &amp; Team Lists'!$J$5:$J$204,D613)&gt;0,ISNUMBER(SEARCH("alpha nodus",F613))),"Yes","No"))</f>
        <v/>
      </c>
      <c r="O613" s="33" t="str">
        <f aca="false">IF(D613="","",IF(N613="Yes","No",IF(OR(AND(F613&lt;&gt;"",COUNTIF('Target &amp; Team Lists'!$A$5:$A$504,F613)&gt;0),COUNTIF('Target &amp; Team Lists'!$E$5:$E$504,D613)&gt;0),"Yes","No")))</f>
        <v/>
      </c>
      <c r="P613" s="31"/>
    </row>
    <row r="614" customFormat="false" ht="15" hidden="false" customHeight="false" outlineLevel="0" collapsed="false">
      <c r="A614" s="34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2" t="str">
        <f aca="false">IF(D614="","",IF(SUM(H614:K614)&gt;0,1,0))</f>
        <v/>
      </c>
      <c r="N614" s="33" t="str">
        <f aca="false">IF(D614="","",IF(OR(COUNTIF('Target &amp; Team Lists'!$J$5:$J$204,D614)&gt;0,ISNUMBER(SEARCH("alpha nodus",F614))),"Yes","No"))</f>
        <v/>
      </c>
      <c r="O614" s="33" t="str">
        <f aca="false">IF(D614="","",IF(N614="Yes","No",IF(OR(AND(F614&lt;&gt;"",COUNTIF('Target &amp; Team Lists'!$A$5:$A$504,F614)&gt;0),COUNTIF('Target &amp; Team Lists'!$E$5:$E$504,D614)&gt;0),"Yes","No")))</f>
        <v/>
      </c>
      <c r="P614" s="31"/>
    </row>
    <row r="615" customFormat="false" ht="15" hidden="false" customHeight="false" outlineLevel="0" collapsed="false">
      <c r="A615" s="34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2" t="str">
        <f aca="false">IF(D615="","",IF(SUM(H615:K615)&gt;0,1,0))</f>
        <v/>
      </c>
      <c r="N615" s="33" t="str">
        <f aca="false">IF(D615="","",IF(OR(COUNTIF('Target &amp; Team Lists'!$J$5:$J$204,D615)&gt;0,ISNUMBER(SEARCH("alpha nodus",F615))),"Yes","No"))</f>
        <v/>
      </c>
      <c r="O615" s="33" t="str">
        <f aca="false">IF(D615="","",IF(N615="Yes","No",IF(OR(AND(F615&lt;&gt;"",COUNTIF('Target &amp; Team Lists'!$A$5:$A$504,F615)&gt;0),COUNTIF('Target &amp; Team Lists'!$E$5:$E$504,D615)&gt;0),"Yes","No")))</f>
        <v/>
      </c>
      <c r="P615" s="31"/>
    </row>
    <row r="616" customFormat="false" ht="15" hidden="false" customHeight="false" outlineLevel="0" collapsed="false">
      <c r="A616" s="34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2" t="str">
        <f aca="false">IF(D616="","",IF(SUM(H616:K616)&gt;0,1,0))</f>
        <v/>
      </c>
      <c r="N616" s="33" t="str">
        <f aca="false">IF(D616="","",IF(OR(COUNTIF('Target &amp; Team Lists'!$J$5:$J$204,D616)&gt;0,ISNUMBER(SEARCH("alpha nodus",F616))),"Yes","No"))</f>
        <v/>
      </c>
      <c r="O616" s="33" t="str">
        <f aca="false">IF(D616="","",IF(N616="Yes","No",IF(OR(AND(F616&lt;&gt;"",COUNTIF('Target &amp; Team Lists'!$A$5:$A$504,F616)&gt;0),COUNTIF('Target &amp; Team Lists'!$E$5:$E$504,D616)&gt;0),"Yes","No")))</f>
        <v/>
      </c>
      <c r="P616" s="31"/>
    </row>
    <row r="617" customFormat="false" ht="15" hidden="false" customHeight="false" outlineLevel="0" collapsed="false">
      <c r="A617" s="34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2" t="str">
        <f aca="false">IF(D617="","",IF(SUM(H617:K617)&gt;0,1,0))</f>
        <v/>
      </c>
      <c r="N617" s="33" t="str">
        <f aca="false">IF(D617="","",IF(OR(COUNTIF('Target &amp; Team Lists'!$J$5:$J$204,D617)&gt;0,ISNUMBER(SEARCH("alpha nodus",F617))),"Yes","No"))</f>
        <v/>
      </c>
      <c r="O617" s="33" t="str">
        <f aca="false">IF(D617="","",IF(N617="Yes","No",IF(OR(AND(F617&lt;&gt;"",COUNTIF('Target &amp; Team Lists'!$A$5:$A$504,F617)&gt;0),COUNTIF('Target &amp; Team Lists'!$E$5:$E$504,D617)&gt;0),"Yes","No")))</f>
        <v/>
      </c>
      <c r="P617" s="31"/>
    </row>
    <row r="618" customFormat="false" ht="15" hidden="false" customHeight="false" outlineLevel="0" collapsed="false">
      <c r="A618" s="34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2" t="str">
        <f aca="false">IF(D618="","",IF(SUM(H618:K618)&gt;0,1,0))</f>
        <v/>
      </c>
      <c r="N618" s="33" t="str">
        <f aca="false">IF(D618="","",IF(OR(COUNTIF('Target &amp; Team Lists'!$J$5:$J$204,D618)&gt;0,ISNUMBER(SEARCH("alpha nodus",F618))),"Yes","No"))</f>
        <v/>
      </c>
      <c r="O618" s="33" t="str">
        <f aca="false">IF(D618="","",IF(N618="Yes","No",IF(OR(AND(F618&lt;&gt;"",COUNTIF('Target &amp; Team Lists'!$A$5:$A$504,F618)&gt;0),COUNTIF('Target &amp; Team Lists'!$E$5:$E$504,D618)&gt;0),"Yes","No")))</f>
        <v/>
      </c>
      <c r="P618" s="31"/>
    </row>
    <row r="619" customFormat="false" ht="15" hidden="false" customHeight="false" outlineLevel="0" collapsed="false">
      <c r="A619" s="34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2" t="str">
        <f aca="false">IF(D619="","",IF(SUM(H619:K619)&gt;0,1,0))</f>
        <v/>
      </c>
      <c r="N619" s="33" t="str">
        <f aca="false">IF(D619="","",IF(OR(COUNTIF('Target &amp; Team Lists'!$J$5:$J$204,D619)&gt;0,ISNUMBER(SEARCH("alpha nodus",F619))),"Yes","No"))</f>
        <v/>
      </c>
      <c r="O619" s="33" t="str">
        <f aca="false">IF(D619="","",IF(N619="Yes","No",IF(OR(AND(F619&lt;&gt;"",COUNTIF('Target &amp; Team Lists'!$A$5:$A$504,F619)&gt;0),COUNTIF('Target &amp; Team Lists'!$E$5:$E$504,D619)&gt;0),"Yes","No")))</f>
        <v/>
      </c>
      <c r="P619" s="31"/>
    </row>
    <row r="620" customFormat="false" ht="15" hidden="false" customHeight="false" outlineLevel="0" collapsed="false">
      <c r="A620" s="34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2" t="str">
        <f aca="false">IF(D620="","",IF(SUM(H620:K620)&gt;0,1,0))</f>
        <v/>
      </c>
      <c r="N620" s="33" t="str">
        <f aca="false">IF(D620="","",IF(OR(COUNTIF('Target &amp; Team Lists'!$J$5:$J$204,D620)&gt;0,ISNUMBER(SEARCH("alpha nodus",F620))),"Yes","No"))</f>
        <v/>
      </c>
      <c r="O620" s="33" t="str">
        <f aca="false">IF(D620="","",IF(N620="Yes","No",IF(OR(AND(F620&lt;&gt;"",COUNTIF('Target &amp; Team Lists'!$A$5:$A$504,F620)&gt;0),COUNTIF('Target &amp; Team Lists'!$E$5:$E$504,D620)&gt;0),"Yes","No")))</f>
        <v/>
      </c>
      <c r="P620" s="31"/>
    </row>
    <row r="621" customFormat="false" ht="15" hidden="false" customHeight="false" outlineLevel="0" collapsed="false">
      <c r="A621" s="34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2" t="str">
        <f aca="false">IF(D621="","",IF(SUM(H621:K621)&gt;0,1,0))</f>
        <v/>
      </c>
      <c r="N621" s="33" t="str">
        <f aca="false">IF(D621="","",IF(OR(COUNTIF('Target &amp; Team Lists'!$J$5:$J$204,D621)&gt;0,ISNUMBER(SEARCH("alpha nodus",F621))),"Yes","No"))</f>
        <v/>
      </c>
      <c r="O621" s="33" t="str">
        <f aca="false">IF(D621="","",IF(N621="Yes","No",IF(OR(AND(F621&lt;&gt;"",COUNTIF('Target &amp; Team Lists'!$A$5:$A$504,F621)&gt;0),COUNTIF('Target &amp; Team Lists'!$E$5:$E$504,D621)&gt;0),"Yes","No")))</f>
        <v/>
      </c>
      <c r="P621" s="31"/>
    </row>
    <row r="622" customFormat="false" ht="15" hidden="false" customHeight="false" outlineLevel="0" collapsed="false">
      <c r="A622" s="34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2" t="str">
        <f aca="false">IF(D622="","",IF(SUM(H622:K622)&gt;0,1,0))</f>
        <v/>
      </c>
      <c r="N622" s="33" t="str">
        <f aca="false">IF(D622="","",IF(OR(COUNTIF('Target &amp; Team Lists'!$J$5:$J$204,D622)&gt;0,ISNUMBER(SEARCH("alpha nodus",F622))),"Yes","No"))</f>
        <v/>
      </c>
      <c r="O622" s="33" t="str">
        <f aca="false">IF(D622="","",IF(N622="Yes","No",IF(OR(AND(F622&lt;&gt;"",COUNTIF('Target &amp; Team Lists'!$A$5:$A$504,F622)&gt;0),COUNTIF('Target &amp; Team Lists'!$E$5:$E$504,D622)&gt;0),"Yes","No")))</f>
        <v/>
      </c>
      <c r="P622" s="31"/>
    </row>
    <row r="623" customFormat="false" ht="15" hidden="false" customHeight="false" outlineLevel="0" collapsed="false">
      <c r="A623" s="34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2" t="str">
        <f aca="false">IF(D623="","",IF(SUM(H623:K623)&gt;0,1,0))</f>
        <v/>
      </c>
      <c r="N623" s="33" t="str">
        <f aca="false">IF(D623="","",IF(OR(COUNTIF('Target &amp; Team Lists'!$J$5:$J$204,D623)&gt;0,ISNUMBER(SEARCH("alpha nodus",F623))),"Yes","No"))</f>
        <v/>
      </c>
      <c r="O623" s="33" t="str">
        <f aca="false">IF(D623="","",IF(N623="Yes","No",IF(OR(AND(F623&lt;&gt;"",COUNTIF('Target &amp; Team Lists'!$A$5:$A$504,F623)&gt;0),COUNTIF('Target &amp; Team Lists'!$E$5:$E$504,D623)&gt;0),"Yes","No")))</f>
        <v/>
      </c>
      <c r="P623" s="31"/>
    </row>
    <row r="624" customFormat="false" ht="15" hidden="false" customHeight="false" outlineLevel="0" collapsed="false">
      <c r="A624" s="34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2" t="str">
        <f aca="false">IF(D624="","",IF(SUM(H624:K624)&gt;0,1,0))</f>
        <v/>
      </c>
      <c r="N624" s="33" t="str">
        <f aca="false">IF(D624="","",IF(OR(COUNTIF('Target &amp; Team Lists'!$J$5:$J$204,D624)&gt;0,ISNUMBER(SEARCH("alpha nodus",F624))),"Yes","No"))</f>
        <v/>
      </c>
      <c r="O624" s="33" t="str">
        <f aca="false">IF(D624="","",IF(N624="Yes","No",IF(OR(AND(F624&lt;&gt;"",COUNTIF('Target &amp; Team Lists'!$A$5:$A$504,F624)&gt;0),COUNTIF('Target &amp; Team Lists'!$E$5:$E$504,D624)&gt;0),"Yes","No")))</f>
        <v/>
      </c>
      <c r="P624" s="31"/>
    </row>
    <row r="625" customFormat="false" ht="15" hidden="false" customHeight="false" outlineLevel="0" collapsed="false">
      <c r="A625" s="34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2" t="str">
        <f aca="false">IF(D625="","",IF(SUM(H625:K625)&gt;0,1,0))</f>
        <v/>
      </c>
      <c r="N625" s="33" t="str">
        <f aca="false">IF(D625="","",IF(OR(COUNTIF('Target &amp; Team Lists'!$J$5:$J$204,D625)&gt;0,ISNUMBER(SEARCH("alpha nodus",F625))),"Yes","No"))</f>
        <v/>
      </c>
      <c r="O625" s="33" t="str">
        <f aca="false">IF(D625="","",IF(N625="Yes","No",IF(OR(AND(F625&lt;&gt;"",COUNTIF('Target &amp; Team Lists'!$A$5:$A$504,F625)&gt;0),COUNTIF('Target &amp; Team Lists'!$E$5:$E$504,D625)&gt;0),"Yes","No")))</f>
        <v/>
      </c>
      <c r="P625" s="31"/>
    </row>
    <row r="626" customFormat="false" ht="15" hidden="false" customHeight="false" outlineLevel="0" collapsed="false">
      <c r="A626" s="34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2" t="str">
        <f aca="false">IF(D626="","",IF(SUM(H626:K626)&gt;0,1,0))</f>
        <v/>
      </c>
      <c r="N626" s="33" t="str">
        <f aca="false">IF(D626="","",IF(OR(COUNTIF('Target &amp; Team Lists'!$J$5:$J$204,D626)&gt;0,ISNUMBER(SEARCH("alpha nodus",F626))),"Yes","No"))</f>
        <v/>
      </c>
      <c r="O626" s="33" t="str">
        <f aca="false">IF(D626="","",IF(N626="Yes","No",IF(OR(AND(F626&lt;&gt;"",COUNTIF('Target &amp; Team Lists'!$A$5:$A$504,F626)&gt;0),COUNTIF('Target &amp; Team Lists'!$E$5:$E$504,D626)&gt;0),"Yes","No")))</f>
        <v/>
      </c>
      <c r="P626" s="31"/>
    </row>
    <row r="627" customFormat="false" ht="15" hidden="false" customHeight="false" outlineLevel="0" collapsed="false">
      <c r="A627" s="34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2" t="str">
        <f aca="false">IF(D627="","",IF(SUM(H627:K627)&gt;0,1,0))</f>
        <v/>
      </c>
      <c r="N627" s="33" t="str">
        <f aca="false">IF(D627="","",IF(OR(COUNTIF('Target &amp; Team Lists'!$J$5:$J$204,D627)&gt;0,ISNUMBER(SEARCH("alpha nodus",F627))),"Yes","No"))</f>
        <v/>
      </c>
      <c r="O627" s="33" t="str">
        <f aca="false">IF(D627="","",IF(N627="Yes","No",IF(OR(AND(F627&lt;&gt;"",COUNTIF('Target &amp; Team Lists'!$A$5:$A$504,F627)&gt;0),COUNTIF('Target &amp; Team Lists'!$E$5:$E$504,D627)&gt;0),"Yes","No")))</f>
        <v/>
      </c>
      <c r="P627" s="31"/>
    </row>
    <row r="628" customFormat="false" ht="15" hidden="false" customHeight="false" outlineLevel="0" collapsed="false">
      <c r="A628" s="34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2" t="str">
        <f aca="false">IF(D628="","",IF(SUM(H628:K628)&gt;0,1,0))</f>
        <v/>
      </c>
      <c r="N628" s="33" t="str">
        <f aca="false">IF(D628="","",IF(OR(COUNTIF('Target &amp; Team Lists'!$J$5:$J$204,D628)&gt;0,ISNUMBER(SEARCH("alpha nodus",F628))),"Yes","No"))</f>
        <v/>
      </c>
      <c r="O628" s="33" t="str">
        <f aca="false">IF(D628="","",IF(N628="Yes","No",IF(OR(AND(F628&lt;&gt;"",COUNTIF('Target &amp; Team Lists'!$A$5:$A$504,F628)&gt;0),COUNTIF('Target &amp; Team Lists'!$E$5:$E$504,D628)&gt;0),"Yes","No")))</f>
        <v/>
      </c>
      <c r="P628" s="31"/>
    </row>
    <row r="629" customFormat="false" ht="15" hidden="false" customHeight="false" outlineLevel="0" collapsed="false">
      <c r="A629" s="34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2" t="str">
        <f aca="false">IF(D629="","",IF(SUM(H629:K629)&gt;0,1,0))</f>
        <v/>
      </c>
      <c r="N629" s="33" t="str">
        <f aca="false">IF(D629="","",IF(OR(COUNTIF('Target &amp; Team Lists'!$J$5:$J$204,D629)&gt;0,ISNUMBER(SEARCH("alpha nodus",F629))),"Yes","No"))</f>
        <v/>
      </c>
      <c r="O629" s="33" t="str">
        <f aca="false">IF(D629="","",IF(N629="Yes","No",IF(OR(AND(F629&lt;&gt;"",COUNTIF('Target &amp; Team Lists'!$A$5:$A$504,F629)&gt;0),COUNTIF('Target &amp; Team Lists'!$E$5:$E$504,D629)&gt;0),"Yes","No")))</f>
        <v/>
      </c>
      <c r="P629" s="31"/>
    </row>
    <row r="630" customFormat="false" ht="15" hidden="false" customHeight="false" outlineLevel="0" collapsed="false">
      <c r="A630" s="34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2" t="str">
        <f aca="false">IF(D630="","",IF(SUM(H630:K630)&gt;0,1,0))</f>
        <v/>
      </c>
      <c r="N630" s="33" t="str">
        <f aca="false">IF(D630="","",IF(OR(COUNTIF('Target &amp; Team Lists'!$J$5:$J$204,D630)&gt;0,ISNUMBER(SEARCH("alpha nodus",F630))),"Yes","No"))</f>
        <v/>
      </c>
      <c r="O630" s="33" t="str">
        <f aca="false">IF(D630="","",IF(N630="Yes","No",IF(OR(AND(F630&lt;&gt;"",COUNTIF('Target &amp; Team Lists'!$A$5:$A$504,F630)&gt;0),COUNTIF('Target &amp; Team Lists'!$E$5:$E$504,D630)&gt;0),"Yes","No")))</f>
        <v/>
      </c>
      <c r="P630" s="31"/>
    </row>
    <row r="631" customFormat="false" ht="15" hidden="false" customHeight="false" outlineLevel="0" collapsed="false">
      <c r="A631" s="34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2" t="str">
        <f aca="false">IF(D631="","",IF(SUM(H631:K631)&gt;0,1,0))</f>
        <v/>
      </c>
      <c r="N631" s="33" t="str">
        <f aca="false">IF(D631="","",IF(OR(COUNTIF('Target &amp; Team Lists'!$J$5:$J$204,D631)&gt;0,ISNUMBER(SEARCH("alpha nodus",F631))),"Yes","No"))</f>
        <v/>
      </c>
      <c r="O631" s="33" t="str">
        <f aca="false">IF(D631="","",IF(N631="Yes","No",IF(OR(AND(F631&lt;&gt;"",COUNTIF('Target &amp; Team Lists'!$A$5:$A$504,F631)&gt;0),COUNTIF('Target &amp; Team Lists'!$E$5:$E$504,D631)&gt;0),"Yes","No")))</f>
        <v/>
      </c>
      <c r="P631" s="31"/>
    </row>
    <row r="632" customFormat="false" ht="15" hidden="false" customHeight="false" outlineLevel="0" collapsed="false">
      <c r="A632" s="34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2" t="str">
        <f aca="false">IF(D632="","",IF(SUM(H632:K632)&gt;0,1,0))</f>
        <v/>
      </c>
      <c r="N632" s="33" t="str">
        <f aca="false">IF(D632="","",IF(OR(COUNTIF('Target &amp; Team Lists'!$J$5:$J$204,D632)&gt;0,ISNUMBER(SEARCH("alpha nodus",F632))),"Yes","No"))</f>
        <v/>
      </c>
      <c r="O632" s="33" t="str">
        <f aca="false">IF(D632="","",IF(N632="Yes","No",IF(OR(AND(F632&lt;&gt;"",COUNTIF('Target &amp; Team Lists'!$A$5:$A$504,F632)&gt;0),COUNTIF('Target &amp; Team Lists'!$E$5:$E$504,D632)&gt;0),"Yes","No")))</f>
        <v/>
      </c>
      <c r="P632" s="31"/>
    </row>
    <row r="633" customFormat="false" ht="15" hidden="false" customHeight="false" outlineLevel="0" collapsed="false">
      <c r="A633" s="34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2" t="str">
        <f aca="false">IF(D633="","",IF(SUM(H633:K633)&gt;0,1,0))</f>
        <v/>
      </c>
      <c r="N633" s="33" t="str">
        <f aca="false">IF(D633="","",IF(OR(COUNTIF('Target &amp; Team Lists'!$J$5:$J$204,D633)&gt;0,ISNUMBER(SEARCH("alpha nodus",F633))),"Yes","No"))</f>
        <v/>
      </c>
      <c r="O633" s="33" t="str">
        <f aca="false">IF(D633="","",IF(N633="Yes","No",IF(OR(AND(F633&lt;&gt;"",COUNTIF('Target &amp; Team Lists'!$A$5:$A$504,F633)&gt;0),COUNTIF('Target &amp; Team Lists'!$E$5:$E$504,D633)&gt;0),"Yes","No")))</f>
        <v/>
      </c>
      <c r="P633" s="31"/>
    </row>
    <row r="634" customFormat="false" ht="15" hidden="false" customHeight="false" outlineLevel="0" collapsed="false">
      <c r="A634" s="34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2" t="str">
        <f aca="false">IF(D634="","",IF(SUM(H634:K634)&gt;0,1,0))</f>
        <v/>
      </c>
      <c r="N634" s="33" t="str">
        <f aca="false">IF(D634="","",IF(OR(COUNTIF('Target &amp; Team Lists'!$J$5:$J$204,D634)&gt;0,ISNUMBER(SEARCH("alpha nodus",F634))),"Yes","No"))</f>
        <v/>
      </c>
      <c r="O634" s="33" t="str">
        <f aca="false">IF(D634="","",IF(N634="Yes","No",IF(OR(AND(F634&lt;&gt;"",COUNTIF('Target &amp; Team Lists'!$A$5:$A$504,F634)&gt;0),COUNTIF('Target &amp; Team Lists'!$E$5:$E$504,D634)&gt;0),"Yes","No")))</f>
        <v/>
      </c>
      <c r="P634" s="31"/>
    </row>
    <row r="635" customFormat="false" ht="15" hidden="false" customHeight="false" outlineLevel="0" collapsed="false">
      <c r="A635" s="34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2" t="str">
        <f aca="false">IF(D635="","",IF(SUM(H635:K635)&gt;0,1,0))</f>
        <v/>
      </c>
      <c r="N635" s="33" t="str">
        <f aca="false">IF(D635="","",IF(OR(COUNTIF('Target &amp; Team Lists'!$J$5:$J$204,D635)&gt;0,ISNUMBER(SEARCH("alpha nodus",F635))),"Yes","No"))</f>
        <v/>
      </c>
      <c r="O635" s="33" t="str">
        <f aca="false">IF(D635="","",IF(N635="Yes","No",IF(OR(AND(F635&lt;&gt;"",COUNTIF('Target &amp; Team Lists'!$A$5:$A$504,F635)&gt;0),COUNTIF('Target &amp; Team Lists'!$E$5:$E$504,D635)&gt;0),"Yes","No")))</f>
        <v/>
      </c>
      <c r="P635" s="31"/>
    </row>
    <row r="636" customFormat="false" ht="15" hidden="false" customHeight="false" outlineLevel="0" collapsed="false">
      <c r="A636" s="34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2" t="str">
        <f aca="false">IF(D636="","",IF(SUM(H636:K636)&gt;0,1,0))</f>
        <v/>
      </c>
      <c r="N636" s="33" t="str">
        <f aca="false">IF(D636="","",IF(OR(COUNTIF('Target &amp; Team Lists'!$J$5:$J$204,D636)&gt;0,ISNUMBER(SEARCH("alpha nodus",F636))),"Yes","No"))</f>
        <v/>
      </c>
      <c r="O636" s="33" t="str">
        <f aca="false">IF(D636="","",IF(N636="Yes","No",IF(OR(AND(F636&lt;&gt;"",COUNTIF('Target &amp; Team Lists'!$A$5:$A$504,F636)&gt;0),COUNTIF('Target &amp; Team Lists'!$E$5:$E$504,D636)&gt;0),"Yes","No")))</f>
        <v/>
      </c>
      <c r="P636" s="31"/>
    </row>
    <row r="637" customFormat="false" ht="15" hidden="false" customHeight="false" outlineLevel="0" collapsed="false">
      <c r="A637" s="34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2" t="str">
        <f aca="false">IF(D637="","",IF(SUM(H637:K637)&gt;0,1,0))</f>
        <v/>
      </c>
      <c r="N637" s="33" t="str">
        <f aca="false">IF(D637="","",IF(OR(COUNTIF('Target &amp; Team Lists'!$J$5:$J$204,D637)&gt;0,ISNUMBER(SEARCH("alpha nodus",F637))),"Yes","No"))</f>
        <v/>
      </c>
      <c r="O637" s="33" t="str">
        <f aca="false">IF(D637="","",IF(N637="Yes","No",IF(OR(AND(F637&lt;&gt;"",COUNTIF('Target &amp; Team Lists'!$A$5:$A$504,F637)&gt;0),COUNTIF('Target &amp; Team Lists'!$E$5:$E$504,D637)&gt;0),"Yes","No")))</f>
        <v/>
      </c>
      <c r="P637" s="31"/>
    </row>
    <row r="638" customFormat="false" ht="15" hidden="false" customHeight="false" outlineLevel="0" collapsed="false">
      <c r="A638" s="34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2" t="str">
        <f aca="false">IF(D638="","",IF(SUM(H638:K638)&gt;0,1,0))</f>
        <v/>
      </c>
      <c r="N638" s="33" t="str">
        <f aca="false">IF(D638="","",IF(OR(COUNTIF('Target &amp; Team Lists'!$J$5:$J$204,D638)&gt;0,ISNUMBER(SEARCH("alpha nodus",F638))),"Yes","No"))</f>
        <v/>
      </c>
      <c r="O638" s="33" t="str">
        <f aca="false">IF(D638="","",IF(N638="Yes","No",IF(OR(AND(F638&lt;&gt;"",COUNTIF('Target &amp; Team Lists'!$A$5:$A$504,F638)&gt;0),COUNTIF('Target &amp; Team Lists'!$E$5:$E$504,D638)&gt;0),"Yes","No")))</f>
        <v/>
      </c>
      <c r="P638" s="31"/>
    </row>
    <row r="639" customFormat="false" ht="15" hidden="false" customHeight="false" outlineLevel="0" collapsed="false">
      <c r="A639" s="34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2" t="str">
        <f aca="false">IF(D639="","",IF(SUM(H639:K639)&gt;0,1,0))</f>
        <v/>
      </c>
      <c r="N639" s="33" t="str">
        <f aca="false">IF(D639="","",IF(OR(COUNTIF('Target &amp; Team Lists'!$J$5:$J$204,D639)&gt;0,ISNUMBER(SEARCH("alpha nodus",F639))),"Yes","No"))</f>
        <v/>
      </c>
      <c r="O639" s="33" t="str">
        <f aca="false">IF(D639="","",IF(N639="Yes","No",IF(OR(AND(F639&lt;&gt;"",COUNTIF('Target &amp; Team Lists'!$A$5:$A$504,F639)&gt;0),COUNTIF('Target &amp; Team Lists'!$E$5:$E$504,D639)&gt;0),"Yes","No")))</f>
        <v/>
      </c>
      <c r="P639" s="31"/>
    </row>
    <row r="640" customFormat="false" ht="15" hidden="false" customHeight="false" outlineLevel="0" collapsed="false">
      <c r="A640" s="34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2" t="str">
        <f aca="false">IF(D640="","",IF(SUM(H640:K640)&gt;0,1,0))</f>
        <v/>
      </c>
      <c r="N640" s="33" t="str">
        <f aca="false">IF(D640="","",IF(OR(COUNTIF('Target &amp; Team Lists'!$J$5:$J$204,D640)&gt;0,ISNUMBER(SEARCH("alpha nodus",F640))),"Yes","No"))</f>
        <v/>
      </c>
      <c r="O640" s="33" t="str">
        <f aca="false">IF(D640="","",IF(N640="Yes","No",IF(OR(AND(F640&lt;&gt;"",COUNTIF('Target &amp; Team Lists'!$A$5:$A$504,F640)&gt;0),COUNTIF('Target &amp; Team Lists'!$E$5:$E$504,D640)&gt;0),"Yes","No")))</f>
        <v/>
      </c>
      <c r="P640" s="31"/>
    </row>
    <row r="641" customFormat="false" ht="15" hidden="false" customHeight="false" outlineLevel="0" collapsed="false">
      <c r="A641" s="34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2" t="str">
        <f aca="false">IF(D641="","",IF(SUM(H641:K641)&gt;0,1,0))</f>
        <v/>
      </c>
      <c r="N641" s="33" t="str">
        <f aca="false">IF(D641="","",IF(OR(COUNTIF('Target &amp; Team Lists'!$J$5:$J$204,D641)&gt;0,ISNUMBER(SEARCH("alpha nodus",F641))),"Yes","No"))</f>
        <v/>
      </c>
      <c r="O641" s="33" t="str">
        <f aca="false">IF(D641="","",IF(N641="Yes","No",IF(OR(AND(F641&lt;&gt;"",COUNTIF('Target &amp; Team Lists'!$A$5:$A$504,F641)&gt;0),COUNTIF('Target &amp; Team Lists'!$E$5:$E$504,D641)&gt;0),"Yes","No")))</f>
        <v/>
      </c>
      <c r="P641" s="31"/>
    </row>
    <row r="642" customFormat="false" ht="15" hidden="false" customHeight="false" outlineLevel="0" collapsed="false">
      <c r="A642" s="34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2" t="str">
        <f aca="false">IF(D642="","",IF(SUM(H642:K642)&gt;0,1,0))</f>
        <v/>
      </c>
      <c r="N642" s="33" t="str">
        <f aca="false">IF(D642="","",IF(OR(COUNTIF('Target &amp; Team Lists'!$J$5:$J$204,D642)&gt;0,ISNUMBER(SEARCH("alpha nodus",F642))),"Yes","No"))</f>
        <v/>
      </c>
      <c r="O642" s="33" t="str">
        <f aca="false">IF(D642="","",IF(N642="Yes","No",IF(OR(AND(F642&lt;&gt;"",COUNTIF('Target &amp; Team Lists'!$A$5:$A$504,F642)&gt;0),COUNTIF('Target &amp; Team Lists'!$E$5:$E$504,D642)&gt;0),"Yes","No")))</f>
        <v/>
      </c>
      <c r="P642" s="31"/>
    </row>
    <row r="643" customFormat="false" ht="15" hidden="false" customHeight="false" outlineLevel="0" collapsed="false">
      <c r="A643" s="34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2" t="str">
        <f aca="false">IF(D643="","",IF(SUM(H643:K643)&gt;0,1,0))</f>
        <v/>
      </c>
      <c r="N643" s="33" t="str">
        <f aca="false">IF(D643="","",IF(OR(COUNTIF('Target &amp; Team Lists'!$J$5:$J$204,D643)&gt;0,ISNUMBER(SEARCH("alpha nodus",F643))),"Yes","No"))</f>
        <v/>
      </c>
      <c r="O643" s="33" t="str">
        <f aca="false">IF(D643="","",IF(N643="Yes","No",IF(OR(AND(F643&lt;&gt;"",COUNTIF('Target &amp; Team Lists'!$A$5:$A$504,F643)&gt;0),COUNTIF('Target &amp; Team Lists'!$E$5:$E$504,D643)&gt;0),"Yes","No")))</f>
        <v/>
      </c>
      <c r="P643" s="31"/>
    </row>
    <row r="644" customFormat="false" ht="15" hidden="false" customHeight="false" outlineLevel="0" collapsed="false">
      <c r="A644" s="34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2" t="str">
        <f aca="false">IF(D644="","",IF(SUM(H644:K644)&gt;0,1,0))</f>
        <v/>
      </c>
      <c r="N644" s="33" t="str">
        <f aca="false">IF(D644="","",IF(OR(COUNTIF('Target &amp; Team Lists'!$J$5:$J$204,D644)&gt;0,ISNUMBER(SEARCH("alpha nodus",F644))),"Yes","No"))</f>
        <v/>
      </c>
      <c r="O644" s="33" t="str">
        <f aca="false">IF(D644="","",IF(N644="Yes","No",IF(OR(AND(F644&lt;&gt;"",COUNTIF('Target &amp; Team Lists'!$A$5:$A$504,F644)&gt;0),COUNTIF('Target &amp; Team Lists'!$E$5:$E$504,D644)&gt;0),"Yes","No")))</f>
        <v/>
      </c>
      <c r="P644" s="31"/>
    </row>
    <row r="645" customFormat="false" ht="15" hidden="false" customHeight="false" outlineLevel="0" collapsed="false">
      <c r="A645" s="34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2" t="str">
        <f aca="false">IF(D645="","",IF(SUM(H645:K645)&gt;0,1,0))</f>
        <v/>
      </c>
      <c r="N645" s="33" t="str">
        <f aca="false">IF(D645="","",IF(OR(COUNTIF('Target &amp; Team Lists'!$J$5:$J$204,D645)&gt;0,ISNUMBER(SEARCH("alpha nodus",F645))),"Yes","No"))</f>
        <v/>
      </c>
      <c r="O645" s="33" t="str">
        <f aca="false">IF(D645="","",IF(N645="Yes","No",IF(OR(AND(F645&lt;&gt;"",COUNTIF('Target &amp; Team Lists'!$A$5:$A$504,F645)&gt;0),COUNTIF('Target &amp; Team Lists'!$E$5:$E$504,D645)&gt;0),"Yes","No")))</f>
        <v/>
      </c>
      <c r="P645" s="31"/>
    </row>
    <row r="646" customFormat="false" ht="15" hidden="false" customHeight="false" outlineLevel="0" collapsed="false">
      <c r="A646" s="34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2" t="str">
        <f aca="false">IF(D646="","",IF(SUM(H646:K646)&gt;0,1,0))</f>
        <v/>
      </c>
      <c r="N646" s="33" t="str">
        <f aca="false">IF(D646="","",IF(OR(COUNTIF('Target &amp; Team Lists'!$J$5:$J$204,D646)&gt;0,ISNUMBER(SEARCH("alpha nodus",F646))),"Yes","No"))</f>
        <v/>
      </c>
      <c r="O646" s="33" t="str">
        <f aca="false">IF(D646="","",IF(N646="Yes","No",IF(OR(AND(F646&lt;&gt;"",COUNTIF('Target &amp; Team Lists'!$A$5:$A$504,F646)&gt;0),COUNTIF('Target &amp; Team Lists'!$E$5:$E$504,D646)&gt;0),"Yes","No")))</f>
        <v/>
      </c>
      <c r="P646" s="31"/>
    </row>
    <row r="647" customFormat="false" ht="15" hidden="false" customHeight="false" outlineLevel="0" collapsed="false">
      <c r="A647" s="34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2" t="str">
        <f aca="false">IF(D647="","",IF(SUM(H647:K647)&gt;0,1,0))</f>
        <v/>
      </c>
      <c r="N647" s="33" t="str">
        <f aca="false">IF(D647="","",IF(OR(COUNTIF('Target &amp; Team Lists'!$J$5:$J$204,D647)&gt;0,ISNUMBER(SEARCH("alpha nodus",F647))),"Yes","No"))</f>
        <v/>
      </c>
      <c r="O647" s="33" t="str">
        <f aca="false">IF(D647="","",IF(N647="Yes","No",IF(OR(AND(F647&lt;&gt;"",COUNTIF('Target &amp; Team Lists'!$A$5:$A$504,F647)&gt;0),COUNTIF('Target &amp; Team Lists'!$E$5:$E$504,D647)&gt;0),"Yes","No")))</f>
        <v/>
      </c>
      <c r="P647" s="31"/>
    </row>
    <row r="648" customFormat="false" ht="15" hidden="false" customHeight="false" outlineLevel="0" collapsed="false">
      <c r="A648" s="34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2" t="str">
        <f aca="false">IF(D648="","",IF(SUM(H648:K648)&gt;0,1,0))</f>
        <v/>
      </c>
      <c r="N648" s="33" t="str">
        <f aca="false">IF(D648="","",IF(OR(COUNTIF('Target &amp; Team Lists'!$J$5:$J$204,D648)&gt;0,ISNUMBER(SEARCH("alpha nodus",F648))),"Yes","No"))</f>
        <v/>
      </c>
      <c r="O648" s="33" t="str">
        <f aca="false">IF(D648="","",IF(N648="Yes","No",IF(OR(AND(F648&lt;&gt;"",COUNTIF('Target &amp; Team Lists'!$A$5:$A$504,F648)&gt;0),COUNTIF('Target &amp; Team Lists'!$E$5:$E$504,D648)&gt;0),"Yes","No")))</f>
        <v/>
      </c>
      <c r="P648" s="31"/>
    </row>
    <row r="649" customFormat="false" ht="15" hidden="false" customHeight="false" outlineLevel="0" collapsed="false">
      <c r="A649" s="34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2" t="str">
        <f aca="false">IF(D649="","",IF(SUM(H649:K649)&gt;0,1,0))</f>
        <v/>
      </c>
      <c r="N649" s="33" t="str">
        <f aca="false">IF(D649="","",IF(OR(COUNTIF('Target &amp; Team Lists'!$J$5:$J$204,D649)&gt;0,ISNUMBER(SEARCH("alpha nodus",F649))),"Yes","No"))</f>
        <v/>
      </c>
      <c r="O649" s="33" t="str">
        <f aca="false">IF(D649="","",IF(N649="Yes","No",IF(OR(AND(F649&lt;&gt;"",COUNTIF('Target &amp; Team Lists'!$A$5:$A$504,F649)&gt;0),COUNTIF('Target &amp; Team Lists'!$E$5:$E$504,D649)&gt;0),"Yes","No")))</f>
        <v/>
      </c>
      <c r="P649" s="31"/>
    </row>
    <row r="650" customFormat="false" ht="15" hidden="false" customHeight="false" outlineLevel="0" collapsed="false">
      <c r="A650" s="34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2" t="str">
        <f aca="false">IF(D650="","",IF(SUM(H650:K650)&gt;0,1,0))</f>
        <v/>
      </c>
      <c r="N650" s="33" t="str">
        <f aca="false">IF(D650="","",IF(OR(COUNTIF('Target &amp; Team Lists'!$J$5:$J$204,D650)&gt;0,ISNUMBER(SEARCH("alpha nodus",F650))),"Yes","No"))</f>
        <v/>
      </c>
      <c r="O650" s="33" t="str">
        <f aca="false">IF(D650="","",IF(N650="Yes","No",IF(OR(AND(F650&lt;&gt;"",COUNTIF('Target &amp; Team Lists'!$A$5:$A$504,F650)&gt;0),COUNTIF('Target &amp; Team Lists'!$E$5:$E$504,D650)&gt;0),"Yes","No")))</f>
        <v/>
      </c>
      <c r="P650" s="31"/>
    </row>
    <row r="651" customFormat="false" ht="15" hidden="false" customHeight="false" outlineLevel="0" collapsed="false">
      <c r="A651" s="34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2" t="str">
        <f aca="false">IF(D651="","",IF(SUM(H651:K651)&gt;0,1,0))</f>
        <v/>
      </c>
      <c r="N651" s="33" t="str">
        <f aca="false">IF(D651="","",IF(OR(COUNTIF('Target &amp; Team Lists'!$J$5:$J$204,D651)&gt;0,ISNUMBER(SEARCH("alpha nodus",F651))),"Yes","No"))</f>
        <v/>
      </c>
      <c r="O651" s="33" t="str">
        <f aca="false">IF(D651="","",IF(N651="Yes","No",IF(OR(AND(F651&lt;&gt;"",COUNTIF('Target &amp; Team Lists'!$A$5:$A$504,F651)&gt;0),COUNTIF('Target &amp; Team Lists'!$E$5:$E$504,D651)&gt;0),"Yes","No")))</f>
        <v/>
      </c>
      <c r="P651" s="31"/>
    </row>
    <row r="652" customFormat="false" ht="15" hidden="false" customHeight="false" outlineLevel="0" collapsed="false">
      <c r="A652" s="34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2" t="str">
        <f aca="false">IF(D652="","",IF(SUM(H652:K652)&gt;0,1,0))</f>
        <v/>
      </c>
      <c r="N652" s="33" t="str">
        <f aca="false">IF(D652="","",IF(OR(COUNTIF('Target &amp; Team Lists'!$J$5:$J$204,D652)&gt;0,ISNUMBER(SEARCH("alpha nodus",F652))),"Yes","No"))</f>
        <v/>
      </c>
      <c r="O652" s="33" t="str">
        <f aca="false">IF(D652="","",IF(N652="Yes","No",IF(OR(AND(F652&lt;&gt;"",COUNTIF('Target &amp; Team Lists'!$A$5:$A$504,F652)&gt;0),COUNTIF('Target &amp; Team Lists'!$E$5:$E$504,D652)&gt;0),"Yes","No")))</f>
        <v/>
      </c>
      <c r="P652" s="31"/>
    </row>
    <row r="653" customFormat="false" ht="15" hidden="false" customHeight="false" outlineLevel="0" collapsed="false">
      <c r="A653" s="34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2" t="str">
        <f aca="false">IF(D653="","",IF(SUM(H653:K653)&gt;0,1,0))</f>
        <v/>
      </c>
      <c r="N653" s="33" t="str">
        <f aca="false">IF(D653="","",IF(OR(COUNTIF('Target &amp; Team Lists'!$J$5:$J$204,D653)&gt;0,ISNUMBER(SEARCH("alpha nodus",F653))),"Yes","No"))</f>
        <v/>
      </c>
      <c r="O653" s="33" t="str">
        <f aca="false">IF(D653="","",IF(N653="Yes","No",IF(OR(AND(F653&lt;&gt;"",COUNTIF('Target &amp; Team Lists'!$A$5:$A$504,F653)&gt;0),COUNTIF('Target &amp; Team Lists'!$E$5:$E$504,D653)&gt;0),"Yes","No")))</f>
        <v/>
      </c>
      <c r="P653" s="31"/>
    </row>
    <row r="654" customFormat="false" ht="15" hidden="false" customHeight="false" outlineLevel="0" collapsed="false">
      <c r="A654" s="34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2" t="str">
        <f aca="false">IF(D654="","",IF(SUM(H654:K654)&gt;0,1,0))</f>
        <v/>
      </c>
      <c r="N654" s="33" t="str">
        <f aca="false">IF(D654="","",IF(OR(COUNTIF('Target &amp; Team Lists'!$J$5:$J$204,D654)&gt;0,ISNUMBER(SEARCH("alpha nodus",F654))),"Yes","No"))</f>
        <v/>
      </c>
      <c r="O654" s="33" t="str">
        <f aca="false">IF(D654="","",IF(N654="Yes","No",IF(OR(AND(F654&lt;&gt;"",COUNTIF('Target &amp; Team Lists'!$A$5:$A$504,F654)&gt;0),COUNTIF('Target &amp; Team Lists'!$E$5:$E$504,D654)&gt;0),"Yes","No")))</f>
        <v/>
      </c>
      <c r="P654" s="31"/>
    </row>
    <row r="655" customFormat="false" ht="15" hidden="false" customHeight="false" outlineLevel="0" collapsed="false">
      <c r="A655" s="34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2" t="str">
        <f aca="false">IF(D655="","",IF(SUM(H655:K655)&gt;0,1,0))</f>
        <v/>
      </c>
      <c r="N655" s="33" t="str">
        <f aca="false">IF(D655="","",IF(OR(COUNTIF('Target &amp; Team Lists'!$J$5:$J$204,D655)&gt;0,ISNUMBER(SEARCH("alpha nodus",F655))),"Yes","No"))</f>
        <v/>
      </c>
      <c r="O655" s="33" t="str">
        <f aca="false">IF(D655="","",IF(N655="Yes","No",IF(OR(AND(F655&lt;&gt;"",COUNTIF('Target &amp; Team Lists'!$A$5:$A$504,F655)&gt;0),COUNTIF('Target &amp; Team Lists'!$E$5:$E$504,D655)&gt;0),"Yes","No")))</f>
        <v/>
      </c>
      <c r="P655" s="31"/>
    </row>
    <row r="656" customFormat="false" ht="15" hidden="false" customHeight="false" outlineLevel="0" collapsed="false">
      <c r="A656" s="34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2" t="str">
        <f aca="false">IF(D656="","",IF(SUM(H656:K656)&gt;0,1,0))</f>
        <v/>
      </c>
      <c r="N656" s="33" t="str">
        <f aca="false">IF(D656="","",IF(OR(COUNTIF('Target &amp; Team Lists'!$J$5:$J$204,D656)&gt;0,ISNUMBER(SEARCH("alpha nodus",F656))),"Yes","No"))</f>
        <v/>
      </c>
      <c r="O656" s="33" t="str">
        <f aca="false">IF(D656="","",IF(N656="Yes","No",IF(OR(AND(F656&lt;&gt;"",COUNTIF('Target &amp; Team Lists'!$A$5:$A$504,F656)&gt;0),COUNTIF('Target &amp; Team Lists'!$E$5:$E$504,D656)&gt;0),"Yes","No")))</f>
        <v/>
      </c>
      <c r="P656" s="31"/>
    </row>
    <row r="657" customFormat="false" ht="15" hidden="false" customHeight="false" outlineLevel="0" collapsed="false">
      <c r="A657" s="34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2" t="str">
        <f aca="false">IF(D657="","",IF(SUM(H657:K657)&gt;0,1,0))</f>
        <v/>
      </c>
      <c r="N657" s="33" t="str">
        <f aca="false">IF(D657="","",IF(OR(COUNTIF('Target &amp; Team Lists'!$J$5:$J$204,D657)&gt;0,ISNUMBER(SEARCH("alpha nodus",F657))),"Yes","No"))</f>
        <v/>
      </c>
      <c r="O657" s="33" t="str">
        <f aca="false">IF(D657="","",IF(N657="Yes","No",IF(OR(AND(F657&lt;&gt;"",COUNTIF('Target &amp; Team Lists'!$A$5:$A$504,F657)&gt;0),COUNTIF('Target &amp; Team Lists'!$E$5:$E$504,D657)&gt;0),"Yes","No")))</f>
        <v/>
      </c>
      <c r="P657" s="31"/>
    </row>
    <row r="658" customFormat="false" ht="15" hidden="false" customHeight="false" outlineLevel="0" collapsed="false">
      <c r="A658" s="34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2" t="str">
        <f aca="false">IF(D658="","",IF(SUM(H658:K658)&gt;0,1,0))</f>
        <v/>
      </c>
      <c r="N658" s="33" t="str">
        <f aca="false">IF(D658="","",IF(OR(COUNTIF('Target &amp; Team Lists'!$J$5:$J$204,D658)&gt;0,ISNUMBER(SEARCH("alpha nodus",F658))),"Yes","No"))</f>
        <v/>
      </c>
      <c r="O658" s="33" t="str">
        <f aca="false">IF(D658="","",IF(N658="Yes","No",IF(OR(AND(F658&lt;&gt;"",COUNTIF('Target &amp; Team Lists'!$A$5:$A$504,F658)&gt;0),COUNTIF('Target &amp; Team Lists'!$E$5:$E$504,D658)&gt;0),"Yes","No")))</f>
        <v/>
      </c>
      <c r="P658" s="31"/>
    </row>
    <row r="659" customFormat="false" ht="15" hidden="false" customHeight="false" outlineLevel="0" collapsed="false">
      <c r="A659" s="34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2" t="str">
        <f aca="false">IF(D659="","",IF(SUM(H659:K659)&gt;0,1,0))</f>
        <v/>
      </c>
      <c r="N659" s="33" t="str">
        <f aca="false">IF(D659="","",IF(OR(COUNTIF('Target &amp; Team Lists'!$J$5:$J$204,D659)&gt;0,ISNUMBER(SEARCH("alpha nodus",F659))),"Yes","No"))</f>
        <v/>
      </c>
      <c r="O659" s="33" t="str">
        <f aca="false">IF(D659="","",IF(N659="Yes","No",IF(OR(AND(F659&lt;&gt;"",COUNTIF('Target &amp; Team Lists'!$A$5:$A$504,F659)&gt;0),COUNTIF('Target &amp; Team Lists'!$E$5:$E$504,D659)&gt;0),"Yes","No")))</f>
        <v/>
      </c>
      <c r="P659" s="31"/>
    </row>
    <row r="660" customFormat="false" ht="15" hidden="false" customHeight="false" outlineLevel="0" collapsed="false">
      <c r="A660" s="34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2" t="str">
        <f aca="false">IF(D660="","",IF(SUM(H660:K660)&gt;0,1,0))</f>
        <v/>
      </c>
      <c r="N660" s="33" t="str">
        <f aca="false">IF(D660="","",IF(OR(COUNTIF('Target &amp; Team Lists'!$J$5:$J$204,D660)&gt;0,ISNUMBER(SEARCH("alpha nodus",F660))),"Yes","No"))</f>
        <v/>
      </c>
      <c r="O660" s="33" t="str">
        <f aca="false">IF(D660="","",IF(N660="Yes","No",IF(OR(AND(F660&lt;&gt;"",COUNTIF('Target &amp; Team Lists'!$A$5:$A$504,F660)&gt;0),COUNTIF('Target &amp; Team Lists'!$E$5:$E$504,D660)&gt;0),"Yes","No")))</f>
        <v/>
      </c>
      <c r="P660" s="31"/>
    </row>
    <row r="661" customFormat="false" ht="15" hidden="false" customHeight="false" outlineLevel="0" collapsed="false">
      <c r="A661" s="34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2" t="str">
        <f aca="false">IF(D661="","",IF(SUM(H661:K661)&gt;0,1,0))</f>
        <v/>
      </c>
      <c r="N661" s="33" t="str">
        <f aca="false">IF(D661="","",IF(OR(COUNTIF('Target &amp; Team Lists'!$J$5:$J$204,D661)&gt;0,ISNUMBER(SEARCH("alpha nodus",F661))),"Yes","No"))</f>
        <v/>
      </c>
      <c r="O661" s="33" t="str">
        <f aca="false">IF(D661="","",IF(N661="Yes","No",IF(OR(AND(F661&lt;&gt;"",COUNTIF('Target &amp; Team Lists'!$A$5:$A$504,F661)&gt;0),COUNTIF('Target &amp; Team Lists'!$E$5:$E$504,D661)&gt;0),"Yes","No")))</f>
        <v/>
      </c>
      <c r="P661" s="31"/>
    </row>
    <row r="662" customFormat="false" ht="15" hidden="false" customHeight="false" outlineLevel="0" collapsed="false">
      <c r="A662" s="34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2" t="str">
        <f aca="false">IF(D662="","",IF(SUM(H662:K662)&gt;0,1,0))</f>
        <v/>
      </c>
      <c r="N662" s="33" t="str">
        <f aca="false">IF(D662="","",IF(OR(COUNTIF('Target &amp; Team Lists'!$J$5:$J$204,D662)&gt;0,ISNUMBER(SEARCH("alpha nodus",F662))),"Yes","No"))</f>
        <v/>
      </c>
      <c r="O662" s="33" t="str">
        <f aca="false">IF(D662="","",IF(N662="Yes","No",IF(OR(AND(F662&lt;&gt;"",COUNTIF('Target &amp; Team Lists'!$A$5:$A$504,F662)&gt;0),COUNTIF('Target &amp; Team Lists'!$E$5:$E$504,D662)&gt;0),"Yes","No")))</f>
        <v/>
      </c>
      <c r="P662" s="31"/>
    </row>
    <row r="663" customFormat="false" ht="15" hidden="false" customHeight="false" outlineLevel="0" collapsed="false">
      <c r="A663" s="34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2" t="str">
        <f aca="false">IF(D663="","",IF(SUM(H663:K663)&gt;0,1,0))</f>
        <v/>
      </c>
      <c r="N663" s="33" t="str">
        <f aca="false">IF(D663="","",IF(OR(COUNTIF('Target &amp; Team Lists'!$J$5:$J$204,D663)&gt;0,ISNUMBER(SEARCH("alpha nodus",F663))),"Yes","No"))</f>
        <v/>
      </c>
      <c r="O663" s="33" t="str">
        <f aca="false">IF(D663="","",IF(N663="Yes","No",IF(OR(AND(F663&lt;&gt;"",COUNTIF('Target &amp; Team Lists'!$A$5:$A$504,F663)&gt;0),COUNTIF('Target &amp; Team Lists'!$E$5:$E$504,D663)&gt;0),"Yes","No")))</f>
        <v/>
      </c>
      <c r="P663" s="31"/>
    </row>
    <row r="664" customFormat="false" ht="15" hidden="false" customHeight="false" outlineLevel="0" collapsed="false">
      <c r="A664" s="34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2" t="str">
        <f aca="false">IF(D664="","",IF(SUM(H664:K664)&gt;0,1,0))</f>
        <v/>
      </c>
      <c r="N664" s="33" t="str">
        <f aca="false">IF(D664="","",IF(OR(COUNTIF('Target &amp; Team Lists'!$J$5:$J$204,D664)&gt;0,ISNUMBER(SEARCH("alpha nodus",F664))),"Yes","No"))</f>
        <v/>
      </c>
      <c r="O664" s="33" t="str">
        <f aca="false">IF(D664="","",IF(N664="Yes","No",IF(OR(AND(F664&lt;&gt;"",COUNTIF('Target &amp; Team Lists'!$A$5:$A$504,F664)&gt;0),COUNTIF('Target &amp; Team Lists'!$E$5:$E$504,D664)&gt;0),"Yes","No")))</f>
        <v/>
      </c>
      <c r="P664" s="31"/>
    </row>
    <row r="665" customFormat="false" ht="15" hidden="false" customHeight="false" outlineLevel="0" collapsed="false">
      <c r="A665" s="34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2" t="str">
        <f aca="false">IF(D665="","",IF(SUM(H665:K665)&gt;0,1,0))</f>
        <v/>
      </c>
      <c r="N665" s="33" t="str">
        <f aca="false">IF(D665="","",IF(OR(COUNTIF('Target &amp; Team Lists'!$J$5:$J$204,D665)&gt;0,ISNUMBER(SEARCH("alpha nodus",F665))),"Yes","No"))</f>
        <v/>
      </c>
      <c r="O665" s="33" t="str">
        <f aca="false">IF(D665="","",IF(N665="Yes","No",IF(OR(AND(F665&lt;&gt;"",COUNTIF('Target &amp; Team Lists'!$A$5:$A$504,F665)&gt;0),COUNTIF('Target &amp; Team Lists'!$E$5:$E$504,D665)&gt;0),"Yes","No")))</f>
        <v/>
      </c>
      <c r="P665" s="31"/>
    </row>
    <row r="666" customFormat="false" ht="15" hidden="false" customHeight="false" outlineLevel="0" collapsed="false">
      <c r="A666" s="34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2" t="str">
        <f aca="false">IF(D666="","",IF(SUM(H666:K666)&gt;0,1,0))</f>
        <v/>
      </c>
      <c r="N666" s="33" t="str">
        <f aca="false">IF(D666="","",IF(OR(COUNTIF('Target &amp; Team Lists'!$J$5:$J$204,D666)&gt;0,ISNUMBER(SEARCH("alpha nodus",F666))),"Yes","No"))</f>
        <v/>
      </c>
      <c r="O666" s="33" t="str">
        <f aca="false">IF(D666="","",IF(N666="Yes","No",IF(OR(AND(F666&lt;&gt;"",COUNTIF('Target &amp; Team Lists'!$A$5:$A$504,F666)&gt;0),COUNTIF('Target &amp; Team Lists'!$E$5:$E$504,D666)&gt;0),"Yes","No")))</f>
        <v/>
      </c>
      <c r="P666" s="31"/>
    </row>
    <row r="667" customFormat="false" ht="15" hidden="false" customHeight="false" outlineLevel="0" collapsed="false">
      <c r="A667" s="34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2" t="str">
        <f aca="false">IF(D667="","",IF(SUM(H667:K667)&gt;0,1,0))</f>
        <v/>
      </c>
      <c r="N667" s="33" t="str">
        <f aca="false">IF(D667="","",IF(OR(COUNTIF('Target &amp; Team Lists'!$J$5:$J$204,D667)&gt;0,ISNUMBER(SEARCH("alpha nodus",F667))),"Yes","No"))</f>
        <v/>
      </c>
      <c r="O667" s="33" t="str">
        <f aca="false">IF(D667="","",IF(N667="Yes","No",IF(OR(AND(F667&lt;&gt;"",COUNTIF('Target &amp; Team Lists'!$A$5:$A$504,F667)&gt;0),COUNTIF('Target &amp; Team Lists'!$E$5:$E$504,D667)&gt;0),"Yes","No")))</f>
        <v/>
      </c>
      <c r="P667" s="31"/>
    </row>
    <row r="668" customFormat="false" ht="15" hidden="false" customHeight="false" outlineLevel="0" collapsed="false">
      <c r="A668" s="34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2" t="str">
        <f aca="false">IF(D668="","",IF(SUM(H668:K668)&gt;0,1,0))</f>
        <v/>
      </c>
      <c r="N668" s="33" t="str">
        <f aca="false">IF(D668="","",IF(OR(COUNTIF('Target &amp; Team Lists'!$J$5:$J$204,D668)&gt;0,ISNUMBER(SEARCH("alpha nodus",F668))),"Yes","No"))</f>
        <v/>
      </c>
      <c r="O668" s="33" t="str">
        <f aca="false">IF(D668="","",IF(N668="Yes","No",IF(OR(AND(F668&lt;&gt;"",COUNTIF('Target &amp; Team Lists'!$A$5:$A$504,F668)&gt;0),COUNTIF('Target &amp; Team Lists'!$E$5:$E$504,D668)&gt;0),"Yes","No")))</f>
        <v/>
      </c>
      <c r="P668" s="31"/>
    </row>
    <row r="669" customFormat="false" ht="15" hidden="false" customHeight="false" outlineLevel="0" collapsed="false">
      <c r="A669" s="34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2" t="str">
        <f aca="false">IF(D669="","",IF(SUM(H669:K669)&gt;0,1,0))</f>
        <v/>
      </c>
      <c r="N669" s="33" t="str">
        <f aca="false">IF(D669="","",IF(OR(COUNTIF('Target &amp; Team Lists'!$J$5:$J$204,D669)&gt;0,ISNUMBER(SEARCH("alpha nodus",F669))),"Yes","No"))</f>
        <v/>
      </c>
      <c r="O669" s="33" t="str">
        <f aca="false">IF(D669="","",IF(N669="Yes","No",IF(OR(AND(F669&lt;&gt;"",COUNTIF('Target &amp; Team Lists'!$A$5:$A$504,F669)&gt;0),COUNTIF('Target &amp; Team Lists'!$E$5:$E$504,D669)&gt;0),"Yes","No")))</f>
        <v/>
      </c>
      <c r="P669" s="31"/>
    </row>
    <row r="670" customFormat="false" ht="15" hidden="false" customHeight="false" outlineLevel="0" collapsed="false">
      <c r="A670" s="34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2" t="str">
        <f aca="false">IF(D670="","",IF(SUM(H670:K670)&gt;0,1,0))</f>
        <v/>
      </c>
      <c r="N670" s="33" t="str">
        <f aca="false">IF(D670="","",IF(OR(COUNTIF('Target &amp; Team Lists'!$J$5:$J$204,D670)&gt;0,ISNUMBER(SEARCH("alpha nodus",F670))),"Yes","No"))</f>
        <v/>
      </c>
      <c r="O670" s="33" t="str">
        <f aca="false">IF(D670="","",IF(N670="Yes","No",IF(OR(AND(F670&lt;&gt;"",COUNTIF('Target &amp; Team Lists'!$A$5:$A$504,F670)&gt;0),COUNTIF('Target &amp; Team Lists'!$E$5:$E$504,D670)&gt;0),"Yes","No")))</f>
        <v/>
      </c>
      <c r="P670" s="31"/>
    </row>
    <row r="671" customFormat="false" ht="15" hidden="false" customHeight="false" outlineLevel="0" collapsed="false">
      <c r="A671" s="34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2" t="str">
        <f aca="false">IF(D671="","",IF(SUM(H671:K671)&gt;0,1,0))</f>
        <v/>
      </c>
      <c r="N671" s="33" t="str">
        <f aca="false">IF(D671="","",IF(OR(COUNTIF('Target &amp; Team Lists'!$J$5:$J$204,D671)&gt;0,ISNUMBER(SEARCH("alpha nodus",F671))),"Yes","No"))</f>
        <v/>
      </c>
      <c r="O671" s="33" t="str">
        <f aca="false">IF(D671="","",IF(N671="Yes","No",IF(OR(AND(F671&lt;&gt;"",COUNTIF('Target &amp; Team Lists'!$A$5:$A$504,F671)&gt;0),COUNTIF('Target &amp; Team Lists'!$E$5:$E$504,D671)&gt;0),"Yes","No")))</f>
        <v/>
      </c>
      <c r="P671" s="31"/>
    </row>
    <row r="672" customFormat="false" ht="15" hidden="false" customHeight="false" outlineLevel="0" collapsed="false">
      <c r="A672" s="34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2" t="str">
        <f aca="false">IF(D672="","",IF(SUM(H672:K672)&gt;0,1,0))</f>
        <v/>
      </c>
      <c r="N672" s="33" t="str">
        <f aca="false">IF(D672="","",IF(OR(COUNTIF('Target &amp; Team Lists'!$J$5:$J$204,D672)&gt;0,ISNUMBER(SEARCH("alpha nodus",F672))),"Yes","No"))</f>
        <v/>
      </c>
      <c r="O672" s="33" t="str">
        <f aca="false">IF(D672="","",IF(N672="Yes","No",IF(OR(AND(F672&lt;&gt;"",COUNTIF('Target &amp; Team Lists'!$A$5:$A$504,F672)&gt;0),COUNTIF('Target &amp; Team Lists'!$E$5:$E$504,D672)&gt;0),"Yes","No")))</f>
        <v/>
      </c>
      <c r="P672" s="31"/>
    </row>
    <row r="673" customFormat="false" ht="15" hidden="false" customHeight="false" outlineLevel="0" collapsed="false">
      <c r="A673" s="34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2" t="str">
        <f aca="false">IF(D673="","",IF(SUM(H673:K673)&gt;0,1,0))</f>
        <v/>
      </c>
      <c r="N673" s="33" t="str">
        <f aca="false">IF(D673="","",IF(OR(COUNTIF('Target &amp; Team Lists'!$J$5:$J$204,D673)&gt;0,ISNUMBER(SEARCH("alpha nodus",F673))),"Yes","No"))</f>
        <v/>
      </c>
      <c r="O673" s="33" t="str">
        <f aca="false">IF(D673="","",IF(N673="Yes","No",IF(OR(AND(F673&lt;&gt;"",COUNTIF('Target &amp; Team Lists'!$A$5:$A$504,F673)&gt;0),COUNTIF('Target &amp; Team Lists'!$E$5:$E$504,D673)&gt;0),"Yes","No")))</f>
        <v/>
      </c>
      <c r="P673" s="31"/>
    </row>
    <row r="674" customFormat="false" ht="15" hidden="false" customHeight="false" outlineLevel="0" collapsed="false">
      <c r="A674" s="34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2" t="str">
        <f aca="false">IF(D674="","",IF(SUM(H674:K674)&gt;0,1,0))</f>
        <v/>
      </c>
      <c r="N674" s="33" t="str">
        <f aca="false">IF(D674="","",IF(OR(COUNTIF('Target &amp; Team Lists'!$J$5:$J$204,D674)&gt;0,ISNUMBER(SEARCH("alpha nodus",F674))),"Yes","No"))</f>
        <v/>
      </c>
      <c r="O674" s="33" t="str">
        <f aca="false">IF(D674="","",IF(N674="Yes","No",IF(OR(AND(F674&lt;&gt;"",COUNTIF('Target &amp; Team Lists'!$A$5:$A$504,F674)&gt;0),COUNTIF('Target &amp; Team Lists'!$E$5:$E$504,D674)&gt;0),"Yes","No")))</f>
        <v/>
      </c>
      <c r="P674" s="31"/>
    </row>
    <row r="675" customFormat="false" ht="15" hidden="false" customHeight="false" outlineLevel="0" collapsed="false">
      <c r="A675" s="34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2" t="str">
        <f aca="false">IF(D675="","",IF(SUM(H675:K675)&gt;0,1,0))</f>
        <v/>
      </c>
      <c r="N675" s="33" t="str">
        <f aca="false">IF(D675="","",IF(OR(COUNTIF('Target &amp; Team Lists'!$J$5:$J$204,D675)&gt;0,ISNUMBER(SEARCH("alpha nodus",F675))),"Yes","No"))</f>
        <v/>
      </c>
      <c r="O675" s="33" t="str">
        <f aca="false">IF(D675="","",IF(N675="Yes","No",IF(OR(AND(F675&lt;&gt;"",COUNTIF('Target &amp; Team Lists'!$A$5:$A$504,F675)&gt;0),COUNTIF('Target &amp; Team Lists'!$E$5:$E$504,D675)&gt;0),"Yes","No")))</f>
        <v/>
      </c>
      <c r="P675" s="31"/>
    </row>
    <row r="676" customFormat="false" ht="15" hidden="false" customHeight="false" outlineLevel="0" collapsed="false">
      <c r="A676" s="34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2" t="str">
        <f aca="false">IF(D676="","",IF(SUM(H676:K676)&gt;0,1,0))</f>
        <v/>
      </c>
      <c r="N676" s="33" t="str">
        <f aca="false">IF(D676="","",IF(OR(COUNTIF('Target &amp; Team Lists'!$J$5:$J$204,D676)&gt;0,ISNUMBER(SEARCH("alpha nodus",F676))),"Yes","No"))</f>
        <v/>
      </c>
      <c r="O676" s="33" t="str">
        <f aca="false">IF(D676="","",IF(N676="Yes","No",IF(OR(AND(F676&lt;&gt;"",COUNTIF('Target &amp; Team Lists'!$A$5:$A$504,F676)&gt;0),COUNTIF('Target &amp; Team Lists'!$E$5:$E$504,D676)&gt;0),"Yes","No")))</f>
        <v/>
      </c>
      <c r="P676" s="31"/>
    </row>
    <row r="677" customFormat="false" ht="15" hidden="false" customHeight="false" outlineLevel="0" collapsed="false">
      <c r="A677" s="34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2" t="str">
        <f aca="false">IF(D677="","",IF(SUM(H677:K677)&gt;0,1,0))</f>
        <v/>
      </c>
      <c r="N677" s="33" t="str">
        <f aca="false">IF(D677="","",IF(OR(COUNTIF('Target &amp; Team Lists'!$J$5:$J$204,D677)&gt;0,ISNUMBER(SEARCH("alpha nodus",F677))),"Yes","No"))</f>
        <v/>
      </c>
      <c r="O677" s="33" t="str">
        <f aca="false">IF(D677="","",IF(N677="Yes","No",IF(OR(AND(F677&lt;&gt;"",COUNTIF('Target &amp; Team Lists'!$A$5:$A$504,F677)&gt;0),COUNTIF('Target &amp; Team Lists'!$E$5:$E$504,D677)&gt;0),"Yes","No")))</f>
        <v/>
      </c>
      <c r="P677" s="31"/>
    </row>
    <row r="678" customFormat="false" ht="15" hidden="false" customHeight="false" outlineLevel="0" collapsed="false">
      <c r="A678" s="34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2" t="str">
        <f aca="false">IF(D678="","",IF(SUM(H678:K678)&gt;0,1,0))</f>
        <v/>
      </c>
      <c r="N678" s="33" t="str">
        <f aca="false">IF(D678="","",IF(OR(COUNTIF('Target &amp; Team Lists'!$J$5:$J$204,D678)&gt;0,ISNUMBER(SEARCH("alpha nodus",F678))),"Yes","No"))</f>
        <v/>
      </c>
      <c r="O678" s="33" t="str">
        <f aca="false">IF(D678="","",IF(N678="Yes","No",IF(OR(AND(F678&lt;&gt;"",COUNTIF('Target &amp; Team Lists'!$A$5:$A$504,F678)&gt;0),COUNTIF('Target &amp; Team Lists'!$E$5:$E$504,D678)&gt;0),"Yes","No")))</f>
        <v/>
      </c>
      <c r="P678" s="31"/>
    </row>
    <row r="679" customFormat="false" ht="15" hidden="false" customHeight="false" outlineLevel="0" collapsed="false">
      <c r="A679" s="34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2" t="str">
        <f aca="false">IF(D679="","",IF(SUM(H679:K679)&gt;0,1,0))</f>
        <v/>
      </c>
      <c r="N679" s="33" t="str">
        <f aca="false">IF(D679="","",IF(OR(COUNTIF('Target &amp; Team Lists'!$J$5:$J$204,D679)&gt;0,ISNUMBER(SEARCH("alpha nodus",F679))),"Yes","No"))</f>
        <v/>
      </c>
      <c r="O679" s="33" t="str">
        <f aca="false">IF(D679="","",IF(N679="Yes","No",IF(OR(AND(F679&lt;&gt;"",COUNTIF('Target &amp; Team Lists'!$A$5:$A$504,F679)&gt;0),COUNTIF('Target &amp; Team Lists'!$E$5:$E$504,D679)&gt;0),"Yes","No")))</f>
        <v/>
      </c>
      <c r="P679" s="31"/>
    </row>
    <row r="680" customFormat="false" ht="15" hidden="false" customHeight="false" outlineLevel="0" collapsed="false">
      <c r="A680" s="34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2" t="str">
        <f aca="false">IF(D680="","",IF(SUM(H680:K680)&gt;0,1,0))</f>
        <v/>
      </c>
      <c r="N680" s="33" t="str">
        <f aca="false">IF(D680="","",IF(OR(COUNTIF('Target &amp; Team Lists'!$J$5:$J$204,D680)&gt;0,ISNUMBER(SEARCH("alpha nodus",F680))),"Yes","No"))</f>
        <v/>
      </c>
      <c r="O680" s="33" t="str">
        <f aca="false">IF(D680="","",IF(N680="Yes","No",IF(OR(AND(F680&lt;&gt;"",COUNTIF('Target &amp; Team Lists'!$A$5:$A$504,F680)&gt;0),COUNTIF('Target &amp; Team Lists'!$E$5:$E$504,D680)&gt;0),"Yes","No")))</f>
        <v/>
      </c>
      <c r="P680" s="31"/>
    </row>
    <row r="681" customFormat="false" ht="15" hidden="false" customHeight="false" outlineLevel="0" collapsed="false">
      <c r="A681" s="34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2" t="str">
        <f aca="false">IF(D681="","",IF(SUM(H681:K681)&gt;0,1,0))</f>
        <v/>
      </c>
      <c r="N681" s="33" t="str">
        <f aca="false">IF(D681="","",IF(OR(COUNTIF('Target &amp; Team Lists'!$J$5:$J$204,D681)&gt;0,ISNUMBER(SEARCH("alpha nodus",F681))),"Yes","No"))</f>
        <v/>
      </c>
      <c r="O681" s="33" t="str">
        <f aca="false">IF(D681="","",IF(N681="Yes","No",IF(OR(AND(F681&lt;&gt;"",COUNTIF('Target &amp; Team Lists'!$A$5:$A$504,F681)&gt;0),COUNTIF('Target &amp; Team Lists'!$E$5:$E$504,D681)&gt;0),"Yes","No")))</f>
        <v/>
      </c>
      <c r="P681" s="31"/>
    </row>
    <row r="682" customFormat="false" ht="15" hidden="false" customHeight="false" outlineLevel="0" collapsed="false">
      <c r="A682" s="34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2" t="str">
        <f aca="false">IF(D682="","",IF(SUM(H682:K682)&gt;0,1,0))</f>
        <v/>
      </c>
      <c r="N682" s="33" t="str">
        <f aca="false">IF(D682="","",IF(OR(COUNTIF('Target &amp; Team Lists'!$J$5:$J$204,D682)&gt;0,ISNUMBER(SEARCH("alpha nodus",F682))),"Yes","No"))</f>
        <v/>
      </c>
      <c r="O682" s="33" t="str">
        <f aca="false">IF(D682="","",IF(N682="Yes","No",IF(OR(AND(F682&lt;&gt;"",COUNTIF('Target &amp; Team Lists'!$A$5:$A$504,F682)&gt;0),COUNTIF('Target &amp; Team Lists'!$E$5:$E$504,D682)&gt;0),"Yes","No")))</f>
        <v/>
      </c>
      <c r="P682" s="31"/>
    </row>
    <row r="683" customFormat="false" ht="15" hidden="false" customHeight="false" outlineLevel="0" collapsed="false">
      <c r="A683" s="34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2" t="str">
        <f aca="false">IF(D683="","",IF(SUM(H683:K683)&gt;0,1,0))</f>
        <v/>
      </c>
      <c r="N683" s="33" t="str">
        <f aca="false">IF(D683="","",IF(OR(COUNTIF('Target &amp; Team Lists'!$J$5:$J$204,D683)&gt;0,ISNUMBER(SEARCH("alpha nodus",F683))),"Yes","No"))</f>
        <v/>
      </c>
      <c r="O683" s="33" t="str">
        <f aca="false">IF(D683="","",IF(N683="Yes","No",IF(OR(AND(F683&lt;&gt;"",COUNTIF('Target &amp; Team Lists'!$A$5:$A$504,F683)&gt;0),COUNTIF('Target &amp; Team Lists'!$E$5:$E$504,D683)&gt;0),"Yes","No")))</f>
        <v/>
      </c>
      <c r="P683" s="31"/>
    </row>
    <row r="684" customFormat="false" ht="15" hidden="false" customHeight="false" outlineLevel="0" collapsed="false">
      <c r="A684" s="34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2" t="str">
        <f aca="false">IF(D684="","",IF(SUM(H684:K684)&gt;0,1,0))</f>
        <v/>
      </c>
      <c r="N684" s="33" t="str">
        <f aca="false">IF(D684="","",IF(OR(COUNTIF('Target &amp; Team Lists'!$J$5:$J$204,D684)&gt;0,ISNUMBER(SEARCH("alpha nodus",F684))),"Yes","No"))</f>
        <v/>
      </c>
      <c r="O684" s="33" t="str">
        <f aca="false">IF(D684="","",IF(N684="Yes","No",IF(OR(AND(F684&lt;&gt;"",COUNTIF('Target &amp; Team Lists'!$A$5:$A$504,F684)&gt;0),COUNTIF('Target &amp; Team Lists'!$E$5:$E$504,D684)&gt;0),"Yes","No")))</f>
        <v/>
      </c>
      <c r="P684" s="31"/>
    </row>
    <row r="685" customFormat="false" ht="15" hidden="false" customHeight="false" outlineLevel="0" collapsed="false">
      <c r="A685" s="34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2" t="str">
        <f aca="false">IF(D685="","",IF(SUM(H685:K685)&gt;0,1,0))</f>
        <v/>
      </c>
      <c r="N685" s="33" t="str">
        <f aca="false">IF(D685="","",IF(OR(COUNTIF('Target &amp; Team Lists'!$J$5:$J$204,D685)&gt;0,ISNUMBER(SEARCH("alpha nodus",F685))),"Yes","No"))</f>
        <v/>
      </c>
      <c r="O685" s="33" t="str">
        <f aca="false">IF(D685="","",IF(N685="Yes","No",IF(OR(AND(F685&lt;&gt;"",COUNTIF('Target &amp; Team Lists'!$A$5:$A$504,F685)&gt;0),COUNTIF('Target &amp; Team Lists'!$E$5:$E$504,D685)&gt;0),"Yes","No")))</f>
        <v/>
      </c>
      <c r="P685" s="31"/>
    </row>
    <row r="686" customFormat="false" ht="15" hidden="false" customHeight="false" outlineLevel="0" collapsed="false">
      <c r="A686" s="34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2" t="str">
        <f aca="false">IF(D686="","",IF(SUM(H686:K686)&gt;0,1,0))</f>
        <v/>
      </c>
      <c r="N686" s="33" t="str">
        <f aca="false">IF(D686="","",IF(OR(COUNTIF('Target &amp; Team Lists'!$J$5:$J$204,D686)&gt;0,ISNUMBER(SEARCH("alpha nodus",F686))),"Yes","No"))</f>
        <v/>
      </c>
      <c r="O686" s="33" t="str">
        <f aca="false">IF(D686="","",IF(N686="Yes","No",IF(OR(AND(F686&lt;&gt;"",COUNTIF('Target &amp; Team Lists'!$A$5:$A$504,F686)&gt;0),COUNTIF('Target &amp; Team Lists'!$E$5:$E$504,D686)&gt;0),"Yes","No")))</f>
        <v/>
      </c>
      <c r="P686" s="31"/>
    </row>
    <row r="687" customFormat="false" ht="15" hidden="false" customHeight="false" outlineLevel="0" collapsed="false">
      <c r="A687" s="34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2" t="str">
        <f aca="false">IF(D687="","",IF(SUM(H687:K687)&gt;0,1,0))</f>
        <v/>
      </c>
      <c r="N687" s="33" t="str">
        <f aca="false">IF(D687="","",IF(OR(COUNTIF('Target &amp; Team Lists'!$J$5:$J$204,D687)&gt;0,ISNUMBER(SEARCH("alpha nodus",F687))),"Yes","No"))</f>
        <v/>
      </c>
      <c r="O687" s="33" t="str">
        <f aca="false">IF(D687="","",IF(N687="Yes","No",IF(OR(AND(F687&lt;&gt;"",COUNTIF('Target &amp; Team Lists'!$A$5:$A$504,F687)&gt;0),COUNTIF('Target &amp; Team Lists'!$E$5:$E$504,D687)&gt;0),"Yes","No")))</f>
        <v/>
      </c>
      <c r="P687" s="31"/>
    </row>
    <row r="688" customFormat="false" ht="15" hidden="false" customHeight="false" outlineLevel="0" collapsed="false">
      <c r="A688" s="34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2" t="str">
        <f aca="false">IF(D688="","",IF(SUM(H688:K688)&gt;0,1,0))</f>
        <v/>
      </c>
      <c r="N688" s="33" t="str">
        <f aca="false">IF(D688="","",IF(OR(COUNTIF('Target &amp; Team Lists'!$J$5:$J$204,D688)&gt;0,ISNUMBER(SEARCH("alpha nodus",F688))),"Yes","No"))</f>
        <v/>
      </c>
      <c r="O688" s="33" t="str">
        <f aca="false">IF(D688="","",IF(N688="Yes","No",IF(OR(AND(F688&lt;&gt;"",COUNTIF('Target &amp; Team Lists'!$A$5:$A$504,F688)&gt;0),COUNTIF('Target &amp; Team Lists'!$E$5:$E$504,D688)&gt;0),"Yes","No")))</f>
        <v/>
      </c>
      <c r="P688" s="31"/>
    </row>
    <row r="689" customFormat="false" ht="15" hidden="false" customHeight="false" outlineLevel="0" collapsed="false">
      <c r="A689" s="34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2" t="str">
        <f aca="false">IF(D689="","",IF(SUM(H689:K689)&gt;0,1,0))</f>
        <v/>
      </c>
      <c r="N689" s="33" t="str">
        <f aca="false">IF(D689="","",IF(OR(COUNTIF('Target &amp; Team Lists'!$J$5:$J$204,D689)&gt;0,ISNUMBER(SEARCH("alpha nodus",F689))),"Yes","No"))</f>
        <v/>
      </c>
      <c r="O689" s="33" t="str">
        <f aca="false">IF(D689="","",IF(N689="Yes","No",IF(OR(AND(F689&lt;&gt;"",COUNTIF('Target &amp; Team Lists'!$A$5:$A$504,F689)&gt;0),COUNTIF('Target &amp; Team Lists'!$E$5:$E$504,D689)&gt;0),"Yes","No")))</f>
        <v/>
      </c>
      <c r="P689" s="31"/>
    </row>
    <row r="690" customFormat="false" ht="15" hidden="false" customHeight="false" outlineLevel="0" collapsed="false">
      <c r="A690" s="34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2" t="str">
        <f aca="false">IF(D690="","",IF(SUM(H690:K690)&gt;0,1,0))</f>
        <v/>
      </c>
      <c r="N690" s="33" t="str">
        <f aca="false">IF(D690="","",IF(OR(COUNTIF('Target &amp; Team Lists'!$J$5:$J$204,D690)&gt;0,ISNUMBER(SEARCH("alpha nodus",F690))),"Yes","No"))</f>
        <v/>
      </c>
      <c r="O690" s="33" t="str">
        <f aca="false">IF(D690="","",IF(N690="Yes","No",IF(OR(AND(F690&lt;&gt;"",COUNTIF('Target &amp; Team Lists'!$A$5:$A$504,F690)&gt;0),COUNTIF('Target &amp; Team Lists'!$E$5:$E$504,D690)&gt;0),"Yes","No")))</f>
        <v/>
      </c>
      <c r="P690" s="31"/>
    </row>
    <row r="691" customFormat="false" ht="15" hidden="false" customHeight="false" outlineLevel="0" collapsed="false">
      <c r="A691" s="34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2" t="str">
        <f aca="false">IF(D691="","",IF(SUM(H691:K691)&gt;0,1,0))</f>
        <v/>
      </c>
      <c r="N691" s="33" t="str">
        <f aca="false">IF(D691="","",IF(OR(COUNTIF('Target &amp; Team Lists'!$J$5:$J$204,D691)&gt;0,ISNUMBER(SEARCH("alpha nodus",F691))),"Yes","No"))</f>
        <v/>
      </c>
      <c r="O691" s="33" t="str">
        <f aca="false">IF(D691="","",IF(N691="Yes","No",IF(OR(AND(F691&lt;&gt;"",COUNTIF('Target &amp; Team Lists'!$A$5:$A$504,F691)&gt;0),COUNTIF('Target &amp; Team Lists'!$E$5:$E$504,D691)&gt;0),"Yes","No")))</f>
        <v/>
      </c>
      <c r="P691" s="31"/>
    </row>
    <row r="692" customFormat="false" ht="15" hidden="false" customHeight="false" outlineLevel="0" collapsed="false">
      <c r="A692" s="34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2" t="str">
        <f aca="false">IF(D692="","",IF(SUM(H692:K692)&gt;0,1,0))</f>
        <v/>
      </c>
      <c r="N692" s="33" t="str">
        <f aca="false">IF(D692="","",IF(OR(COUNTIF('Target &amp; Team Lists'!$J$5:$J$204,D692)&gt;0,ISNUMBER(SEARCH("alpha nodus",F692))),"Yes","No"))</f>
        <v/>
      </c>
      <c r="O692" s="33" t="str">
        <f aca="false">IF(D692="","",IF(N692="Yes","No",IF(OR(AND(F692&lt;&gt;"",COUNTIF('Target &amp; Team Lists'!$A$5:$A$504,F692)&gt;0),COUNTIF('Target &amp; Team Lists'!$E$5:$E$504,D692)&gt;0),"Yes","No")))</f>
        <v/>
      </c>
      <c r="P692" s="31"/>
    </row>
    <row r="693" customFormat="false" ht="15" hidden="false" customHeight="false" outlineLevel="0" collapsed="false">
      <c r="A693" s="34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2" t="str">
        <f aca="false">IF(D693="","",IF(SUM(H693:K693)&gt;0,1,0))</f>
        <v/>
      </c>
      <c r="N693" s="33" t="str">
        <f aca="false">IF(D693="","",IF(OR(COUNTIF('Target &amp; Team Lists'!$J$5:$J$204,D693)&gt;0,ISNUMBER(SEARCH("alpha nodus",F693))),"Yes","No"))</f>
        <v/>
      </c>
      <c r="O693" s="33" t="str">
        <f aca="false">IF(D693="","",IF(N693="Yes","No",IF(OR(AND(F693&lt;&gt;"",COUNTIF('Target &amp; Team Lists'!$A$5:$A$504,F693)&gt;0),COUNTIF('Target &amp; Team Lists'!$E$5:$E$504,D693)&gt;0),"Yes","No")))</f>
        <v/>
      </c>
      <c r="P693" s="31"/>
    </row>
    <row r="694" customFormat="false" ht="15" hidden="false" customHeight="false" outlineLevel="0" collapsed="false">
      <c r="A694" s="34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2" t="str">
        <f aca="false">IF(D694="","",IF(SUM(H694:K694)&gt;0,1,0))</f>
        <v/>
      </c>
      <c r="N694" s="33" t="str">
        <f aca="false">IF(D694="","",IF(OR(COUNTIF('Target &amp; Team Lists'!$J$5:$J$204,D694)&gt;0,ISNUMBER(SEARCH("alpha nodus",F694))),"Yes","No"))</f>
        <v/>
      </c>
      <c r="O694" s="33" t="str">
        <f aca="false">IF(D694="","",IF(N694="Yes","No",IF(OR(AND(F694&lt;&gt;"",COUNTIF('Target &amp; Team Lists'!$A$5:$A$504,F694)&gt;0),COUNTIF('Target &amp; Team Lists'!$E$5:$E$504,D694)&gt;0),"Yes","No")))</f>
        <v/>
      </c>
      <c r="P694" s="31"/>
    </row>
    <row r="695" customFormat="false" ht="15" hidden="false" customHeight="false" outlineLevel="0" collapsed="false">
      <c r="A695" s="34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2" t="str">
        <f aca="false">IF(D695="","",IF(SUM(H695:K695)&gt;0,1,0))</f>
        <v/>
      </c>
      <c r="N695" s="33" t="str">
        <f aca="false">IF(D695="","",IF(OR(COUNTIF('Target &amp; Team Lists'!$J$5:$J$204,D695)&gt;0,ISNUMBER(SEARCH("alpha nodus",F695))),"Yes","No"))</f>
        <v/>
      </c>
      <c r="O695" s="33" t="str">
        <f aca="false">IF(D695="","",IF(N695="Yes","No",IF(OR(AND(F695&lt;&gt;"",COUNTIF('Target &amp; Team Lists'!$A$5:$A$504,F695)&gt;0),COUNTIF('Target &amp; Team Lists'!$E$5:$E$504,D695)&gt;0),"Yes","No")))</f>
        <v/>
      </c>
      <c r="P695" s="31"/>
    </row>
    <row r="696" customFormat="false" ht="15" hidden="false" customHeight="false" outlineLevel="0" collapsed="false">
      <c r="A696" s="34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2" t="str">
        <f aca="false">IF(D696="","",IF(SUM(H696:K696)&gt;0,1,0))</f>
        <v/>
      </c>
      <c r="N696" s="33" t="str">
        <f aca="false">IF(D696="","",IF(OR(COUNTIF('Target &amp; Team Lists'!$J$5:$J$204,D696)&gt;0,ISNUMBER(SEARCH("alpha nodus",F696))),"Yes","No"))</f>
        <v/>
      </c>
      <c r="O696" s="33" t="str">
        <f aca="false">IF(D696="","",IF(N696="Yes","No",IF(OR(AND(F696&lt;&gt;"",COUNTIF('Target &amp; Team Lists'!$A$5:$A$504,F696)&gt;0),COUNTIF('Target &amp; Team Lists'!$E$5:$E$504,D696)&gt;0),"Yes","No")))</f>
        <v/>
      </c>
      <c r="P696" s="31"/>
    </row>
    <row r="697" customFormat="false" ht="15" hidden="false" customHeight="false" outlineLevel="0" collapsed="false">
      <c r="A697" s="34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2" t="str">
        <f aca="false">IF(D697="","",IF(SUM(H697:K697)&gt;0,1,0))</f>
        <v/>
      </c>
      <c r="N697" s="33" t="str">
        <f aca="false">IF(D697="","",IF(OR(COUNTIF('Target &amp; Team Lists'!$J$5:$J$204,D697)&gt;0,ISNUMBER(SEARCH("alpha nodus",F697))),"Yes","No"))</f>
        <v/>
      </c>
      <c r="O697" s="33" t="str">
        <f aca="false">IF(D697="","",IF(N697="Yes","No",IF(OR(AND(F697&lt;&gt;"",COUNTIF('Target &amp; Team Lists'!$A$5:$A$504,F697)&gt;0),COUNTIF('Target &amp; Team Lists'!$E$5:$E$504,D697)&gt;0),"Yes","No")))</f>
        <v/>
      </c>
      <c r="P697" s="31"/>
    </row>
    <row r="698" customFormat="false" ht="15" hidden="false" customHeight="false" outlineLevel="0" collapsed="false">
      <c r="A698" s="34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2" t="str">
        <f aca="false">IF(D698="","",IF(SUM(H698:K698)&gt;0,1,0))</f>
        <v/>
      </c>
      <c r="N698" s="33" t="str">
        <f aca="false">IF(D698="","",IF(OR(COUNTIF('Target &amp; Team Lists'!$J$5:$J$204,D698)&gt;0,ISNUMBER(SEARCH("alpha nodus",F698))),"Yes","No"))</f>
        <v/>
      </c>
      <c r="O698" s="33" t="str">
        <f aca="false">IF(D698="","",IF(N698="Yes","No",IF(OR(AND(F698&lt;&gt;"",COUNTIF('Target &amp; Team Lists'!$A$5:$A$504,F698)&gt;0),COUNTIF('Target &amp; Team Lists'!$E$5:$E$504,D698)&gt;0),"Yes","No")))</f>
        <v/>
      </c>
      <c r="P698" s="31"/>
    </row>
    <row r="699" customFormat="false" ht="15" hidden="false" customHeight="false" outlineLevel="0" collapsed="false">
      <c r="A699" s="34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2" t="str">
        <f aca="false">IF(D699="","",IF(SUM(H699:K699)&gt;0,1,0))</f>
        <v/>
      </c>
      <c r="N699" s="33" t="str">
        <f aca="false">IF(D699="","",IF(OR(COUNTIF('Target &amp; Team Lists'!$J$5:$J$204,D699)&gt;0,ISNUMBER(SEARCH("alpha nodus",F699))),"Yes","No"))</f>
        <v/>
      </c>
      <c r="O699" s="33" t="str">
        <f aca="false">IF(D699="","",IF(N699="Yes","No",IF(OR(AND(F699&lt;&gt;"",COUNTIF('Target &amp; Team Lists'!$A$5:$A$504,F699)&gt;0),COUNTIF('Target &amp; Team Lists'!$E$5:$E$504,D699)&gt;0),"Yes","No")))</f>
        <v/>
      </c>
      <c r="P699" s="31"/>
    </row>
    <row r="700" customFormat="false" ht="15" hidden="false" customHeight="false" outlineLevel="0" collapsed="false">
      <c r="A700" s="34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2" t="str">
        <f aca="false">IF(D700="","",IF(SUM(H700:K700)&gt;0,1,0))</f>
        <v/>
      </c>
      <c r="N700" s="33" t="str">
        <f aca="false">IF(D700="","",IF(OR(COUNTIF('Target &amp; Team Lists'!$J$5:$J$204,D700)&gt;0,ISNUMBER(SEARCH("alpha nodus",F700))),"Yes","No"))</f>
        <v/>
      </c>
      <c r="O700" s="33" t="str">
        <f aca="false">IF(D700="","",IF(N700="Yes","No",IF(OR(AND(F700&lt;&gt;"",COUNTIF('Target &amp; Team Lists'!$A$5:$A$504,F700)&gt;0),COUNTIF('Target &amp; Team Lists'!$E$5:$E$504,D700)&gt;0),"Yes","No")))</f>
        <v/>
      </c>
      <c r="P700" s="31"/>
    </row>
    <row r="701" customFormat="false" ht="15" hidden="false" customHeight="false" outlineLevel="0" collapsed="false">
      <c r="A701" s="34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2" t="str">
        <f aca="false">IF(D701="","",IF(SUM(H701:K701)&gt;0,1,0))</f>
        <v/>
      </c>
      <c r="N701" s="33" t="str">
        <f aca="false">IF(D701="","",IF(OR(COUNTIF('Target &amp; Team Lists'!$J$5:$J$204,D701)&gt;0,ISNUMBER(SEARCH("alpha nodus",F701))),"Yes","No"))</f>
        <v/>
      </c>
      <c r="O701" s="33" t="str">
        <f aca="false">IF(D701="","",IF(N701="Yes","No",IF(OR(AND(F701&lt;&gt;"",COUNTIF('Target &amp; Team Lists'!$A$5:$A$504,F701)&gt;0),COUNTIF('Target &amp; Team Lists'!$E$5:$E$504,D701)&gt;0),"Yes","No")))</f>
        <v/>
      </c>
      <c r="P701" s="31"/>
    </row>
    <row r="702" customFormat="false" ht="15" hidden="false" customHeight="false" outlineLevel="0" collapsed="false">
      <c r="A702" s="34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2" t="str">
        <f aca="false">IF(D702="","",IF(SUM(H702:K702)&gt;0,1,0))</f>
        <v/>
      </c>
      <c r="N702" s="33" t="str">
        <f aca="false">IF(D702="","",IF(OR(COUNTIF('Target &amp; Team Lists'!$J$5:$J$204,D702)&gt;0,ISNUMBER(SEARCH("alpha nodus",F702))),"Yes","No"))</f>
        <v/>
      </c>
      <c r="O702" s="33" t="str">
        <f aca="false">IF(D702="","",IF(N702="Yes","No",IF(OR(AND(F702&lt;&gt;"",COUNTIF('Target &amp; Team Lists'!$A$5:$A$504,F702)&gt;0),COUNTIF('Target &amp; Team Lists'!$E$5:$E$504,D702)&gt;0),"Yes","No")))</f>
        <v/>
      </c>
      <c r="P702" s="31"/>
    </row>
    <row r="703" customFormat="false" ht="15" hidden="false" customHeight="false" outlineLevel="0" collapsed="false">
      <c r="A703" s="34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2" t="str">
        <f aca="false">IF(D703="","",IF(SUM(H703:K703)&gt;0,1,0))</f>
        <v/>
      </c>
      <c r="N703" s="33" t="str">
        <f aca="false">IF(D703="","",IF(OR(COUNTIF('Target &amp; Team Lists'!$J$5:$J$204,D703)&gt;0,ISNUMBER(SEARCH("alpha nodus",F703))),"Yes","No"))</f>
        <v/>
      </c>
      <c r="O703" s="33" t="str">
        <f aca="false">IF(D703="","",IF(N703="Yes","No",IF(OR(AND(F703&lt;&gt;"",COUNTIF('Target &amp; Team Lists'!$A$5:$A$504,F703)&gt;0),COUNTIF('Target &amp; Team Lists'!$E$5:$E$504,D703)&gt;0),"Yes","No")))</f>
        <v/>
      </c>
      <c r="P703" s="31"/>
    </row>
    <row r="704" customFormat="false" ht="15" hidden="false" customHeight="false" outlineLevel="0" collapsed="false">
      <c r="A704" s="34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2" t="str">
        <f aca="false">IF(D704="","",IF(SUM(H704:K704)&gt;0,1,0))</f>
        <v/>
      </c>
      <c r="N704" s="33" t="str">
        <f aca="false">IF(D704="","",IF(OR(COUNTIF('Target &amp; Team Lists'!$J$5:$J$204,D704)&gt;0,ISNUMBER(SEARCH("alpha nodus",F704))),"Yes","No"))</f>
        <v/>
      </c>
      <c r="O704" s="33" t="str">
        <f aca="false">IF(D704="","",IF(N704="Yes","No",IF(OR(AND(F704&lt;&gt;"",COUNTIF('Target &amp; Team Lists'!$A$5:$A$504,F704)&gt;0),COUNTIF('Target &amp; Team Lists'!$E$5:$E$504,D704)&gt;0),"Yes","No")))</f>
        <v/>
      </c>
      <c r="P704" s="31"/>
    </row>
    <row r="705" customFormat="false" ht="15" hidden="false" customHeight="false" outlineLevel="0" collapsed="false">
      <c r="A705" s="34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2" t="str">
        <f aca="false">IF(D705="","",IF(SUM(H705:K705)&gt;0,1,0))</f>
        <v/>
      </c>
      <c r="N705" s="33" t="str">
        <f aca="false">IF(D705="","",IF(OR(COUNTIF('Target &amp; Team Lists'!$J$5:$J$204,D705)&gt;0,ISNUMBER(SEARCH("alpha nodus",F705))),"Yes","No"))</f>
        <v/>
      </c>
      <c r="O705" s="33" t="str">
        <f aca="false">IF(D705="","",IF(N705="Yes","No",IF(OR(AND(F705&lt;&gt;"",COUNTIF('Target &amp; Team Lists'!$A$5:$A$504,F705)&gt;0),COUNTIF('Target &amp; Team Lists'!$E$5:$E$504,D705)&gt;0),"Yes","No")))</f>
        <v/>
      </c>
      <c r="P705" s="31"/>
    </row>
    <row r="706" customFormat="false" ht="15" hidden="false" customHeight="false" outlineLevel="0" collapsed="false">
      <c r="A706" s="34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2" t="str">
        <f aca="false">IF(D706="","",IF(SUM(H706:K706)&gt;0,1,0))</f>
        <v/>
      </c>
      <c r="N706" s="33" t="str">
        <f aca="false">IF(D706="","",IF(OR(COUNTIF('Target &amp; Team Lists'!$J$5:$J$204,D706)&gt;0,ISNUMBER(SEARCH("alpha nodus",F706))),"Yes","No"))</f>
        <v/>
      </c>
      <c r="O706" s="33" t="str">
        <f aca="false">IF(D706="","",IF(N706="Yes","No",IF(OR(AND(F706&lt;&gt;"",COUNTIF('Target &amp; Team Lists'!$A$5:$A$504,F706)&gt;0),COUNTIF('Target &amp; Team Lists'!$E$5:$E$504,D706)&gt;0),"Yes","No")))</f>
        <v/>
      </c>
      <c r="P706" s="31"/>
    </row>
    <row r="707" customFormat="false" ht="15" hidden="false" customHeight="false" outlineLevel="0" collapsed="false">
      <c r="A707" s="34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2" t="str">
        <f aca="false">IF(D707="","",IF(SUM(H707:K707)&gt;0,1,0))</f>
        <v/>
      </c>
      <c r="N707" s="33" t="str">
        <f aca="false">IF(D707="","",IF(OR(COUNTIF('Target &amp; Team Lists'!$J$5:$J$204,D707)&gt;0,ISNUMBER(SEARCH("alpha nodus",F707))),"Yes","No"))</f>
        <v/>
      </c>
      <c r="O707" s="33" t="str">
        <f aca="false">IF(D707="","",IF(N707="Yes","No",IF(OR(AND(F707&lt;&gt;"",COUNTIF('Target &amp; Team Lists'!$A$5:$A$504,F707)&gt;0),COUNTIF('Target &amp; Team Lists'!$E$5:$E$504,D707)&gt;0),"Yes","No")))</f>
        <v/>
      </c>
      <c r="P707" s="31"/>
    </row>
    <row r="708" customFormat="false" ht="15" hidden="false" customHeight="false" outlineLevel="0" collapsed="false">
      <c r="A708" s="34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2" t="str">
        <f aca="false">IF(D708="","",IF(SUM(H708:K708)&gt;0,1,0))</f>
        <v/>
      </c>
      <c r="N708" s="33" t="str">
        <f aca="false">IF(D708="","",IF(OR(COUNTIF('Target &amp; Team Lists'!$J$5:$J$204,D708)&gt;0,ISNUMBER(SEARCH("alpha nodus",F708))),"Yes","No"))</f>
        <v/>
      </c>
      <c r="O708" s="33" t="str">
        <f aca="false">IF(D708="","",IF(N708="Yes","No",IF(OR(AND(F708&lt;&gt;"",COUNTIF('Target &amp; Team Lists'!$A$5:$A$504,F708)&gt;0),COUNTIF('Target &amp; Team Lists'!$E$5:$E$504,D708)&gt;0),"Yes","No")))</f>
        <v/>
      </c>
      <c r="P708" s="31"/>
    </row>
    <row r="709" customFormat="false" ht="15" hidden="false" customHeight="false" outlineLevel="0" collapsed="false">
      <c r="A709" s="34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2" t="str">
        <f aca="false">IF(D709="","",IF(SUM(H709:K709)&gt;0,1,0))</f>
        <v/>
      </c>
      <c r="N709" s="33" t="str">
        <f aca="false">IF(D709="","",IF(OR(COUNTIF('Target &amp; Team Lists'!$J$5:$J$204,D709)&gt;0,ISNUMBER(SEARCH("alpha nodus",F709))),"Yes","No"))</f>
        <v/>
      </c>
      <c r="O709" s="33" t="str">
        <f aca="false">IF(D709="","",IF(N709="Yes","No",IF(OR(AND(F709&lt;&gt;"",COUNTIF('Target &amp; Team Lists'!$A$5:$A$504,F709)&gt;0),COUNTIF('Target &amp; Team Lists'!$E$5:$E$504,D709)&gt;0),"Yes","No")))</f>
        <v/>
      </c>
      <c r="P709" s="31"/>
    </row>
    <row r="710" customFormat="false" ht="15" hidden="false" customHeight="false" outlineLevel="0" collapsed="false">
      <c r="A710" s="34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2" t="str">
        <f aca="false">IF(D710="","",IF(SUM(H710:K710)&gt;0,1,0))</f>
        <v/>
      </c>
      <c r="N710" s="33" t="str">
        <f aca="false">IF(D710="","",IF(OR(COUNTIF('Target &amp; Team Lists'!$J$5:$J$204,D710)&gt;0,ISNUMBER(SEARCH("alpha nodus",F710))),"Yes","No"))</f>
        <v/>
      </c>
      <c r="O710" s="33" t="str">
        <f aca="false">IF(D710="","",IF(N710="Yes","No",IF(OR(AND(F710&lt;&gt;"",COUNTIF('Target &amp; Team Lists'!$A$5:$A$504,F710)&gt;0),COUNTIF('Target &amp; Team Lists'!$E$5:$E$504,D710)&gt;0),"Yes","No")))</f>
        <v/>
      </c>
      <c r="P710" s="31"/>
    </row>
    <row r="711" customFormat="false" ht="15" hidden="false" customHeight="false" outlineLevel="0" collapsed="false">
      <c r="A711" s="34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2" t="str">
        <f aca="false">IF(D711="","",IF(SUM(H711:K711)&gt;0,1,0))</f>
        <v/>
      </c>
      <c r="N711" s="33" t="str">
        <f aca="false">IF(D711="","",IF(OR(COUNTIF('Target &amp; Team Lists'!$J$5:$J$204,D711)&gt;0,ISNUMBER(SEARCH("alpha nodus",F711))),"Yes","No"))</f>
        <v/>
      </c>
      <c r="O711" s="33" t="str">
        <f aca="false">IF(D711="","",IF(N711="Yes","No",IF(OR(AND(F711&lt;&gt;"",COUNTIF('Target &amp; Team Lists'!$A$5:$A$504,F711)&gt;0),COUNTIF('Target &amp; Team Lists'!$E$5:$E$504,D711)&gt;0),"Yes","No")))</f>
        <v/>
      </c>
      <c r="P711" s="31"/>
    </row>
    <row r="712" customFormat="false" ht="15" hidden="false" customHeight="false" outlineLevel="0" collapsed="false">
      <c r="A712" s="34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2" t="str">
        <f aca="false">IF(D712="","",IF(SUM(H712:K712)&gt;0,1,0))</f>
        <v/>
      </c>
      <c r="N712" s="33" t="str">
        <f aca="false">IF(D712="","",IF(OR(COUNTIF('Target &amp; Team Lists'!$J$5:$J$204,D712)&gt;0,ISNUMBER(SEARCH("alpha nodus",F712))),"Yes","No"))</f>
        <v/>
      </c>
      <c r="O712" s="33" t="str">
        <f aca="false">IF(D712="","",IF(N712="Yes","No",IF(OR(AND(F712&lt;&gt;"",COUNTIF('Target &amp; Team Lists'!$A$5:$A$504,F712)&gt;0),COUNTIF('Target &amp; Team Lists'!$E$5:$E$504,D712)&gt;0),"Yes","No")))</f>
        <v/>
      </c>
      <c r="P712" s="31"/>
    </row>
    <row r="713" customFormat="false" ht="15" hidden="false" customHeight="false" outlineLevel="0" collapsed="false">
      <c r="A713" s="34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2" t="str">
        <f aca="false">IF(D713="","",IF(SUM(H713:K713)&gt;0,1,0))</f>
        <v/>
      </c>
      <c r="N713" s="33" t="str">
        <f aca="false">IF(D713="","",IF(OR(COUNTIF('Target &amp; Team Lists'!$J$5:$J$204,D713)&gt;0,ISNUMBER(SEARCH("alpha nodus",F713))),"Yes","No"))</f>
        <v/>
      </c>
      <c r="O713" s="33" t="str">
        <f aca="false">IF(D713="","",IF(N713="Yes","No",IF(OR(AND(F713&lt;&gt;"",COUNTIF('Target &amp; Team Lists'!$A$5:$A$504,F713)&gt;0),COUNTIF('Target &amp; Team Lists'!$E$5:$E$504,D713)&gt;0),"Yes","No")))</f>
        <v/>
      </c>
      <c r="P713" s="31"/>
    </row>
    <row r="714" customFormat="false" ht="15" hidden="false" customHeight="false" outlineLevel="0" collapsed="false">
      <c r="A714" s="34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2" t="str">
        <f aca="false">IF(D714="","",IF(SUM(H714:K714)&gt;0,1,0))</f>
        <v/>
      </c>
      <c r="N714" s="33" t="str">
        <f aca="false">IF(D714="","",IF(OR(COUNTIF('Target &amp; Team Lists'!$J$5:$J$204,D714)&gt;0,ISNUMBER(SEARCH("alpha nodus",F714))),"Yes","No"))</f>
        <v/>
      </c>
      <c r="O714" s="33" t="str">
        <f aca="false">IF(D714="","",IF(N714="Yes","No",IF(OR(AND(F714&lt;&gt;"",COUNTIF('Target &amp; Team Lists'!$A$5:$A$504,F714)&gt;0),COUNTIF('Target &amp; Team Lists'!$E$5:$E$504,D714)&gt;0),"Yes","No")))</f>
        <v/>
      </c>
      <c r="P714" s="31"/>
    </row>
    <row r="715" customFormat="false" ht="15" hidden="false" customHeight="false" outlineLevel="0" collapsed="false">
      <c r="A715" s="34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2" t="str">
        <f aca="false">IF(D715="","",IF(SUM(H715:K715)&gt;0,1,0))</f>
        <v/>
      </c>
      <c r="N715" s="33" t="str">
        <f aca="false">IF(D715="","",IF(OR(COUNTIF('Target &amp; Team Lists'!$J$5:$J$204,D715)&gt;0,ISNUMBER(SEARCH("alpha nodus",F715))),"Yes","No"))</f>
        <v/>
      </c>
      <c r="O715" s="33" t="str">
        <f aca="false">IF(D715="","",IF(N715="Yes","No",IF(OR(AND(F715&lt;&gt;"",COUNTIF('Target &amp; Team Lists'!$A$5:$A$504,F715)&gt;0),COUNTIF('Target &amp; Team Lists'!$E$5:$E$504,D715)&gt;0),"Yes","No")))</f>
        <v/>
      </c>
      <c r="P715" s="31"/>
    </row>
    <row r="716" customFormat="false" ht="15" hidden="false" customHeight="false" outlineLevel="0" collapsed="false">
      <c r="A716" s="34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2" t="str">
        <f aca="false">IF(D716="","",IF(SUM(H716:K716)&gt;0,1,0))</f>
        <v/>
      </c>
      <c r="N716" s="33" t="str">
        <f aca="false">IF(D716="","",IF(OR(COUNTIF('Target &amp; Team Lists'!$J$5:$J$204,D716)&gt;0,ISNUMBER(SEARCH("alpha nodus",F716))),"Yes","No"))</f>
        <v/>
      </c>
      <c r="O716" s="33" t="str">
        <f aca="false">IF(D716="","",IF(N716="Yes","No",IF(OR(AND(F716&lt;&gt;"",COUNTIF('Target &amp; Team Lists'!$A$5:$A$504,F716)&gt;0),COUNTIF('Target &amp; Team Lists'!$E$5:$E$504,D716)&gt;0),"Yes","No")))</f>
        <v/>
      </c>
      <c r="P716" s="31"/>
    </row>
    <row r="717" customFormat="false" ht="15" hidden="false" customHeight="false" outlineLevel="0" collapsed="false">
      <c r="A717" s="34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2" t="str">
        <f aca="false">IF(D717="","",IF(SUM(H717:K717)&gt;0,1,0))</f>
        <v/>
      </c>
      <c r="N717" s="33" t="str">
        <f aca="false">IF(D717="","",IF(OR(COUNTIF('Target &amp; Team Lists'!$J$5:$J$204,D717)&gt;0,ISNUMBER(SEARCH("alpha nodus",F717))),"Yes","No"))</f>
        <v/>
      </c>
      <c r="O717" s="33" t="str">
        <f aca="false">IF(D717="","",IF(N717="Yes","No",IF(OR(AND(F717&lt;&gt;"",COUNTIF('Target &amp; Team Lists'!$A$5:$A$504,F717)&gt;0),COUNTIF('Target &amp; Team Lists'!$E$5:$E$504,D717)&gt;0),"Yes","No")))</f>
        <v/>
      </c>
      <c r="P717" s="31"/>
    </row>
    <row r="718" customFormat="false" ht="15" hidden="false" customHeight="false" outlineLevel="0" collapsed="false">
      <c r="A718" s="34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2" t="str">
        <f aca="false">IF(D718="","",IF(SUM(H718:K718)&gt;0,1,0))</f>
        <v/>
      </c>
      <c r="N718" s="33" t="str">
        <f aca="false">IF(D718="","",IF(OR(COUNTIF('Target &amp; Team Lists'!$J$5:$J$204,D718)&gt;0,ISNUMBER(SEARCH("alpha nodus",F718))),"Yes","No"))</f>
        <v/>
      </c>
      <c r="O718" s="33" t="str">
        <f aca="false">IF(D718="","",IF(N718="Yes","No",IF(OR(AND(F718&lt;&gt;"",COUNTIF('Target &amp; Team Lists'!$A$5:$A$504,F718)&gt;0),COUNTIF('Target &amp; Team Lists'!$E$5:$E$504,D718)&gt;0),"Yes","No")))</f>
        <v/>
      </c>
      <c r="P718" s="31"/>
    </row>
    <row r="719" customFormat="false" ht="15" hidden="false" customHeight="false" outlineLevel="0" collapsed="false">
      <c r="A719" s="34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2" t="str">
        <f aca="false">IF(D719="","",IF(SUM(H719:K719)&gt;0,1,0))</f>
        <v/>
      </c>
      <c r="N719" s="33" t="str">
        <f aca="false">IF(D719="","",IF(OR(COUNTIF('Target &amp; Team Lists'!$J$5:$J$204,D719)&gt;0,ISNUMBER(SEARCH("alpha nodus",F719))),"Yes","No"))</f>
        <v/>
      </c>
      <c r="O719" s="33" t="str">
        <f aca="false">IF(D719="","",IF(N719="Yes","No",IF(OR(AND(F719&lt;&gt;"",COUNTIF('Target &amp; Team Lists'!$A$5:$A$504,F719)&gt;0),COUNTIF('Target &amp; Team Lists'!$E$5:$E$504,D719)&gt;0),"Yes","No")))</f>
        <v/>
      </c>
      <c r="P719" s="31"/>
    </row>
    <row r="720" customFormat="false" ht="15" hidden="false" customHeight="false" outlineLevel="0" collapsed="false">
      <c r="A720" s="34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2" t="str">
        <f aca="false">IF(D720="","",IF(SUM(H720:K720)&gt;0,1,0))</f>
        <v/>
      </c>
      <c r="N720" s="33" t="str">
        <f aca="false">IF(D720="","",IF(OR(COUNTIF('Target &amp; Team Lists'!$J$5:$J$204,D720)&gt;0,ISNUMBER(SEARCH("alpha nodus",F720))),"Yes","No"))</f>
        <v/>
      </c>
      <c r="O720" s="33" t="str">
        <f aca="false">IF(D720="","",IF(N720="Yes","No",IF(OR(AND(F720&lt;&gt;"",COUNTIF('Target &amp; Team Lists'!$A$5:$A$504,F720)&gt;0),COUNTIF('Target &amp; Team Lists'!$E$5:$E$504,D720)&gt;0),"Yes","No")))</f>
        <v/>
      </c>
      <c r="P720" s="31"/>
    </row>
    <row r="721" customFormat="false" ht="15" hidden="false" customHeight="false" outlineLevel="0" collapsed="false">
      <c r="A721" s="34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2" t="str">
        <f aca="false">IF(D721="","",IF(SUM(H721:K721)&gt;0,1,0))</f>
        <v/>
      </c>
      <c r="N721" s="33" t="str">
        <f aca="false">IF(D721="","",IF(OR(COUNTIF('Target &amp; Team Lists'!$J$5:$J$204,D721)&gt;0,ISNUMBER(SEARCH("alpha nodus",F721))),"Yes","No"))</f>
        <v/>
      </c>
      <c r="O721" s="33" t="str">
        <f aca="false">IF(D721="","",IF(N721="Yes","No",IF(OR(AND(F721&lt;&gt;"",COUNTIF('Target &amp; Team Lists'!$A$5:$A$504,F721)&gt;0),COUNTIF('Target &amp; Team Lists'!$E$5:$E$504,D721)&gt;0),"Yes","No")))</f>
        <v/>
      </c>
      <c r="P721" s="31"/>
    </row>
    <row r="722" customFormat="false" ht="15" hidden="false" customHeight="false" outlineLevel="0" collapsed="false">
      <c r="A722" s="34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2" t="str">
        <f aca="false">IF(D722="","",IF(SUM(H722:K722)&gt;0,1,0))</f>
        <v/>
      </c>
      <c r="N722" s="33" t="str">
        <f aca="false">IF(D722="","",IF(OR(COUNTIF('Target &amp; Team Lists'!$J$5:$J$204,D722)&gt;0,ISNUMBER(SEARCH("alpha nodus",F722))),"Yes","No"))</f>
        <v/>
      </c>
      <c r="O722" s="33" t="str">
        <f aca="false">IF(D722="","",IF(N722="Yes","No",IF(OR(AND(F722&lt;&gt;"",COUNTIF('Target &amp; Team Lists'!$A$5:$A$504,F722)&gt;0),COUNTIF('Target &amp; Team Lists'!$E$5:$E$504,D722)&gt;0),"Yes","No")))</f>
        <v/>
      </c>
      <c r="P722" s="31"/>
    </row>
    <row r="723" customFormat="false" ht="15" hidden="false" customHeight="false" outlineLevel="0" collapsed="false">
      <c r="A723" s="34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2" t="str">
        <f aca="false">IF(D723="","",IF(SUM(H723:K723)&gt;0,1,0))</f>
        <v/>
      </c>
      <c r="N723" s="33" t="str">
        <f aca="false">IF(D723="","",IF(OR(COUNTIF('Target &amp; Team Lists'!$J$5:$J$204,D723)&gt;0,ISNUMBER(SEARCH("alpha nodus",F723))),"Yes","No"))</f>
        <v/>
      </c>
      <c r="O723" s="33" t="str">
        <f aca="false">IF(D723="","",IF(N723="Yes","No",IF(OR(AND(F723&lt;&gt;"",COUNTIF('Target &amp; Team Lists'!$A$5:$A$504,F723)&gt;0),COUNTIF('Target &amp; Team Lists'!$E$5:$E$504,D723)&gt;0),"Yes","No")))</f>
        <v/>
      </c>
      <c r="P723" s="31"/>
    </row>
    <row r="724" customFormat="false" ht="15" hidden="false" customHeight="false" outlineLevel="0" collapsed="false">
      <c r="A724" s="34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2" t="str">
        <f aca="false">IF(D724="","",IF(SUM(H724:K724)&gt;0,1,0))</f>
        <v/>
      </c>
      <c r="N724" s="33" t="str">
        <f aca="false">IF(D724="","",IF(OR(COUNTIF('Target &amp; Team Lists'!$J$5:$J$204,D724)&gt;0,ISNUMBER(SEARCH("alpha nodus",F724))),"Yes","No"))</f>
        <v/>
      </c>
      <c r="O724" s="33" t="str">
        <f aca="false">IF(D724="","",IF(N724="Yes","No",IF(OR(AND(F724&lt;&gt;"",COUNTIF('Target &amp; Team Lists'!$A$5:$A$504,F724)&gt;0),COUNTIF('Target &amp; Team Lists'!$E$5:$E$504,D724)&gt;0),"Yes","No")))</f>
        <v/>
      </c>
      <c r="P724" s="31"/>
    </row>
    <row r="725" customFormat="false" ht="15" hidden="false" customHeight="false" outlineLevel="0" collapsed="false">
      <c r="A725" s="34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2" t="str">
        <f aca="false">IF(D725="","",IF(SUM(H725:K725)&gt;0,1,0))</f>
        <v/>
      </c>
      <c r="N725" s="33" t="str">
        <f aca="false">IF(D725="","",IF(OR(COUNTIF('Target &amp; Team Lists'!$J$5:$J$204,D725)&gt;0,ISNUMBER(SEARCH("alpha nodus",F725))),"Yes","No"))</f>
        <v/>
      </c>
      <c r="O725" s="33" t="str">
        <f aca="false">IF(D725="","",IF(N725="Yes","No",IF(OR(AND(F725&lt;&gt;"",COUNTIF('Target &amp; Team Lists'!$A$5:$A$504,F725)&gt;0),COUNTIF('Target &amp; Team Lists'!$E$5:$E$504,D725)&gt;0),"Yes","No")))</f>
        <v/>
      </c>
      <c r="P725" s="31"/>
    </row>
    <row r="726" customFormat="false" ht="15" hidden="false" customHeight="false" outlineLevel="0" collapsed="false">
      <c r="A726" s="34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2" t="str">
        <f aca="false">IF(D726="","",IF(SUM(H726:K726)&gt;0,1,0))</f>
        <v/>
      </c>
      <c r="N726" s="33" t="str">
        <f aca="false">IF(D726="","",IF(OR(COUNTIF('Target &amp; Team Lists'!$J$5:$J$204,D726)&gt;0,ISNUMBER(SEARCH("alpha nodus",F726))),"Yes","No"))</f>
        <v/>
      </c>
      <c r="O726" s="33" t="str">
        <f aca="false">IF(D726="","",IF(N726="Yes","No",IF(OR(AND(F726&lt;&gt;"",COUNTIF('Target &amp; Team Lists'!$A$5:$A$504,F726)&gt;0),COUNTIF('Target &amp; Team Lists'!$E$5:$E$504,D726)&gt;0),"Yes","No")))</f>
        <v/>
      </c>
      <c r="P726" s="31"/>
    </row>
    <row r="727" customFormat="false" ht="15" hidden="false" customHeight="false" outlineLevel="0" collapsed="false">
      <c r="A727" s="34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2" t="str">
        <f aca="false">IF(D727="","",IF(SUM(H727:K727)&gt;0,1,0))</f>
        <v/>
      </c>
      <c r="N727" s="33" t="str">
        <f aca="false">IF(D727="","",IF(OR(COUNTIF('Target &amp; Team Lists'!$J$5:$J$204,D727)&gt;0,ISNUMBER(SEARCH("alpha nodus",F727))),"Yes","No"))</f>
        <v/>
      </c>
      <c r="O727" s="33" t="str">
        <f aca="false">IF(D727="","",IF(N727="Yes","No",IF(OR(AND(F727&lt;&gt;"",COUNTIF('Target &amp; Team Lists'!$A$5:$A$504,F727)&gt;0),COUNTIF('Target &amp; Team Lists'!$E$5:$E$504,D727)&gt;0),"Yes","No")))</f>
        <v/>
      </c>
      <c r="P727" s="31"/>
    </row>
    <row r="728" customFormat="false" ht="15" hidden="false" customHeight="false" outlineLevel="0" collapsed="false">
      <c r="A728" s="34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2" t="str">
        <f aca="false">IF(D728="","",IF(SUM(H728:K728)&gt;0,1,0))</f>
        <v/>
      </c>
      <c r="N728" s="33" t="str">
        <f aca="false">IF(D728="","",IF(OR(COUNTIF('Target &amp; Team Lists'!$J$5:$J$204,D728)&gt;0,ISNUMBER(SEARCH("alpha nodus",F728))),"Yes","No"))</f>
        <v/>
      </c>
      <c r="O728" s="33" t="str">
        <f aca="false">IF(D728="","",IF(N728="Yes","No",IF(OR(AND(F728&lt;&gt;"",COUNTIF('Target &amp; Team Lists'!$A$5:$A$504,F728)&gt;0),COUNTIF('Target &amp; Team Lists'!$E$5:$E$504,D728)&gt;0),"Yes","No")))</f>
        <v/>
      </c>
      <c r="P728" s="31"/>
    </row>
    <row r="729" customFormat="false" ht="15" hidden="false" customHeight="false" outlineLevel="0" collapsed="false">
      <c r="A729" s="34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2" t="str">
        <f aca="false">IF(D729="","",IF(SUM(H729:K729)&gt;0,1,0))</f>
        <v/>
      </c>
      <c r="N729" s="33" t="str">
        <f aca="false">IF(D729="","",IF(OR(COUNTIF('Target &amp; Team Lists'!$J$5:$J$204,D729)&gt;0,ISNUMBER(SEARCH("alpha nodus",F729))),"Yes","No"))</f>
        <v/>
      </c>
      <c r="O729" s="33" t="str">
        <f aca="false">IF(D729="","",IF(N729="Yes","No",IF(OR(AND(F729&lt;&gt;"",COUNTIF('Target &amp; Team Lists'!$A$5:$A$504,F729)&gt;0),COUNTIF('Target &amp; Team Lists'!$E$5:$E$504,D729)&gt;0),"Yes","No")))</f>
        <v/>
      </c>
      <c r="P729" s="31"/>
    </row>
    <row r="730" customFormat="false" ht="15" hidden="false" customHeight="false" outlineLevel="0" collapsed="false">
      <c r="A730" s="34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2" t="str">
        <f aca="false">IF(D730="","",IF(SUM(H730:K730)&gt;0,1,0))</f>
        <v/>
      </c>
      <c r="N730" s="33" t="str">
        <f aca="false">IF(D730="","",IF(OR(COUNTIF('Target &amp; Team Lists'!$J$5:$J$204,D730)&gt;0,ISNUMBER(SEARCH("alpha nodus",F730))),"Yes","No"))</f>
        <v/>
      </c>
      <c r="O730" s="33" t="str">
        <f aca="false">IF(D730="","",IF(N730="Yes","No",IF(OR(AND(F730&lt;&gt;"",COUNTIF('Target &amp; Team Lists'!$A$5:$A$504,F730)&gt;0),COUNTIF('Target &amp; Team Lists'!$E$5:$E$504,D730)&gt;0),"Yes","No")))</f>
        <v/>
      </c>
      <c r="P730" s="31"/>
    </row>
    <row r="731" customFormat="false" ht="15" hidden="false" customHeight="false" outlineLevel="0" collapsed="false">
      <c r="A731" s="34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2" t="str">
        <f aca="false">IF(D731="","",IF(SUM(H731:K731)&gt;0,1,0))</f>
        <v/>
      </c>
      <c r="N731" s="33" t="str">
        <f aca="false">IF(D731="","",IF(OR(COUNTIF('Target &amp; Team Lists'!$J$5:$J$204,D731)&gt;0,ISNUMBER(SEARCH("alpha nodus",F731))),"Yes","No"))</f>
        <v/>
      </c>
      <c r="O731" s="33" t="str">
        <f aca="false">IF(D731="","",IF(N731="Yes","No",IF(OR(AND(F731&lt;&gt;"",COUNTIF('Target &amp; Team Lists'!$A$5:$A$504,F731)&gt;0),COUNTIF('Target &amp; Team Lists'!$E$5:$E$504,D731)&gt;0),"Yes","No")))</f>
        <v/>
      </c>
      <c r="P731" s="31"/>
    </row>
    <row r="732" customFormat="false" ht="15" hidden="false" customHeight="false" outlineLevel="0" collapsed="false">
      <c r="A732" s="34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2" t="str">
        <f aca="false">IF(D732="","",IF(SUM(H732:K732)&gt;0,1,0))</f>
        <v/>
      </c>
      <c r="N732" s="33" t="str">
        <f aca="false">IF(D732="","",IF(OR(COUNTIF('Target &amp; Team Lists'!$J$5:$J$204,D732)&gt;0,ISNUMBER(SEARCH("alpha nodus",F732))),"Yes","No"))</f>
        <v/>
      </c>
      <c r="O732" s="33" t="str">
        <f aca="false">IF(D732="","",IF(N732="Yes","No",IF(OR(AND(F732&lt;&gt;"",COUNTIF('Target &amp; Team Lists'!$A$5:$A$504,F732)&gt;0),COUNTIF('Target &amp; Team Lists'!$E$5:$E$504,D732)&gt;0),"Yes","No")))</f>
        <v/>
      </c>
      <c r="P732" s="31"/>
    </row>
    <row r="733" customFormat="false" ht="15" hidden="false" customHeight="false" outlineLevel="0" collapsed="false">
      <c r="A733" s="34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2" t="str">
        <f aca="false">IF(D733="","",IF(SUM(H733:K733)&gt;0,1,0))</f>
        <v/>
      </c>
      <c r="N733" s="33" t="str">
        <f aca="false">IF(D733="","",IF(OR(COUNTIF('Target &amp; Team Lists'!$J$5:$J$204,D733)&gt;0,ISNUMBER(SEARCH("alpha nodus",F733))),"Yes","No"))</f>
        <v/>
      </c>
      <c r="O733" s="33" t="str">
        <f aca="false">IF(D733="","",IF(N733="Yes","No",IF(OR(AND(F733&lt;&gt;"",COUNTIF('Target &amp; Team Lists'!$A$5:$A$504,F733)&gt;0),COUNTIF('Target &amp; Team Lists'!$E$5:$E$504,D733)&gt;0),"Yes","No")))</f>
        <v/>
      </c>
      <c r="P733" s="31"/>
    </row>
    <row r="734" customFormat="false" ht="15" hidden="false" customHeight="false" outlineLevel="0" collapsed="false">
      <c r="A734" s="34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2" t="str">
        <f aca="false">IF(D734="","",IF(SUM(H734:K734)&gt;0,1,0))</f>
        <v/>
      </c>
      <c r="N734" s="33" t="str">
        <f aca="false">IF(D734="","",IF(OR(COUNTIF('Target &amp; Team Lists'!$J$5:$J$204,D734)&gt;0,ISNUMBER(SEARCH("alpha nodus",F734))),"Yes","No"))</f>
        <v/>
      </c>
      <c r="O734" s="33" t="str">
        <f aca="false">IF(D734="","",IF(N734="Yes","No",IF(OR(AND(F734&lt;&gt;"",COUNTIF('Target &amp; Team Lists'!$A$5:$A$504,F734)&gt;0),COUNTIF('Target &amp; Team Lists'!$E$5:$E$504,D734)&gt;0),"Yes","No")))</f>
        <v/>
      </c>
      <c r="P734" s="31"/>
    </row>
    <row r="735" customFormat="false" ht="15" hidden="false" customHeight="false" outlineLevel="0" collapsed="false">
      <c r="A735" s="34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2" t="str">
        <f aca="false">IF(D735="","",IF(SUM(H735:K735)&gt;0,1,0))</f>
        <v/>
      </c>
      <c r="N735" s="33" t="str">
        <f aca="false">IF(D735="","",IF(OR(COUNTIF('Target &amp; Team Lists'!$J$5:$J$204,D735)&gt;0,ISNUMBER(SEARCH("alpha nodus",F735))),"Yes","No"))</f>
        <v/>
      </c>
      <c r="O735" s="33" t="str">
        <f aca="false">IF(D735="","",IF(N735="Yes","No",IF(OR(AND(F735&lt;&gt;"",COUNTIF('Target &amp; Team Lists'!$A$5:$A$504,F735)&gt;0),COUNTIF('Target &amp; Team Lists'!$E$5:$E$504,D735)&gt;0),"Yes","No")))</f>
        <v/>
      </c>
      <c r="P735" s="31"/>
    </row>
    <row r="736" customFormat="false" ht="15" hidden="false" customHeight="false" outlineLevel="0" collapsed="false">
      <c r="A736" s="34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2" t="str">
        <f aca="false">IF(D736="","",IF(SUM(H736:K736)&gt;0,1,0))</f>
        <v/>
      </c>
      <c r="N736" s="33" t="str">
        <f aca="false">IF(D736="","",IF(OR(COUNTIF('Target &amp; Team Lists'!$J$5:$J$204,D736)&gt;0,ISNUMBER(SEARCH("alpha nodus",F736))),"Yes","No"))</f>
        <v/>
      </c>
      <c r="O736" s="33" t="str">
        <f aca="false">IF(D736="","",IF(N736="Yes","No",IF(OR(AND(F736&lt;&gt;"",COUNTIF('Target &amp; Team Lists'!$A$5:$A$504,F736)&gt;0),COUNTIF('Target &amp; Team Lists'!$E$5:$E$504,D736)&gt;0),"Yes","No")))</f>
        <v/>
      </c>
      <c r="P736" s="31"/>
    </row>
    <row r="737" customFormat="false" ht="15" hidden="false" customHeight="false" outlineLevel="0" collapsed="false">
      <c r="A737" s="34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2" t="str">
        <f aca="false">IF(D737="","",IF(SUM(H737:K737)&gt;0,1,0))</f>
        <v/>
      </c>
      <c r="N737" s="33" t="str">
        <f aca="false">IF(D737="","",IF(OR(COUNTIF('Target &amp; Team Lists'!$J$5:$J$204,D737)&gt;0,ISNUMBER(SEARCH("alpha nodus",F737))),"Yes","No"))</f>
        <v/>
      </c>
      <c r="O737" s="33" t="str">
        <f aca="false">IF(D737="","",IF(N737="Yes","No",IF(OR(AND(F737&lt;&gt;"",COUNTIF('Target &amp; Team Lists'!$A$5:$A$504,F737)&gt;0),COUNTIF('Target &amp; Team Lists'!$E$5:$E$504,D737)&gt;0),"Yes","No")))</f>
        <v/>
      </c>
      <c r="P737" s="31"/>
    </row>
    <row r="738" customFormat="false" ht="15" hidden="false" customHeight="false" outlineLevel="0" collapsed="false">
      <c r="A738" s="34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2" t="str">
        <f aca="false">IF(D738="","",IF(SUM(H738:K738)&gt;0,1,0))</f>
        <v/>
      </c>
      <c r="N738" s="33" t="str">
        <f aca="false">IF(D738="","",IF(OR(COUNTIF('Target &amp; Team Lists'!$J$5:$J$204,D738)&gt;0,ISNUMBER(SEARCH("alpha nodus",F738))),"Yes","No"))</f>
        <v/>
      </c>
      <c r="O738" s="33" t="str">
        <f aca="false">IF(D738="","",IF(N738="Yes","No",IF(OR(AND(F738&lt;&gt;"",COUNTIF('Target &amp; Team Lists'!$A$5:$A$504,F738)&gt;0),COUNTIF('Target &amp; Team Lists'!$E$5:$E$504,D738)&gt;0),"Yes","No")))</f>
        <v/>
      </c>
      <c r="P738" s="31"/>
    </row>
    <row r="739" customFormat="false" ht="15" hidden="false" customHeight="false" outlineLevel="0" collapsed="false">
      <c r="A739" s="34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2" t="str">
        <f aca="false">IF(D739="","",IF(SUM(H739:K739)&gt;0,1,0))</f>
        <v/>
      </c>
      <c r="N739" s="33" t="str">
        <f aca="false">IF(D739="","",IF(OR(COUNTIF('Target &amp; Team Lists'!$J$5:$J$204,D739)&gt;0,ISNUMBER(SEARCH("alpha nodus",F739))),"Yes","No"))</f>
        <v/>
      </c>
      <c r="O739" s="33" t="str">
        <f aca="false">IF(D739="","",IF(N739="Yes","No",IF(OR(AND(F739&lt;&gt;"",COUNTIF('Target &amp; Team Lists'!$A$5:$A$504,F739)&gt;0),COUNTIF('Target &amp; Team Lists'!$E$5:$E$504,D739)&gt;0),"Yes","No")))</f>
        <v/>
      </c>
      <c r="P739" s="31"/>
    </row>
    <row r="740" customFormat="false" ht="15" hidden="false" customHeight="false" outlineLevel="0" collapsed="false">
      <c r="A740" s="34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2" t="str">
        <f aca="false">IF(D740="","",IF(SUM(H740:K740)&gt;0,1,0))</f>
        <v/>
      </c>
      <c r="N740" s="33" t="str">
        <f aca="false">IF(D740="","",IF(OR(COUNTIF('Target &amp; Team Lists'!$J$5:$J$204,D740)&gt;0,ISNUMBER(SEARCH("alpha nodus",F740))),"Yes","No"))</f>
        <v/>
      </c>
      <c r="O740" s="33" t="str">
        <f aca="false">IF(D740="","",IF(N740="Yes","No",IF(OR(AND(F740&lt;&gt;"",COUNTIF('Target &amp; Team Lists'!$A$5:$A$504,F740)&gt;0),COUNTIF('Target &amp; Team Lists'!$E$5:$E$504,D740)&gt;0),"Yes","No")))</f>
        <v/>
      </c>
      <c r="P740" s="31"/>
    </row>
    <row r="741" customFormat="false" ht="15" hidden="false" customHeight="false" outlineLevel="0" collapsed="false">
      <c r="A741" s="34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2" t="str">
        <f aca="false">IF(D741="","",IF(SUM(H741:K741)&gt;0,1,0))</f>
        <v/>
      </c>
      <c r="N741" s="33" t="str">
        <f aca="false">IF(D741="","",IF(OR(COUNTIF('Target &amp; Team Lists'!$J$5:$J$204,D741)&gt;0,ISNUMBER(SEARCH("alpha nodus",F741))),"Yes","No"))</f>
        <v/>
      </c>
      <c r="O741" s="33" t="str">
        <f aca="false">IF(D741="","",IF(N741="Yes","No",IF(OR(AND(F741&lt;&gt;"",COUNTIF('Target &amp; Team Lists'!$A$5:$A$504,F741)&gt;0),COUNTIF('Target &amp; Team Lists'!$E$5:$E$504,D741)&gt;0),"Yes","No")))</f>
        <v/>
      </c>
      <c r="P741" s="31"/>
    </row>
    <row r="742" customFormat="false" ht="15" hidden="false" customHeight="false" outlineLevel="0" collapsed="false">
      <c r="A742" s="34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2" t="str">
        <f aca="false">IF(D742="","",IF(SUM(H742:K742)&gt;0,1,0))</f>
        <v/>
      </c>
      <c r="N742" s="33" t="str">
        <f aca="false">IF(D742="","",IF(OR(COUNTIF('Target &amp; Team Lists'!$J$5:$J$204,D742)&gt;0,ISNUMBER(SEARCH("alpha nodus",F742))),"Yes","No"))</f>
        <v/>
      </c>
      <c r="O742" s="33" t="str">
        <f aca="false">IF(D742="","",IF(N742="Yes","No",IF(OR(AND(F742&lt;&gt;"",COUNTIF('Target &amp; Team Lists'!$A$5:$A$504,F742)&gt;0),COUNTIF('Target &amp; Team Lists'!$E$5:$E$504,D742)&gt;0),"Yes","No")))</f>
        <v/>
      </c>
      <c r="P742" s="31"/>
    </row>
    <row r="743" customFormat="false" ht="15" hidden="false" customHeight="false" outlineLevel="0" collapsed="false">
      <c r="A743" s="34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2" t="str">
        <f aca="false">IF(D743="","",IF(SUM(H743:K743)&gt;0,1,0))</f>
        <v/>
      </c>
      <c r="N743" s="33" t="str">
        <f aca="false">IF(D743="","",IF(OR(COUNTIF('Target &amp; Team Lists'!$J$5:$J$204,D743)&gt;0,ISNUMBER(SEARCH("alpha nodus",F743))),"Yes","No"))</f>
        <v/>
      </c>
      <c r="O743" s="33" t="str">
        <f aca="false">IF(D743="","",IF(N743="Yes","No",IF(OR(AND(F743&lt;&gt;"",COUNTIF('Target &amp; Team Lists'!$A$5:$A$504,F743)&gt;0),COUNTIF('Target &amp; Team Lists'!$E$5:$E$504,D743)&gt;0),"Yes","No")))</f>
        <v/>
      </c>
      <c r="P743" s="31"/>
    </row>
    <row r="744" customFormat="false" ht="15" hidden="false" customHeight="false" outlineLevel="0" collapsed="false">
      <c r="A744" s="34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2" t="str">
        <f aca="false">IF(D744="","",IF(SUM(H744:K744)&gt;0,1,0))</f>
        <v/>
      </c>
      <c r="N744" s="33" t="str">
        <f aca="false">IF(D744="","",IF(OR(COUNTIF('Target &amp; Team Lists'!$J$5:$J$204,D744)&gt;0,ISNUMBER(SEARCH("alpha nodus",F744))),"Yes","No"))</f>
        <v/>
      </c>
      <c r="O744" s="33" t="str">
        <f aca="false">IF(D744="","",IF(N744="Yes","No",IF(OR(AND(F744&lt;&gt;"",COUNTIF('Target &amp; Team Lists'!$A$5:$A$504,F744)&gt;0),COUNTIF('Target &amp; Team Lists'!$E$5:$E$504,D744)&gt;0),"Yes","No")))</f>
        <v/>
      </c>
      <c r="P744" s="31"/>
    </row>
    <row r="745" customFormat="false" ht="15" hidden="false" customHeight="false" outlineLevel="0" collapsed="false">
      <c r="A745" s="34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2" t="str">
        <f aca="false">IF(D745="","",IF(SUM(H745:K745)&gt;0,1,0))</f>
        <v/>
      </c>
      <c r="N745" s="33" t="str">
        <f aca="false">IF(D745="","",IF(OR(COUNTIF('Target &amp; Team Lists'!$J$5:$J$204,D745)&gt;0,ISNUMBER(SEARCH("alpha nodus",F745))),"Yes","No"))</f>
        <v/>
      </c>
      <c r="O745" s="33" t="str">
        <f aca="false">IF(D745="","",IF(N745="Yes","No",IF(OR(AND(F745&lt;&gt;"",COUNTIF('Target &amp; Team Lists'!$A$5:$A$504,F745)&gt;0),COUNTIF('Target &amp; Team Lists'!$E$5:$E$504,D745)&gt;0),"Yes","No")))</f>
        <v/>
      </c>
      <c r="P745" s="31"/>
    </row>
    <row r="746" customFormat="false" ht="15" hidden="false" customHeight="false" outlineLevel="0" collapsed="false">
      <c r="A746" s="34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2" t="str">
        <f aca="false">IF(D746="","",IF(SUM(H746:K746)&gt;0,1,0))</f>
        <v/>
      </c>
      <c r="N746" s="33" t="str">
        <f aca="false">IF(D746="","",IF(OR(COUNTIF('Target &amp; Team Lists'!$J$5:$J$204,D746)&gt;0,ISNUMBER(SEARCH("alpha nodus",F746))),"Yes","No"))</f>
        <v/>
      </c>
      <c r="O746" s="33" t="str">
        <f aca="false">IF(D746="","",IF(N746="Yes","No",IF(OR(AND(F746&lt;&gt;"",COUNTIF('Target &amp; Team Lists'!$A$5:$A$504,F746)&gt;0),COUNTIF('Target &amp; Team Lists'!$E$5:$E$504,D746)&gt;0),"Yes","No")))</f>
        <v/>
      </c>
      <c r="P746" s="31"/>
    </row>
    <row r="747" customFormat="false" ht="15" hidden="false" customHeight="false" outlineLevel="0" collapsed="false">
      <c r="A747" s="34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2" t="str">
        <f aca="false">IF(D747="","",IF(SUM(H747:K747)&gt;0,1,0))</f>
        <v/>
      </c>
      <c r="N747" s="33" t="str">
        <f aca="false">IF(D747="","",IF(OR(COUNTIF('Target &amp; Team Lists'!$J$5:$J$204,D747)&gt;0,ISNUMBER(SEARCH("alpha nodus",F747))),"Yes","No"))</f>
        <v/>
      </c>
      <c r="O747" s="33" t="str">
        <f aca="false">IF(D747="","",IF(N747="Yes","No",IF(OR(AND(F747&lt;&gt;"",COUNTIF('Target &amp; Team Lists'!$A$5:$A$504,F747)&gt;0),COUNTIF('Target &amp; Team Lists'!$E$5:$E$504,D747)&gt;0),"Yes","No")))</f>
        <v/>
      </c>
      <c r="P747" s="31"/>
    </row>
    <row r="748" customFormat="false" ht="15" hidden="false" customHeight="false" outlineLevel="0" collapsed="false">
      <c r="A748" s="34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2" t="str">
        <f aca="false">IF(D748="","",IF(SUM(H748:K748)&gt;0,1,0))</f>
        <v/>
      </c>
      <c r="N748" s="33" t="str">
        <f aca="false">IF(D748="","",IF(OR(COUNTIF('Target &amp; Team Lists'!$J$5:$J$204,D748)&gt;0,ISNUMBER(SEARCH("alpha nodus",F748))),"Yes","No"))</f>
        <v/>
      </c>
      <c r="O748" s="33" t="str">
        <f aca="false">IF(D748="","",IF(N748="Yes","No",IF(OR(AND(F748&lt;&gt;"",COUNTIF('Target &amp; Team Lists'!$A$5:$A$504,F748)&gt;0),COUNTIF('Target &amp; Team Lists'!$E$5:$E$504,D748)&gt;0),"Yes","No")))</f>
        <v/>
      </c>
      <c r="P748" s="31"/>
    </row>
    <row r="749" customFormat="false" ht="15" hidden="false" customHeight="false" outlineLevel="0" collapsed="false">
      <c r="A749" s="34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2" t="str">
        <f aca="false">IF(D749="","",IF(SUM(H749:K749)&gt;0,1,0))</f>
        <v/>
      </c>
      <c r="N749" s="33" t="str">
        <f aca="false">IF(D749="","",IF(OR(COUNTIF('Target &amp; Team Lists'!$J$5:$J$204,D749)&gt;0,ISNUMBER(SEARCH("alpha nodus",F749))),"Yes","No"))</f>
        <v/>
      </c>
      <c r="O749" s="33" t="str">
        <f aca="false">IF(D749="","",IF(N749="Yes","No",IF(OR(AND(F749&lt;&gt;"",COUNTIF('Target &amp; Team Lists'!$A$5:$A$504,F749)&gt;0),COUNTIF('Target &amp; Team Lists'!$E$5:$E$504,D749)&gt;0),"Yes","No")))</f>
        <v/>
      </c>
      <c r="P749" s="31"/>
    </row>
    <row r="750" customFormat="false" ht="15" hidden="false" customHeight="false" outlineLevel="0" collapsed="false">
      <c r="A750" s="34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2" t="str">
        <f aca="false">IF(D750="","",IF(SUM(H750:K750)&gt;0,1,0))</f>
        <v/>
      </c>
      <c r="N750" s="33" t="str">
        <f aca="false">IF(D750="","",IF(OR(COUNTIF('Target &amp; Team Lists'!$J$5:$J$204,D750)&gt;0,ISNUMBER(SEARCH("alpha nodus",F750))),"Yes","No"))</f>
        <v/>
      </c>
      <c r="O750" s="33" t="str">
        <f aca="false">IF(D750="","",IF(N750="Yes","No",IF(OR(AND(F750&lt;&gt;"",COUNTIF('Target &amp; Team Lists'!$A$5:$A$504,F750)&gt;0),COUNTIF('Target &amp; Team Lists'!$E$5:$E$504,D750)&gt;0),"Yes","No")))</f>
        <v/>
      </c>
      <c r="P750" s="31"/>
    </row>
    <row r="751" customFormat="false" ht="15" hidden="false" customHeight="false" outlineLevel="0" collapsed="false">
      <c r="A751" s="34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2" t="str">
        <f aca="false">IF(D751="","",IF(SUM(H751:K751)&gt;0,1,0))</f>
        <v/>
      </c>
      <c r="N751" s="33" t="str">
        <f aca="false">IF(D751="","",IF(OR(COUNTIF('Target &amp; Team Lists'!$J$5:$J$204,D751)&gt;0,ISNUMBER(SEARCH("alpha nodus",F751))),"Yes","No"))</f>
        <v/>
      </c>
      <c r="O751" s="33" t="str">
        <f aca="false">IF(D751="","",IF(N751="Yes","No",IF(OR(AND(F751&lt;&gt;"",COUNTIF('Target &amp; Team Lists'!$A$5:$A$504,F751)&gt;0),COUNTIF('Target &amp; Team Lists'!$E$5:$E$504,D751)&gt;0),"Yes","No")))</f>
        <v/>
      </c>
      <c r="P751" s="31"/>
    </row>
    <row r="752" customFormat="false" ht="15" hidden="false" customHeight="false" outlineLevel="0" collapsed="false">
      <c r="A752" s="34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2" t="str">
        <f aca="false">IF(D752="","",IF(SUM(H752:K752)&gt;0,1,0))</f>
        <v/>
      </c>
      <c r="N752" s="33" t="str">
        <f aca="false">IF(D752="","",IF(OR(COUNTIF('Target &amp; Team Lists'!$J$5:$J$204,D752)&gt;0,ISNUMBER(SEARCH("alpha nodus",F752))),"Yes","No"))</f>
        <v/>
      </c>
      <c r="O752" s="33" t="str">
        <f aca="false">IF(D752="","",IF(N752="Yes","No",IF(OR(AND(F752&lt;&gt;"",COUNTIF('Target &amp; Team Lists'!$A$5:$A$504,F752)&gt;0),COUNTIF('Target &amp; Team Lists'!$E$5:$E$504,D752)&gt;0),"Yes","No")))</f>
        <v/>
      </c>
      <c r="P752" s="31"/>
    </row>
    <row r="753" customFormat="false" ht="15" hidden="false" customHeight="false" outlineLevel="0" collapsed="false">
      <c r="A753" s="34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2" t="str">
        <f aca="false">IF(D753="","",IF(SUM(H753:K753)&gt;0,1,0))</f>
        <v/>
      </c>
      <c r="N753" s="33" t="str">
        <f aca="false">IF(D753="","",IF(OR(COUNTIF('Target &amp; Team Lists'!$J$5:$J$204,D753)&gt;0,ISNUMBER(SEARCH("alpha nodus",F753))),"Yes","No"))</f>
        <v/>
      </c>
      <c r="O753" s="33" t="str">
        <f aca="false">IF(D753="","",IF(N753="Yes","No",IF(OR(AND(F753&lt;&gt;"",COUNTIF('Target &amp; Team Lists'!$A$5:$A$504,F753)&gt;0),COUNTIF('Target &amp; Team Lists'!$E$5:$E$504,D753)&gt;0),"Yes","No")))</f>
        <v/>
      </c>
      <c r="P753" s="31"/>
    </row>
    <row r="754" customFormat="false" ht="15" hidden="false" customHeight="false" outlineLevel="0" collapsed="false">
      <c r="A754" s="34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2" t="str">
        <f aca="false">IF(D754="","",IF(SUM(H754:K754)&gt;0,1,0))</f>
        <v/>
      </c>
      <c r="N754" s="33" t="str">
        <f aca="false">IF(D754="","",IF(OR(COUNTIF('Target &amp; Team Lists'!$J$5:$J$204,D754)&gt;0,ISNUMBER(SEARCH("alpha nodus",F754))),"Yes","No"))</f>
        <v/>
      </c>
      <c r="O754" s="33" t="str">
        <f aca="false">IF(D754="","",IF(N754="Yes","No",IF(OR(AND(F754&lt;&gt;"",COUNTIF('Target &amp; Team Lists'!$A$5:$A$504,F754)&gt;0),COUNTIF('Target &amp; Team Lists'!$E$5:$E$504,D754)&gt;0),"Yes","No")))</f>
        <v/>
      </c>
      <c r="P754" s="31"/>
    </row>
    <row r="755" customFormat="false" ht="15" hidden="false" customHeight="false" outlineLevel="0" collapsed="false">
      <c r="A755" s="34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2" t="str">
        <f aca="false">IF(D755="","",IF(SUM(H755:K755)&gt;0,1,0))</f>
        <v/>
      </c>
      <c r="N755" s="33" t="str">
        <f aca="false">IF(D755="","",IF(OR(COUNTIF('Target &amp; Team Lists'!$J$5:$J$204,D755)&gt;0,ISNUMBER(SEARCH("alpha nodus",F755))),"Yes","No"))</f>
        <v/>
      </c>
      <c r="O755" s="33" t="str">
        <f aca="false">IF(D755="","",IF(N755="Yes","No",IF(OR(AND(F755&lt;&gt;"",COUNTIF('Target &amp; Team Lists'!$A$5:$A$504,F755)&gt;0),COUNTIF('Target &amp; Team Lists'!$E$5:$E$504,D755)&gt;0),"Yes","No")))</f>
        <v/>
      </c>
      <c r="P755" s="31"/>
    </row>
    <row r="756" customFormat="false" ht="15" hidden="false" customHeight="false" outlineLevel="0" collapsed="false">
      <c r="A756" s="34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2" t="str">
        <f aca="false">IF(D756="","",IF(SUM(H756:K756)&gt;0,1,0))</f>
        <v/>
      </c>
      <c r="N756" s="33" t="str">
        <f aca="false">IF(D756="","",IF(OR(COUNTIF('Target &amp; Team Lists'!$J$5:$J$204,D756)&gt;0,ISNUMBER(SEARCH("alpha nodus",F756))),"Yes","No"))</f>
        <v/>
      </c>
      <c r="O756" s="33" t="str">
        <f aca="false">IF(D756="","",IF(N756="Yes","No",IF(OR(AND(F756&lt;&gt;"",COUNTIF('Target &amp; Team Lists'!$A$5:$A$504,F756)&gt;0),COUNTIF('Target &amp; Team Lists'!$E$5:$E$504,D756)&gt;0),"Yes","No")))</f>
        <v/>
      </c>
      <c r="P756" s="31"/>
    </row>
    <row r="757" customFormat="false" ht="15" hidden="false" customHeight="false" outlineLevel="0" collapsed="false">
      <c r="A757" s="34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2" t="str">
        <f aca="false">IF(D757="","",IF(SUM(H757:K757)&gt;0,1,0))</f>
        <v/>
      </c>
      <c r="N757" s="33" t="str">
        <f aca="false">IF(D757="","",IF(OR(COUNTIF('Target &amp; Team Lists'!$J$5:$J$204,D757)&gt;0,ISNUMBER(SEARCH("alpha nodus",F757))),"Yes","No"))</f>
        <v/>
      </c>
      <c r="O757" s="33" t="str">
        <f aca="false">IF(D757="","",IF(N757="Yes","No",IF(OR(AND(F757&lt;&gt;"",COUNTIF('Target &amp; Team Lists'!$A$5:$A$504,F757)&gt;0),COUNTIF('Target &amp; Team Lists'!$E$5:$E$504,D757)&gt;0),"Yes","No")))</f>
        <v/>
      </c>
      <c r="P757" s="31"/>
    </row>
    <row r="758" customFormat="false" ht="15" hidden="false" customHeight="false" outlineLevel="0" collapsed="false">
      <c r="A758" s="34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2" t="str">
        <f aca="false">IF(D758="","",IF(SUM(H758:K758)&gt;0,1,0))</f>
        <v/>
      </c>
      <c r="N758" s="33" t="str">
        <f aca="false">IF(D758="","",IF(OR(COUNTIF('Target &amp; Team Lists'!$J$5:$J$204,D758)&gt;0,ISNUMBER(SEARCH("alpha nodus",F758))),"Yes","No"))</f>
        <v/>
      </c>
      <c r="O758" s="33" t="str">
        <f aca="false">IF(D758="","",IF(N758="Yes","No",IF(OR(AND(F758&lt;&gt;"",COUNTIF('Target &amp; Team Lists'!$A$5:$A$504,F758)&gt;0),COUNTIF('Target &amp; Team Lists'!$E$5:$E$504,D758)&gt;0),"Yes","No")))</f>
        <v/>
      </c>
      <c r="P758" s="31"/>
    </row>
    <row r="759" customFormat="false" ht="15" hidden="false" customHeight="false" outlineLevel="0" collapsed="false">
      <c r="A759" s="34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2" t="str">
        <f aca="false">IF(D759="","",IF(SUM(H759:K759)&gt;0,1,0))</f>
        <v/>
      </c>
      <c r="N759" s="33" t="str">
        <f aca="false">IF(D759="","",IF(OR(COUNTIF('Target &amp; Team Lists'!$J$5:$J$204,D759)&gt;0,ISNUMBER(SEARCH("alpha nodus",F759))),"Yes","No"))</f>
        <v/>
      </c>
      <c r="O759" s="33" t="str">
        <f aca="false">IF(D759="","",IF(N759="Yes","No",IF(OR(AND(F759&lt;&gt;"",COUNTIF('Target &amp; Team Lists'!$A$5:$A$504,F759)&gt;0),COUNTIF('Target &amp; Team Lists'!$E$5:$E$504,D759)&gt;0),"Yes","No")))</f>
        <v/>
      </c>
      <c r="P759" s="31"/>
    </row>
    <row r="760" customFormat="false" ht="15" hidden="false" customHeight="false" outlineLevel="0" collapsed="false">
      <c r="A760" s="34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2" t="str">
        <f aca="false">IF(D760="","",IF(SUM(H760:K760)&gt;0,1,0))</f>
        <v/>
      </c>
      <c r="N760" s="33" t="str">
        <f aca="false">IF(D760="","",IF(OR(COUNTIF('Target &amp; Team Lists'!$J$5:$J$204,D760)&gt;0,ISNUMBER(SEARCH("alpha nodus",F760))),"Yes","No"))</f>
        <v/>
      </c>
      <c r="O760" s="33" t="str">
        <f aca="false">IF(D760="","",IF(N760="Yes","No",IF(OR(AND(F760&lt;&gt;"",COUNTIF('Target &amp; Team Lists'!$A$5:$A$504,F760)&gt;0),COUNTIF('Target &amp; Team Lists'!$E$5:$E$504,D760)&gt;0),"Yes","No")))</f>
        <v/>
      </c>
      <c r="P760" s="31"/>
    </row>
    <row r="761" customFormat="false" ht="15" hidden="false" customHeight="false" outlineLevel="0" collapsed="false">
      <c r="A761" s="34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2" t="str">
        <f aca="false">IF(D761="","",IF(SUM(H761:K761)&gt;0,1,0))</f>
        <v/>
      </c>
      <c r="N761" s="33" t="str">
        <f aca="false">IF(D761="","",IF(OR(COUNTIF('Target &amp; Team Lists'!$J$5:$J$204,D761)&gt;0,ISNUMBER(SEARCH("alpha nodus",F761))),"Yes","No"))</f>
        <v/>
      </c>
      <c r="O761" s="33" t="str">
        <f aca="false">IF(D761="","",IF(N761="Yes","No",IF(OR(AND(F761&lt;&gt;"",COUNTIF('Target &amp; Team Lists'!$A$5:$A$504,F761)&gt;0),COUNTIF('Target &amp; Team Lists'!$E$5:$E$504,D761)&gt;0),"Yes","No")))</f>
        <v/>
      </c>
      <c r="P761" s="31"/>
    </row>
    <row r="762" customFormat="false" ht="15" hidden="false" customHeight="false" outlineLevel="0" collapsed="false">
      <c r="A762" s="34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2" t="str">
        <f aca="false">IF(D762="","",IF(SUM(H762:K762)&gt;0,1,0))</f>
        <v/>
      </c>
      <c r="N762" s="33" t="str">
        <f aca="false">IF(D762="","",IF(OR(COUNTIF('Target &amp; Team Lists'!$J$5:$J$204,D762)&gt;0,ISNUMBER(SEARCH("alpha nodus",F762))),"Yes","No"))</f>
        <v/>
      </c>
      <c r="O762" s="33" t="str">
        <f aca="false">IF(D762="","",IF(N762="Yes","No",IF(OR(AND(F762&lt;&gt;"",COUNTIF('Target &amp; Team Lists'!$A$5:$A$504,F762)&gt;0),COUNTIF('Target &amp; Team Lists'!$E$5:$E$504,D762)&gt;0),"Yes","No")))</f>
        <v/>
      </c>
      <c r="P762" s="31"/>
    </row>
    <row r="763" customFormat="false" ht="15" hidden="false" customHeight="false" outlineLevel="0" collapsed="false">
      <c r="A763" s="34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2" t="str">
        <f aca="false">IF(D763="","",IF(SUM(H763:K763)&gt;0,1,0))</f>
        <v/>
      </c>
      <c r="N763" s="33" t="str">
        <f aca="false">IF(D763="","",IF(OR(COUNTIF('Target &amp; Team Lists'!$J$5:$J$204,D763)&gt;0,ISNUMBER(SEARCH("alpha nodus",F763))),"Yes","No"))</f>
        <v/>
      </c>
      <c r="O763" s="33" t="str">
        <f aca="false">IF(D763="","",IF(N763="Yes","No",IF(OR(AND(F763&lt;&gt;"",COUNTIF('Target &amp; Team Lists'!$A$5:$A$504,F763)&gt;0),COUNTIF('Target &amp; Team Lists'!$E$5:$E$504,D763)&gt;0),"Yes","No")))</f>
        <v/>
      </c>
      <c r="P763" s="31"/>
    </row>
    <row r="764" customFormat="false" ht="15" hidden="false" customHeight="false" outlineLevel="0" collapsed="false">
      <c r="A764" s="34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2" t="str">
        <f aca="false">IF(D764="","",IF(SUM(H764:K764)&gt;0,1,0))</f>
        <v/>
      </c>
      <c r="N764" s="33" t="str">
        <f aca="false">IF(D764="","",IF(OR(COUNTIF('Target &amp; Team Lists'!$J$5:$J$204,D764)&gt;0,ISNUMBER(SEARCH("alpha nodus",F764))),"Yes","No"))</f>
        <v/>
      </c>
      <c r="O764" s="33" t="str">
        <f aca="false">IF(D764="","",IF(N764="Yes","No",IF(OR(AND(F764&lt;&gt;"",COUNTIF('Target &amp; Team Lists'!$A$5:$A$504,F764)&gt;0),COUNTIF('Target &amp; Team Lists'!$E$5:$E$504,D764)&gt;0),"Yes","No")))</f>
        <v/>
      </c>
      <c r="P764" s="31"/>
    </row>
    <row r="765" customFormat="false" ht="15" hidden="false" customHeight="false" outlineLevel="0" collapsed="false">
      <c r="A765" s="34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2" t="str">
        <f aca="false">IF(D765="","",IF(SUM(H765:K765)&gt;0,1,0))</f>
        <v/>
      </c>
      <c r="N765" s="33" t="str">
        <f aca="false">IF(D765="","",IF(OR(COUNTIF('Target &amp; Team Lists'!$J$5:$J$204,D765)&gt;0,ISNUMBER(SEARCH("alpha nodus",F765))),"Yes","No"))</f>
        <v/>
      </c>
      <c r="O765" s="33" t="str">
        <f aca="false">IF(D765="","",IF(N765="Yes","No",IF(OR(AND(F765&lt;&gt;"",COUNTIF('Target &amp; Team Lists'!$A$5:$A$504,F765)&gt;0),COUNTIF('Target &amp; Team Lists'!$E$5:$E$504,D765)&gt;0),"Yes","No")))</f>
        <v/>
      </c>
      <c r="P765" s="31"/>
    </row>
    <row r="766" customFormat="false" ht="15" hidden="false" customHeight="false" outlineLevel="0" collapsed="false">
      <c r="A766" s="34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2" t="str">
        <f aca="false">IF(D766="","",IF(SUM(H766:K766)&gt;0,1,0))</f>
        <v/>
      </c>
      <c r="N766" s="33" t="str">
        <f aca="false">IF(D766="","",IF(OR(COUNTIF('Target &amp; Team Lists'!$J$5:$J$204,D766)&gt;0,ISNUMBER(SEARCH("alpha nodus",F766))),"Yes","No"))</f>
        <v/>
      </c>
      <c r="O766" s="33" t="str">
        <f aca="false">IF(D766="","",IF(N766="Yes","No",IF(OR(AND(F766&lt;&gt;"",COUNTIF('Target &amp; Team Lists'!$A$5:$A$504,F766)&gt;0),COUNTIF('Target &amp; Team Lists'!$E$5:$E$504,D766)&gt;0),"Yes","No")))</f>
        <v/>
      </c>
      <c r="P766" s="31"/>
    </row>
    <row r="767" customFormat="false" ht="15" hidden="false" customHeight="false" outlineLevel="0" collapsed="false">
      <c r="A767" s="34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2" t="str">
        <f aca="false">IF(D767="","",IF(SUM(H767:K767)&gt;0,1,0))</f>
        <v/>
      </c>
      <c r="N767" s="33" t="str">
        <f aca="false">IF(D767="","",IF(OR(COUNTIF('Target &amp; Team Lists'!$J$5:$J$204,D767)&gt;0,ISNUMBER(SEARCH("alpha nodus",F767))),"Yes","No"))</f>
        <v/>
      </c>
      <c r="O767" s="33" t="str">
        <f aca="false">IF(D767="","",IF(N767="Yes","No",IF(OR(AND(F767&lt;&gt;"",COUNTIF('Target &amp; Team Lists'!$A$5:$A$504,F767)&gt;0),COUNTIF('Target &amp; Team Lists'!$E$5:$E$504,D767)&gt;0),"Yes","No")))</f>
        <v/>
      </c>
      <c r="P767" s="31"/>
    </row>
    <row r="768" customFormat="false" ht="15" hidden="false" customHeight="false" outlineLevel="0" collapsed="false">
      <c r="A768" s="34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2" t="str">
        <f aca="false">IF(D768="","",IF(SUM(H768:K768)&gt;0,1,0))</f>
        <v/>
      </c>
      <c r="N768" s="33" t="str">
        <f aca="false">IF(D768="","",IF(OR(COUNTIF('Target &amp; Team Lists'!$J$5:$J$204,D768)&gt;0,ISNUMBER(SEARCH("alpha nodus",F768))),"Yes","No"))</f>
        <v/>
      </c>
      <c r="O768" s="33" t="str">
        <f aca="false">IF(D768="","",IF(N768="Yes","No",IF(OR(AND(F768&lt;&gt;"",COUNTIF('Target &amp; Team Lists'!$A$5:$A$504,F768)&gt;0),COUNTIF('Target &amp; Team Lists'!$E$5:$E$504,D768)&gt;0),"Yes","No")))</f>
        <v/>
      </c>
      <c r="P768" s="31"/>
    </row>
    <row r="769" customFormat="false" ht="15" hidden="false" customHeight="false" outlineLevel="0" collapsed="false">
      <c r="A769" s="34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2" t="str">
        <f aca="false">IF(D769="","",IF(SUM(H769:K769)&gt;0,1,0))</f>
        <v/>
      </c>
      <c r="N769" s="33" t="str">
        <f aca="false">IF(D769="","",IF(OR(COUNTIF('Target &amp; Team Lists'!$J$5:$J$204,D769)&gt;0,ISNUMBER(SEARCH("alpha nodus",F769))),"Yes","No"))</f>
        <v/>
      </c>
      <c r="O769" s="33" t="str">
        <f aca="false">IF(D769="","",IF(N769="Yes","No",IF(OR(AND(F769&lt;&gt;"",COUNTIF('Target &amp; Team Lists'!$A$5:$A$504,F769)&gt;0),COUNTIF('Target &amp; Team Lists'!$E$5:$E$504,D769)&gt;0),"Yes","No")))</f>
        <v/>
      </c>
      <c r="P769" s="31"/>
    </row>
    <row r="770" customFormat="false" ht="15" hidden="false" customHeight="false" outlineLevel="0" collapsed="false">
      <c r="A770" s="34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2" t="str">
        <f aca="false">IF(D770="","",IF(SUM(H770:K770)&gt;0,1,0))</f>
        <v/>
      </c>
      <c r="N770" s="33" t="str">
        <f aca="false">IF(D770="","",IF(OR(COUNTIF('Target &amp; Team Lists'!$J$5:$J$204,D770)&gt;0,ISNUMBER(SEARCH("alpha nodus",F770))),"Yes","No"))</f>
        <v/>
      </c>
      <c r="O770" s="33" t="str">
        <f aca="false">IF(D770="","",IF(N770="Yes","No",IF(OR(AND(F770&lt;&gt;"",COUNTIF('Target &amp; Team Lists'!$A$5:$A$504,F770)&gt;0),COUNTIF('Target &amp; Team Lists'!$E$5:$E$504,D770)&gt;0),"Yes","No")))</f>
        <v/>
      </c>
      <c r="P770" s="31"/>
    </row>
    <row r="771" customFormat="false" ht="15" hidden="false" customHeight="false" outlineLevel="0" collapsed="false">
      <c r="A771" s="34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2" t="str">
        <f aca="false">IF(D771="","",IF(SUM(H771:K771)&gt;0,1,0))</f>
        <v/>
      </c>
      <c r="N771" s="33" t="str">
        <f aca="false">IF(D771="","",IF(OR(COUNTIF('Target &amp; Team Lists'!$J$5:$J$204,D771)&gt;0,ISNUMBER(SEARCH("alpha nodus",F771))),"Yes","No"))</f>
        <v/>
      </c>
      <c r="O771" s="33" t="str">
        <f aca="false">IF(D771="","",IF(N771="Yes","No",IF(OR(AND(F771&lt;&gt;"",COUNTIF('Target &amp; Team Lists'!$A$5:$A$504,F771)&gt;0),COUNTIF('Target &amp; Team Lists'!$E$5:$E$504,D771)&gt;0),"Yes","No")))</f>
        <v/>
      </c>
      <c r="P771" s="31"/>
    </row>
    <row r="772" customFormat="false" ht="15" hidden="false" customHeight="false" outlineLevel="0" collapsed="false">
      <c r="A772" s="34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2" t="str">
        <f aca="false">IF(D772="","",IF(SUM(H772:K772)&gt;0,1,0))</f>
        <v/>
      </c>
      <c r="N772" s="33" t="str">
        <f aca="false">IF(D772="","",IF(OR(COUNTIF('Target &amp; Team Lists'!$J$5:$J$204,D772)&gt;0,ISNUMBER(SEARCH("alpha nodus",F772))),"Yes","No"))</f>
        <v/>
      </c>
      <c r="O772" s="33" t="str">
        <f aca="false">IF(D772="","",IF(N772="Yes","No",IF(OR(AND(F772&lt;&gt;"",COUNTIF('Target &amp; Team Lists'!$A$5:$A$504,F772)&gt;0),COUNTIF('Target &amp; Team Lists'!$E$5:$E$504,D772)&gt;0),"Yes","No")))</f>
        <v/>
      </c>
      <c r="P772" s="31"/>
    </row>
    <row r="773" customFormat="false" ht="15" hidden="false" customHeight="false" outlineLevel="0" collapsed="false">
      <c r="A773" s="34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2" t="str">
        <f aca="false">IF(D773="","",IF(SUM(H773:K773)&gt;0,1,0))</f>
        <v/>
      </c>
      <c r="N773" s="33" t="str">
        <f aca="false">IF(D773="","",IF(OR(COUNTIF('Target &amp; Team Lists'!$J$5:$J$204,D773)&gt;0,ISNUMBER(SEARCH("alpha nodus",F773))),"Yes","No"))</f>
        <v/>
      </c>
      <c r="O773" s="33" t="str">
        <f aca="false">IF(D773="","",IF(N773="Yes","No",IF(OR(AND(F773&lt;&gt;"",COUNTIF('Target &amp; Team Lists'!$A$5:$A$504,F773)&gt;0),COUNTIF('Target &amp; Team Lists'!$E$5:$E$504,D773)&gt;0),"Yes","No")))</f>
        <v/>
      </c>
      <c r="P773" s="31"/>
    </row>
    <row r="774" customFormat="false" ht="15" hidden="false" customHeight="false" outlineLevel="0" collapsed="false">
      <c r="A774" s="34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2" t="str">
        <f aca="false">IF(D774="","",IF(SUM(H774:K774)&gt;0,1,0))</f>
        <v/>
      </c>
      <c r="N774" s="33" t="str">
        <f aca="false">IF(D774="","",IF(OR(COUNTIF('Target &amp; Team Lists'!$J$5:$J$204,D774)&gt;0,ISNUMBER(SEARCH("alpha nodus",F774))),"Yes","No"))</f>
        <v/>
      </c>
      <c r="O774" s="33" t="str">
        <f aca="false">IF(D774="","",IF(N774="Yes","No",IF(OR(AND(F774&lt;&gt;"",COUNTIF('Target &amp; Team Lists'!$A$5:$A$504,F774)&gt;0),COUNTIF('Target &amp; Team Lists'!$E$5:$E$504,D774)&gt;0),"Yes","No")))</f>
        <v/>
      </c>
      <c r="P774" s="31"/>
    </row>
    <row r="775" customFormat="false" ht="15" hidden="false" customHeight="false" outlineLevel="0" collapsed="false">
      <c r="A775" s="34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2" t="str">
        <f aca="false">IF(D775="","",IF(SUM(H775:K775)&gt;0,1,0))</f>
        <v/>
      </c>
      <c r="N775" s="33" t="str">
        <f aca="false">IF(D775="","",IF(OR(COUNTIF('Target &amp; Team Lists'!$J$5:$J$204,D775)&gt;0,ISNUMBER(SEARCH("alpha nodus",F775))),"Yes","No"))</f>
        <v/>
      </c>
      <c r="O775" s="33" t="str">
        <f aca="false">IF(D775="","",IF(N775="Yes","No",IF(OR(AND(F775&lt;&gt;"",COUNTIF('Target &amp; Team Lists'!$A$5:$A$504,F775)&gt;0),COUNTIF('Target &amp; Team Lists'!$E$5:$E$504,D775)&gt;0),"Yes","No")))</f>
        <v/>
      </c>
      <c r="P775" s="31"/>
    </row>
    <row r="776" customFormat="false" ht="15" hidden="false" customHeight="false" outlineLevel="0" collapsed="false">
      <c r="A776" s="34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2" t="str">
        <f aca="false">IF(D776="","",IF(SUM(H776:K776)&gt;0,1,0))</f>
        <v/>
      </c>
      <c r="N776" s="33" t="str">
        <f aca="false">IF(D776="","",IF(OR(COUNTIF('Target &amp; Team Lists'!$J$5:$J$204,D776)&gt;0,ISNUMBER(SEARCH("alpha nodus",F776))),"Yes","No"))</f>
        <v/>
      </c>
      <c r="O776" s="33" t="str">
        <f aca="false">IF(D776="","",IF(N776="Yes","No",IF(OR(AND(F776&lt;&gt;"",COUNTIF('Target &amp; Team Lists'!$A$5:$A$504,F776)&gt;0),COUNTIF('Target &amp; Team Lists'!$E$5:$E$504,D776)&gt;0),"Yes","No")))</f>
        <v/>
      </c>
      <c r="P776" s="31"/>
    </row>
    <row r="777" customFormat="false" ht="15" hidden="false" customHeight="false" outlineLevel="0" collapsed="false">
      <c r="A777" s="34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2" t="str">
        <f aca="false">IF(D777="","",IF(SUM(H777:K777)&gt;0,1,0))</f>
        <v/>
      </c>
      <c r="N777" s="33" t="str">
        <f aca="false">IF(D777="","",IF(OR(COUNTIF('Target &amp; Team Lists'!$J$5:$J$204,D777)&gt;0,ISNUMBER(SEARCH("alpha nodus",F777))),"Yes","No"))</f>
        <v/>
      </c>
      <c r="O777" s="33" t="str">
        <f aca="false">IF(D777="","",IF(N777="Yes","No",IF(OR(AND(F777&lt;&gt;"",COUNTIF('Target &amp; Team Lists'!$A$5:$A$504,F777)&gt;0),COUNTIF('Target &amp; Team Lists'!$E$5:$E$504,D777)&gt;0),"Yes","No")))</f>
        <v/>
      </c>
      <c r="P777" s="31"/>
    </row>
    <row r="778" customFormat="false" ht="15" hidden="false" customHeight="false" outlineLevel="0" collapsed="false">
      <c r="A778" s="34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2" t="str">
        <f aca="false">IF(D778="","",IF(SUM(H778:K778)&gt;0,1,0))</f>
        <v/>
      </c>
      <c r="N778" s="33" t="str">
        <f aca="false">IF(D778="","",IF(OR(COUNTIF('Target &amp; Team Lists'!$J$5:$J$204,D778)&gt;0,ISNUMBER(SEARCH("alpha nodus",F778))),"Yes","No"))</f>
        <v/>
      </c>
      <c r="O778" s="33" t="str">
        <f aca="false">IF(D778="","",IF(N778="Yes","No",IF(OR(AND(F778&lt;&gt;"",COUNTIF('Target &amp; Team Lists'!$A$5:$A$504,F778)&gt;0),COUNTIF('Target &amp; Team Lists'!$E$5:$E$504,D778)&gt;0),"Yes","No")))</f>
        <v/>
      </c>
      <c r="P778" s="31"/>
    </row>
    <row r="779" customFormat="false" ht="15" hidden="false" customHeight="false" outlineLevel="0" collapsed="false">
      <c r="A779" s="34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2" t="str">
        <f aca="false">IF(D779="","",IF(SUM(H779:K779)&gt;0,1,0))</f>
        <v/>
      </c>
      <c r="N779" s="33" t="str">
        <f aca="false">IF(D779="","",IF(OR(COUNTIF('Target &amp; Team Lists'!$J$5:$J$204,D779)&gt;0,ISNUMBER(SEARCH("alpha nodus",F779))),"Yes","No"))</f>
        <v/>
      </c>
      <c r="O779" s="33" t="str">
        <f aca="false">IF(D779="","",IF(N779="Yes","No",IF(OR(AND(F779&lt;&gt;"",COUNTIF('Target &amp; Team Lists'!$A$5:$A$504,F779)&gt;0),COUNTIF('Target &amp; Team Lists'!$E$5:$E$504,D779)&gt;0),"Yes","No")))</f>
        <v/>
      </c>
      <c r="P779" s="31"/>
    </row>
    <row r="780" customFormat="false" ht="15" hidden="false" customHeight="false" outlineLevel="0" collapsed="false">
      <c r="A780" s="34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2" t="str">
        <f aca="false">IF(D780="","",IF(SUM(H780:K780)&gt;0,1,0))</f>
        <v/>
      </c>
      <c r="N780" s="33" t="str">
        <f aca="false">IF(D780="","",IF(OR(COUNTIF('Target &amp; Team Lists'!$J$5:$J$204,D780)&gt;0,ISNUMBER(SEARCH("alpha nodus",F780))),"Yes","No"))</f>
        <v/>
      </c>
      <c r="O780" s="33" t="str">
        <f aca="false">IF(D780="","",IF(N780="Yes","No",IF(OR(AND(F780&lt;&gt;"",COUNTIF('Target &amp; Team Lists'!$A$5:$A$504,F780)&gt;0),COUNTIF('Target &amp; Team Lists'!$E$5:$E$504,D780)&gt;0),"Yes","No")))</f>
        <v/>
      </c>
      <c r="P780" s="31"/>
    </row>
    <row r="781" customFormat="false" ht="15" hidden="false" customHeight="false" outlineLevel="0" collapsed="false">
      <c r="A781" s="34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2" t="str">
        <f aca="false">IF(D781="","",IF(SUM(H781:K781)&gt;0,1,0))</f>
        <v/>
      </c>
      <c r="N781" s="33" t="str">
        <f aca="false">IF(D781="","",IF(OR(COUNTIF('Target &amp; Team Lists'!$J$5:$J$204,D781)&gt;0,ISNUMBER(SEARCH("alpha nodus",F781))),"Yes","No"))</f>
        <v/>
      </c>
      <c r="O781" s="33" t="str">
        <f aca="false">IF(D781="","",IF(N781="Yes","No",IF(OR(AND(F781&lt;&gt;"",COUNTIF('Target &amp; Team Lists'!$A$5:$A$504,F781)&gt;0),COUNTIF('Target &amp; Team Lists'!$E$5:$E$504,D781)&gt;0),"Yes","No")))</f>
        <v/>
      </c>
      <c r="P781" s="31"/>
    </row>
    <row r="782" customFormat="false" ht="15" hidden="false" customHeight="false" outlineLevel="0" collapsed="false">
      <c r="A782" s="34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2" t="str">
        <f aca="false">IF(D782="","",IF(SUM(H782:K782)&gt;0,1,0))</f>
        <v/>
      </c>
      <c r="N782" s="33" t="str">
        <f aca="false">IF(D782="","",IF(OR(COUNTIF('Target &amp; Team Lists'!$J$5:$J$204,D782)&gt;0,ISNUMBER(SEARCH("alpha nodus",F782))),"Yes","No"))</f>
        <v/>
      </c>
      <c r="O782" s="33" t="str">
        <f aca="false">IF(D782="","",IF(N782="Yes","No",IF(OR(AND(F782&lt;&gt;"",COUNTIF('Target &amp; Team Lists'!$A$5:$A$504,F782)&gt;0),COUNTIF('Target &amp; Team Lists'!$E$5:$E$504,D782)&gt;0),"Yes","No")))</f>
        <v/>
      </c>
      <c r="P782" s="31"/>
    </row>
    <row r="783" customFormat="false" ht="15" hidden="false" customHeight="false" outlineLevel="0" collapsed="false">
      <c r="A783" s="34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2" t="str">
        <f aca="false">IF(D783="","",IF(SUM(H783:K783)&gt;0,1,0))</f>
        <v/>
      </c>
      <c r="N783" s="33" t="str">
        <f aca="false">IF(D783="","",IF(OR(COUNTIF('Target &amp; Team Lists'!$J$5:$J$204,D783)&gt;0,ISNUMBER(SEARCH("alpha nodus",F783))),"Yes","No"))</f>
        <v/>
      </c>
      <c r="O783" s="33" t="str">
        <f aca="false">IF(D783="","",IF(N783="Yes","No",IF(OR(AND(F783&lt;&gt;"",COUNTIF('Target &amp; Team Lists'!$A$5:$A$504,F783)&gt;0),COUNTIF('Target &amp; Team Lists'!$E$5:$E$504,D783)&gt;0),"Yes","No")))</f>
        <v/>
      </c>
      <c r="P783" s="31"/>
    </row>
    <row r="784" customFormat="false" ht="15" hidden="false" customHeight="false" outlineLevel="0" collapsed="false">
      <c r="A784" s="34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2" t="str">
        <f aca="false">IF(D784="","",IF(SUM(H784:K784)&gt;0,1,0))</f>
        <v/>
      </c>
      <c r="N784" s="33" t="str">
        <f aca="false">IF(D784="","",IF(OR(COUNTIF('Target &amp; Team Lists'!$J$5:$J$204,D784)&gt;0,ISNUMBER(SEARCH("alpha nodus",F784))),"Yes","No"))</f>
        <v/>
      </c>
      <c r="O784" s="33" t="str">
        <f aca="false">IF(D784="","",IF(N784="Yes","No",IF(OR(AND(F784&lt;&gt;"",COUNTIF('Target &amp; Team Lists'!$A$5:$A$504,F784)&gt;0),COUNTIF('Target &amp; Team Lists'!$E$5:$E$504,D784)&gt;0),"Yes","No")))</f>
        <v/>
      </c>
      <c r="P784" s="31"/>
    </row>
    <row r="785" customFormat="false" ht="15" hidden="false" customHeight="false" outlineLevel="0" collapsed="false">
      <c r="A785" s="34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2" t="str">
        <f aca="false">IF(D785="","",IF(SUM(H785:K785)&gt;0,1,0))</f>
        <v/>
      </c>
      <c r="N785" s="33" t="str">
        <f aca="false">IF(D785="","",IF(OR(COUNTIF('Target &amp; Team Lists'!$J$5:$J$204,D785)&gt;0,ISNUMBER(SEARCH("alpha nodus",F785))),"Yes","No"))</f>
        <v/>
      </c>
      <c r="O785" s="33" t="str">
        <f aca="false">IF(D785="","",IF(N785="Yes","No",IF(OR(AND(F785&lt;&gt;"",COUNTIF('Target &amp; Team Lists'!$A$5:$A$504,F785)&gt;0),COUNTIF('Target &amp; Team Lists'!$E$5:$E$504,D785)&gt;0),"Yes","No")))</f>
        <v/>
      </c>
      <c r="P785" s="31"/>
    </row>
    <row r="786" customFormat="false" ht="15" hidden="false" customHeight="false" outlineLevel="0" collapsed="false">
      <c r="A786" s="34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2" t="str">
        <f aca="false">IF(D786="","",IF(SUM(H786:K786)&gt;0,1,0))</f>
        <v/>
      </c>
      <c r="N786" s="33" t="str">
        <f aca="false">IF(D786="","",IF(OR(COUNTIF('Target &amp; Team Lists'!$J$5:$J$204,D786)&gt;0,ISNUMBER(SEARCH("alpha nodus",F786))),"Yes","No"))</f>
        <v/>
      </c>
      <c r="O786" s="33" t="str">
        <f aca="false">IF(D786="","",IF(N786="Yes","No",IF(OR(AND(F786&lt;&gt;"",COUNTIF('Target &amp; Team Lists'!$A$5:$A$504,F786)&gt;0),COUNTIF('Target &amp; Team Lists'!$E$5:$E$504,D786)&gt;0),"Yes","No")))</f>
        <v/>
      </c>
      <c r="P786" s="31"/>
    </row>
    <row r="787" customFormat="false" ht="15" hidden="false" customHeight="false" outlineLevel="0" collapsed="false">
      <c r="A787" s="34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2" t="str">
        <f aca="false">IF(D787="","",IF(SUM(H787:K787)&gt;0,1,0))</f>
        <v/>
      </c>
      <c r="N787" s="33" t="str">
        <f aca="false">IF(D787="","",IF(OR(COUNTIF('Target &amp; Team Lists'!$J$5:$J$204,D787)&gt;0,ISNUMBER(SEARCH("alpha nodus",F787))),"Yes","No"))</f>
        <v/>
      </c>
      <c r="O787" s="33" t="str">
        <f aca="false">IF(D787="","",IF(N787="Yes","No",IF(OR(AND(F787&lt;&gt;"",COUNTIF('Target &amp; Team Lists'!$A$5:$A$504,F787)&gt;0),COUNTIF('Target &amp; Team Lists'!$E$5:$E$504,D787)&gt;0),"Yes","No")))</f>
        <v/>
      </c>
      <c r="P787" s="31"/>
    </row>
    <row r="788" customFormat="false" ht="15" hidden="false" customHeight="false" outlineLevel="0" collapsed="false">
      <c r="A788" s="34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2" t="str">
        <f aca="false">IF(D788="","",IF(SUM(H788:K788)&gt;0,1,0))</f>
        <v/>
      </c>
      <c r="N788" s="33" t="str">
        <f aca="false">IF(D788="","",IF(OR(COUNTIF('Target &amp; Team Lists'!$J$5:$J$204,D788)&gt;0,ISNUMBER(SEARCH("alpha nodus",F788))),"Yes","No"))</f>
        <v/>
      </c>
      <c r="O788" s="33" t="str">
        <f aca="false">IF(D788="","",IF(N788="Yes","No",IF(OR(AND(F788&lt;&gt;"",COUNTIF('Target &amp; Team Lists'!$A$5:$A$504,F788)&gt;0),COUNTIF('Target &amp; Team Lists'!$E$5:$E$504,D788)&gt;0),"Yes","No")))</f>
        <v/>
      </c>
      <c r="P788" s="31"/>
    </row>
    <row r="789" customFormat="false" ht="15" hidden="false" customHeight="false" outlineLevel="0" collapsed="false">
      <c r="A789" s="34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2" t="str">
        <f aca="false">IF(D789="","",IF(SUM(H789:K789)&gt;0,1,0))</f>
        <v/>
      </c>
      <c r="N789" s="33" t="str">
        <f aca="false">IF(D789="","",IF(OR(COUNTIF('Target &amp; Team Lists'!$J$5:$J$204,D789)&gt;0,ISNUMBER(SEARCH("alpha nodus",F789))),"Yes","No"))</f>
        <v/>
      </c>
      <c r="O789" s="33" t="str">
        <f aca="false">IF(D789="","",IF(N789="Yes","No",IF(OR(AND(F789&lt;&gt;"",COUNTIF('Target &amp; Team Lists'!$A$5:$A$504,F789)&gt;0),COUNTIF('Target &amp; Team Lists'!$E$5:$E$504,D789)&gt;0),"Yes","No")))</f>
        <v/>
      </c>
      <c r="P789" s="31"/>
    </row>
    <row r="790" customFormat="false" ht="15" hidden="false" customHeight="false" outlineLevel="0" collapsed="false">
      <c r="A790" s="34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2" t="str">
        <f aca="false">IF(D790="","",IF(SUM(H790:K790)&gt;0,1,0))</f>
        <v/>
      </c>
      <c r="N790" s="33" t="str">
        <f aca="false">IF(D790="","",IF(OR(COUNTIF('Target &amp; Team Lists'!$J$5:$J$204,D790)&gt;0,ISNUMBER(SEARCH("alpha nodus",F790))),"Yes","No"))</f>
        <v/>
      </c>
      <c r="O790" s="33" t="str">
        <f aca="false">IF(D790="","",IF(N790="Yes","No",IF(OR(AND(F790&lt;&gt;"",COUNTIF('Target &amp; Team Lists'!$A$5:$A$504,F790)&gt;0),COUNTIF('Target &amp; Team Lists'!$E$5:$E$504,D790)&gt;0),"Yes","No")))</f>
        <v/>
      </c>
      <c r="P790" s="31"/>
    </row>
    <row r="791" customFormat="false" ht="15" hidden="false" customHeight="false" outlineLevel="0" collapsed="false">
      <c r="A791" s="34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2" t="str">
        <f aca="false">IF(D791="","",IF(SUM(H791:K791)&gt;0,1,0))</f>
        <v/>
      </c>
      <c r="N791" s="33" t="str">
        <f aca="false">IF(D791="","",IF(OR(COUNTIF('Target &amp; Team Lists'!$J$5:$J$204,D791)&gt;0,ISNUMBER(SEARCH("alpha nodus",F791))),"Yes","No"))</f>
        <v/>
      </c>
      <c r="O791" s="33" t="str">
        <f aca="false">IF(D791="","",IF(N791="Yes","No",IF(OR(AND(F791&lt;&gt;"",COUNTIF('Target &amp; Team Lists'!$A$5:$A$504,F791)&gt;0),COUNTIF('Target &amp; Team Lists'!$E$5:$E$504,D791)&gt;0),"Yes","No")))</f>
        <v/>
      </c>
      <c r="P791" s="31"/>
    </row>
    <row r="792" customFormat="false" ht="15" hidden="false" customHeight="false" outlineLevel="0" collapsed="false">
      <c r="A792" s="34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2" t="str">
        <f aca="false">IF(D792="","",IF(SUM(H792:K792)&gt;0,1,0))</f>
        <v/>
      </c>
      <c r="N792" s="33" t="str">
        <f aca="false">IF(D792="","",IF(OR(COUNTIF('Target &amp; Team Lists'!$J$5:$J$204,D792)&gt;0,ISNUMBER(SEARCH("alpha nodus",F792))),"Yes","No"))</f>
        <v/>
      </c>
      <c r="O792" s="33" t="str">
        <f aca="false">IF(D792="","",IF(N792="Yes","No",IF(OR(AND(F792&lt;&gt;"",COUNTIF('Target &amp; Team Lists'!$A$5:$A$504,F792)&gt;0),COUNTIF('Target &amp; Team Lists'!$E$5:$E$504,D792)&gt;0),"Yes","No")))</f>
        <v/>
      </c>
      <c r="P792" s="31"/>
    </row>
    <row r="793" customFormat="false" ht="15" hidden="false" customHeight="false" outlineLevel="0" collapsed="false">
      <c r="A793" s="34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2" t="str">
        <f aca="false">IF(D793="","",IF(SUM(H793:K793)&gt;0,1,0))</f>
        <v/>
      </c>
      <c r="N793" s="33" t="str">
        <f aca="false">IF(D793="","",IF(OR(COUNTIF('Target &amp; Team Lists'!$J$5:$J$204,D793)&gt;0,ISNUMBER(SEARCH("alpha nodus",F793))),"Yes","No"))</f>
        <v/>
      </c>
      <c r="O793" s="33" t="str">
        <f aca="false">IF(D793="","",IF(N793="Yes","No",IF(OR(AND(F793&lt;&gt;"",COUNTIF('Target &amp; Team Lists'!$A$5:$A$504,F793)&gt;0),COUNTIF('Target &amp; Team Lists'!$E$5:$E$504,D793)&gt;0),"Yes","No")))</f>
        <v/>
      </c>
      <c r="P793" s="31"/>
    </row>
    <row r="794" customFormat="false" ht="15" hidden="false" customHeight="false" outlineLevel="0" collapsed="false">
      <c r="A794" s="34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2" t="str">
        <f aca="false">IF(D794="","",IF(SUM(H794:K794)&gt;0,1,0))</f>
        <v/>
      </c>
      <c r="N794" s="33" t="str">
        <f aca="false">IF(D794="","",IF(OR(COUNTIF('Target &amp; Team Lists'!$J$5:$J$204,D794)&gt;0,ISNUMBER(SEARCH("alpha nodus",F794))),"Yes","No"))</f>
        <v/>
      </c>
      <c r="O794" s="33" t="str">
        <f aca="false">IF(D794="","",IF(N794="Yes","No",IF(OR(AND(F794&lt;&gt;"",COUNTIF('Target &amp; Team Lists'!$A$5:$A$504,F794)&gt;0),COUNTIF('Target &amp; Team Lists'!$E$5:$E$504,D794)&gt;0),"Yes","No")))</f>
        <v/>
      </c>
      <c r="P794" s="31"/>
    </row>
    <row r="795" customFormat="false" ht="15" hidden="false" customHeight="false" outlineLevel="0" collapsed="false">
      <c r="A795" s="34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2" t="str">
        <f aca="false">IF(D795="","",IF(SUM(H795:K795)&gt;0,1,0))</f>
        <v/>
      </c>
      <c r="N795" s="33" t="str">
        <f aca="false">IF(D795="","",IF(OR(COUNTIF('Target &amp; Team Lists'!$J$5:$J$204,D795)&gt;0,ISNUMBER(SEARCH("alpha nodus",F795))),"Yes","No"))</f>
        <v/>
      </c>
      <c r="O795" s="33" t="str">
        <f aca="false">IF(D795="","",IF(N795="Yes","No",IF(OR(AND(F795&lt;&gt;"",COUNTIF('Target &amp; Team Lists'!$A$5:$A$504,F795)&gt;0),COUNTIF('Target &amp; Team Lists'!$E$5:$E$504,D795)&gt;0),"Yes","No")))</f>
        <v/>
      </c>
      <c r="P795" s="31"/>
    </row>
    <row r="796" customFormat="false" ht="15" hidden="false" customHeight="false" outlineLevel="0" collapsed="false">
      <c r="A796" s="34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2" t="str">
        <f aca="false">IF(D796="","",IF(SUM(H796:K796)&gt;0,1,0))</f>
        <v/>
      </c>
      <c r="N796" s="33" t="str">
        <f aca="false">IF(D796="","",IF(OR(COUNTIF('Target &amp; Team Lists'!$J$5:$J$204,D796)&gt;0,ISNUMBER(SEARCH("alpha nodus",F796))),"Yes","No"))</f>
        <v/>
      </c>
      <c r="O796" s="33" t="str">
        <f aca="false">IF(D796="","",IF(N796="Yes","No",IF(OR(AND(F796&lt;&gt;"",COUNTIF('Target &amp; Team Lists'!$A$5:$A$504,F796)&gt;0),COUNTIF('Target &amp; Team Lists'!$E$5:$E$504,D796)&gt;0),"Yes","No")))</f>
        <v/>
      </c>
      <c r="P796" s="31"/>
    </row>
    <row r="797" customFormat="false" ht="15" hidden="false" customHeight="false" outlineLevel="0" collapsed="false">
      <c r="A797" s="34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2" t="str">
        <f aca="false">IF(D797="","",IF(SUM(H797:K797)&gt;0,1,0))</f>
        <v/>
      </c>
      <c r="N797" s="33" t="str">
        <f aca="false">IF(D797="","",IF(OR(COUNTIF('Target &amp; Team Lists'!$J$5:$J$204,D797)&gt;0,ISNUMBER(SEARCH("alpha nodus",F797))),"Yes","No"))</f>
        <v/>
      </c>
      <c r="O797" s="33" t="str">
        <f aca="false">IF(D797="","",IF(N797="Yes","No",IF(OR(AND(F797&lt;&gt;"",COUNTIF('Target &amp; Team Lists'!$A$5:$A$504,F797)&gt;0),COUNTIF('Target &amp; Team Lists'!$E$5:$E$504,D797)&gt;0),"Yes","No")))</f>
        <v/>
      </c>
      <c r="P797" s="31"/>
    </row>
    <row r="798" customFormat="false" ht="15" hidden="false" customHeight="false" outlineLevel="0" collapsed="false">
      <c r="A798" s="34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2" t="str">
        <f aca="false">IF(D798="","",IF(SUM(H798:K798)&gt;0,1,0))</f>
        <v/>
      </c>
      <c r="N798" s="33" t="str">
        <f aca="false">IF(D798="","",IF(OR(COUNTIF('Target &amp; Team Lists'!$J$5:$J$204,D798)&gt;0,ISNUMBER(SEARCH("alpha nodus",F798))),"Yes","No"))</f>
        <v/>
      </c>
      <c r="O798" s="33" t="str">
        <f aca="false">IF(D798="","",IF(N798="Yes","No",IF(OR(AND(F798&lt;&gt;"",COUNTIF('Target &amp; Team Lists'!$A$5:$A$504,F798)&gt;0),COUNTIF('Target &amp; Team Lists'!$E$5:$E$504,D798)&gt;0),"Yes","No")))</f>
        <v/>
      </c>
      <c r="P798" s="31"/>
    </row>
    <row r="799" customFormat="false" ht="15" hidden="false" customHeight="false" outlineLevel="0" collapsed="false">
      <c r="A799" s="34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2" t="str">
        <f aca="false">IF(D799="","",IF(SUM(H799:K799)&gt;0,1,0))</f>
        <v/>
      </c>
      <c r="N799" s="33" t="str">
        <f aca="false">IF(D799="","",IF(OR(COUNTIF('Target &amp; Team Lists'!$J$5:$J$204,D799)&gt;0,ISNUMBER(SEARCH("alpha nodus",F799))),"Yes","No"))</f>
        <v/>
      </c>
      <c r="O799" s="33" t="str">
        <f aca="false">IF(D799="","",IF(N799="Yes","No",IF(OR(AND(F799&lt;&gt;"",COUNTIF('Target &amp; Team Lists'!$A$5:$A$504,F799)&gt;0),COUNTIF('Target &amp; Team Lists'!$E$5:$E$504,D799)&gt;0),"Yes","No")))</f>
        <v/>
      </c>
      <c r="P799" s="31"/>
    </row>
    <row r="800" customFormat="false" ht="15" hidden="false" customHeight="false" outlineLevel="0" collapsed="false">
      <c r="A800" s="34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2" t="str">
        <f aca="false">IF(D800="","",IF(SUM(H800:K800)&gt;0,1,0))</f>
        <v/>
      </c>
      <c r="N800" s="33" t="str">
        <f aca="false">IF(D800="","",IF(OR(COUNTIF('Target &amp; Team Lists'!$J$5:$J$204,D800)&gt;0,ISNUMBER(SEARCH("alpha nodus",F800))),"Yes","No"))</f>
        <v/>
      </c>
      <c r="O800" s="33" t="str">
        <f aca="false">IF(D800="","",IF(N800="Yes","No",IF(OR(AND(F800&lt;&gt;"",COUNTIF('Target &amp; Team Lists'!$A$5:$A$504,F800)&gt;0),COUNTIF('Target &amp; Team Lists'!$E$5:$E$504,D800)&gt;0),"Yes","No")))</f>
        <v/>
      </c>
      <c r="P800" s="31"/>
    </row>
    <row r="801" customFormat="false" ht="15" hidden="false" customHeight="false" outlineLevel="0" collapsed="false">
      <c r="A801" s="34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2" t="str">
        <f aca="false">IF(D801="","",IF(SUM(H801:K801)&gt;0,1,0))</f>
        <v/>
      </c>
      <c r="N801" s="33" t="str">
        <f aca="false">IF(D801="","",IF(OR(COUNTIF('Target &amp; Team Lists'!$J$5:$J$204,D801)&gt;0,ISNUMBER(SEARCH("alpha nodus",F801))),"Yes","No"))</f>
        <v/>
      </c>
      <c r="O801" s="33" t="str">
        <f aca="false">IF(D801="","",IF(N801="Yes","No",IF(OR(AND(F801&lt;&gt;"",COUNTIF('Target &amp; Team Lists'!$A$5:$A$504,F801)&gt;0),COUNTIF('Target &amp; Team Lists'!$E$5:$E$504,D801)&gt;0),"Yes","No")))</f>
        <v/>
      </c>
      <c r="P801" s="31"/>
    </row>
    <row r="802" customFormat="false" ht="15" hidden="false" customHeight="false" outlineLevel="0" collapsed="false">
      <c r="A802" s="34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2" t="str">
        <f aca="false">IF(D802="","",IF(SUM(H802:K802)&gt;0,1,0))</f>
        <v/>
      </c>
      <c r="N802" s="33" t="str">
        <f aca="false">IF(D802="","",IF(OR(COUNTIF('Target &amp; Team Lists'!$J$5:$J$204,D802)&gt;0,ISNUMBER(SEARCH("alpha nodus",F802))),"Yes","No"))</f>
        <v/>
      </c>
      <c r="O802" s="33" t="str">
        <f aca="false">IF(D802="","",IF(N802="Yes","No",IF(OR(AND(F802&lt;&gt;"",COUNTIF('Target &amp; Team Lists'!$A$5:$A$504,F802)&gt;0),COUNTIF('Target &amp; Team Lists'!$E$5:$E$504,D802)&gt;0),"Yes","No")))</f>
        <v/>
      </c>
      <c r="P802" s="31"/>
    </row>
    <row r="803" customFormat="false" ht="15" hidden="false" customHeight="false" outlineLevel="0" collapsed="false">
      <c r="A803" s="34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2" t="str">
        <f aca="false">IF(D803="","",IF(SUM(H803:K803)&gt;0,1,0))</f>
        <v/>
      </c>
      <c r="N803" s="33" t="str">
        <f aca="false">IF(D803="","",IF(OR(COUNTIF('Target &amp; Team Lists'!$J$5:$J$204,D803)&gt;0,ISNUMBER(SEARCH("alpha nodus",F803))),"Yes","No"))</f>
        <v/>
      </c>
      <c r="O803" s="33" t="str">
        <f aca="false">IF(D803="","",IF(N803="Yes","No",IF(OR(AND(F803&lt;&gt;"",COUNTIF('Target &amp; Team Lists'!$A$5:$A$504,F803)&gt;0),COUNTIF('Target &amp; Team Lists'!$E$5:$E$504,D803)&gt;0),"Yes","No")))</f>
        <v/>
      </c>
      <c r="P803" s="31"/>
    </row>
    <row r="804" customFormat="false" ht="15" hidden="false" customHeight="false" outlineLevel="0" collapsed="false">
      <c r="A804" s="34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2" t="str">
        <f aca="false">IF(D804="","",IF(SUM(H804:K804)&gt;0,1,0))</f>
        <v/>
      </c>
      <c r="N804" s="33" t="str">
        <f aca="false">IF(D804="","",IF(OR(COUNTIF('Target &amp; Team Lists'!$J$5:$J$204,D804)&gt;0,ISNUMBER(SEARCH("alpha nodus",F804))),"Yes","No"))</f>
        <v/>
      </c>
      <c r="O804" s="33" t="str">
        <f aca="false">IF(D804="","",IF(N804="Yes","No",IF(OR(AND(F804&lt;&gt;"",COUNTIF('Target &amp; Team Lists'!$A$5:$A$504,F804)&gt;0),COUNTIF('Target &amp; Team Lists'!$E$5:$E$504,D804)&gt;0),"Yes","No")))</f>
        <v/>
      </c>
      <c r="P804" s="31"/>
    </row>
    <row r="805" customFormat="false" ht="15" hidden="false" customHeight="false" outlineLevel="0" collapsed="false">
      <c r="A805" s="34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2" t="str">
        <f aca="false">IF(D805="","",IF(SUM(H805:K805)&gt;0,1,0))</f>
        <v/>
      </c>
      <c r="N805" s="33" t="str">
        <f aca="false">IF(D805="","",IF(OR(COUNTIF('Target &amp; Team Lists'!$J$5:$J$204,D805)&gt;0,ISNUMBER(SEARCH("alpha nodus",F805))),"Yes","No"))</f>
        <v/>
      </c>
      <c r="O805" s="33" t="str">
        <f aca="false">IF(D805="","",IF(N805="Yes","No",IF(OR(AND(F805&lt;&gt;"",COUNTIF('Target &amp; Team Lists'!$A$5:$A$504,F805)&gt;0),COUNTIF('Target &amp; Team Lists'!$E$5:$E$504,D805)&gt;0),"Yes","No")))</f>
        <v/>
      </c>
      <c r="P805" s="31"/>
    </row>
    <row r="806" customFormat="false" ht="15" hidden="false" customHeight="false" outlineLevel="0" collapsed="false">
      <c r="A806" s="34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2" t="str">
        <f aca="false">IF(D806="","",IF(SUM(H806:K806)&gt;0,1,0))</f>
        <v/>
      </c>
      <c r="N806" s="33" t="str">
        <f aca="false">IF(D806="","",IF(OR(COUNTIF('Target &amp; Team Lists'!$J$5:$J$204,D806)&gt;0,ISNUMBER(SEARCH("alpha nodus",F806))),"Yes","No"))</f>
        <v/>
      </c>
      <c r="O806" s="33" t="str">
        <f aca="false">IF(D806="","",IF(N806="Yes","No",IF(OR(AND(F806&lt;&gt;"",COUNTIF('Target &amp; Team Lists'!$A$5:$A$504,F806)&gt;0),COUNTIF('Target &amp; Team Lists'!$E$5:$E$504,D806)&gt;0),"Yes","No")))</f>
        <v/>
      </c>
      <c r="P806" s="31"/>
    </row>
    <row r="807" customFormat="false" ht="15" hidden="false" customHeight="false" outlineLevel="0" collapsed="false">
      <c r="A807" s="34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2" t="str">
        <f aca="false">IF(D807="","",IF(SUM(H807:K807)&gt;0,1,0))</f>
        <v/>
      </c>
      <c r="N807" s="33" t="str">
        <f aca="false">IF(D807="","",IF(OR(COUNTIF('Target &amp; Team Lists'!$J$5:$J$204,D807)&gt;0,ISNUMBER(SEARCH("alpha nodus",F807))),"Yes","No"))</f>
        <v/>
      </c>
      <c r="O807" s="33" t="str">
        <f aca="false">IF(D807="","",IF(N807="Yes","No",IF(OR(AND(F807&lt;&gt;"",COUNTIF('Target &amp; Team Lists'!$A$5:$A$504,F807)&gt;0),COUNTIF('Target &amp; Team Lists'!$E$5:$E$504,D807)&gt;0),"Yes","No")))</f>
        <v/>
      </c>
      <c r="P807" s="31"/>
    </row>
    <row r="808" customFormat="false" ht="15" hidden="false" customHeight="false" outlineLevel="0" collapsed="false">
      <c r="A808" s="34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2" t="str">
        <f aca="false">IF(D808="","",IF(SUM(H808:K808)&gt;0,1,0))</f>
        <v/>
      </c>
      <c r="N808" s="33" t="str">
        <f aca="false">IF(D808="","",IF(OR(COUNTIF('Target &amp; Team Lists'!$J$5:$J$204,D808)&gt;0,ISNUMBER(SEARCH("alpha nodus",F808))),"Yes","No"))</f>
        <v/>
      </c>
      <c r="O808" s="33" t="str">
        <f aca="false">IF(D808="","",IF(N808="Yes","No",IF(OR(AND(F808&lt;&gt;"",COUNTIF('Target &amp; Team Lists'!$A$5:$A$504,F808)&gt;0),COUNTIF('Target &amp; Team Lists'!$E$5:$E$504,D808)&gt;0),"Yes","No")))</f>
        <v/>
      </c>
      <c r="P808" s="31"/>
    </row>
    <row r="809" customFormat="false" ht="15" hidden="false" customHeight="false" outlineLevel="0" collapsed="false">
      <c r="A809" s="34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2" t="str">
        <f aca="false">IF(D809="","",IF(SUM(H809:K809)&gt;0,1,0))</f>
        <v/>
      </c>
      <c r="N809" s="33" t="str">
        <f aca="false">IF(D809="","",IF(OR(COUNTIF('Target &amp; Team Lists'!$J$5:$J$204,D809)&gt;0,ISNUMBER(SEARCH("alpha nodus",F809))),"Yes","No"))</f>
        <v/>
      </c>
      <c r="O809" s="33" t="str">
        <f aca="false">IF(D809="","",IF(N809="Yes","No",IF(OR(AND(F809&lt;&gt;"",COUNTIF('Target &amp; Team Lists'!$A$5:$A$504,F809)&gt;0),COUNTIF('Target &amp; Team Lists'!$E$5:$E$504,D809)&gt;0),"Yes","No")))</f>
        <v/>
      </c>
      <c r="P809" s="31"/>
    </row>
    <row r="810" customFormat="false" ht="15" hidden="false" customHeight="false" outlineLevel="0" collapsed="false">
      <c r="A810" s="34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2" t="str">
        <f aca="false">IF(D810="","",IF(SUM(H810:K810)&gt;0,1,0))</f>
        <v/>
      </c>
      <c r="N810" s="33" t="str">
        <f aca="false">IF(D810="","",IF(OR(COUNTIF('Target &amp; Team Lists'!$J$5:$J$204,D810)&gt;0,ISNUMBER(SEARCH("alpha nodus",F810))),"Yes","No"))</f>
        <v/>
      </c>
      <c r="O810" s="33" t="str">
        <f aca="false">IF(D810="","",IF(N810="Yes","No",IF(OR(AND(F810&lt;&gt;"",COUNTIF('Target &amp; Team Lists'!$A$5:$A$504,F810)&gt;0),COUNTIF('Target &amp; Team Lists'!$E$5:$E$504,D810)&gt;0),"Yes","No")))</f>
        <v/>
      </c>
      <c r="P810" s="31"/>
    </row>
    <row r="811" customFormat="false" ht="15" hidden="false" customHeight="false" outlineLevel="0" collapsed="false">
      <c r="A811" s="34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2" t="str">
        <f aca="false">IF(D811="","",IF(SUM(H811:K811)&gt;0,1,0))</f>
        <v/>
      </c>
      <c r="N811" s="33" t="str">
        <f aca="false">IF(D811="","",IF(OR(COUNTIF('Target &amp; Team Lists'!$J$5:$J$204,D811)&gt;0,ISNUMBER(SEARCH("alpha nodus",F811))),"Yes","No"))</f>
        <v/>
      </c>
      <c r="O811" s="33" t="str">
        <f aca="false">IF(D811="","",IF(N811="Yes","No",IF(OR(AND(F811&lt;&gt;"",COUNTIF('Target &amp; Team Lists'!$A$5:$A$504,F811)&gt;0),COUNTIF('Target &amp; Team Lists'!$E$5:$E$504,D811)&gt;0),"Yes","No")))</f>
        <v/>
      </c>
      <c r="P811" s="31"/>
    </row>
    <row r="812" customFormat="false" ht="15" hidden="false" customHeight="false" outlineLevel="0" collapsed="false">
      <c r="A812" s="34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2" t="str">
        <f aca="false">IF(D812="","",IF(SUM(H812:K812)&gt;0,1,0))</f>
        <v/>
      </c>
      <c r="N812" s="33" t="str">
        <f aca="false">IF(D812="","",IF(OR(COUNTIF('Target &amp; Team Lists'!$J$5:$J$204,D812)&gt;0,ISNUMBER(SEARCH("alpha nodus",F812))),"Yes","No"))</f>
        <v/>
      </c>
      <c r="O812" s="33" t="str">
        <f aca="false">IF(D812="","",IF(N812="Yes","No",IF(OR(AND(F812&lt;&gt;"",COUNTIF('Target &amp; Team Lists'!$A$5:$A$504,F812)&gt;0),COUNTIF('Target &amp; Team Lists'!$E$5:$E$504,D812)&gt;0),"Yes","No")))</f>
        <v/>
      </c>
      <c r="P812" s="31"/>
    </row>
    <row r="813" customFormat="false" ht="15" hidden="false" customHeight="false" outlineLevel="0" collapsed="false">
      <c r="A813" s="34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2" t="str">
        <f aca="false">IF(D813="","",IF(SUM(H813:K813)&gt;0,1,0))</f>
        <v/>
      </c>
      <c r="N813" s="33" t="str">
        <f aca="false">IF(D813="","",IF(OR(COUNTIF('Target &amp; Team Lists'!$J$5:$J$204,D813)&gt;0,ISNUMBER(SEARCH("alpha nodus",F813))),"Yes","No"))</f>
        <v/>
      </c>
      <c r="O813" s="33" t="str">
        <f aca="false">IF(D813="","",IF(N813="Yes","No",IF(OR(AND(F813&lt;&gt;"",COUNTIF('Target &amp; Team Lists'!$A$5:$A$504,F813)&gt;0),COUNTIF('Target &amp; Team Lists'!$E$5:$E$504,D813)&gt;0),"Yes","No")))</f>
        <v/>
      </c>
      <c r="P813" s="31"/>
    </row>
    <row r="814" customFormat="false" ht="15" hidden="false" customHeight="false" outlineLevel="0" collapsed="false">
      <c r="A814" s="34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2" t="str">
        <f aca="false">IF(D814="","",IF(SUM(H814:K814)&gt;0,1,0))</f>
        <v/>
      </c>
      <c r="N814" s="33" t="str">
        <f aca="false">IF(D814="","",IF(OR(COUNTIF('Target &amp; Team Lists'!$J$5:$J$204,D814)&gt;0,ISNUMBER(SEARCH("alpha nodus",F814))),"Yes","No"))</f>
        <v/>
      </c>
      <c r="O814" s="33" t="str">
        <f aca="false">IF(D814="","",IF(N814="Yes","No",IF(OR(AND(F814&lt;&gt;"",COUNTIF('Target &amp; Team Lists'!$A$5:$A$504,F814)&gt;0),COUNTIF('Target &amp; Team Lists'!$E$5:$E$504,D814)&gt;0),"Yes","No")))</f>
        <v/>
      </c>
      <c r="P814" s="31"/>
    </row>
    <row r="815" customFormat="false" ht="15" hidden="false" customHeight="false" outlineLevel="0" collapsed="false">
      <c r="A815" s="34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2" t="str">
        <f aca="false">IF(D815="","",IF(SUM(H815:K815)&gt;0,1,0))</f>
        <v/>
      </c>
      <c r="N815" s="33" t="str">
        <f aca="false">IF(D815="","",IF(OR(COUNTIF('Target &amp; Team Lists'!$J$5:$J$204,D815)&gt;0,ISNUMBER(SEARCH("alpha nodus",F815))),"Yes","No"))</f>
        <v/>
      </c>
      <c r="O815" s="33" t="str">
        <f aca="false">IF(D815="","",IF(N815="Yes","No",IF(OR(AND(F815&lt;&gt;"",COUNTIF('Target &amp; Team Lists'!$A$5:$A$504,F815)&gt;0),COUNTIF('Target &amp; Team Lists'!$E$5:$E$504,D815)&gt;0),"Yes","No")))</f>
        <v/>
      </c>
      <c r="P815" s="31"/>
    </row>
    <row r="816" customFormat="false" ht="15" hidden="false" customHeight="false" outlineLevel="0" collapsed="false">
      <c r="A816" s="34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2" t="str">
        <f aca="false">IF(D816="","",IF(SUM(H816:K816)&gt;0,1,0))</f>
        <v/>
      </c>
      <c r="N816" s="33" t="str">
        <f aca="false">IF(D816="","",IF(OR(COUNTIF('Target &amp; Team Lists'!$J$5:$J$204,D816)&gt;0,ISNUMBER(SEARCH("alpha nodus",F816))),"Yes","No"))</f>
        <v/>
      </c>
      <c r="O816" s="33" t="str">
        <f aca="false">IF(D816="","",IF(N816="Yes","No",IF(OR(AND(F816&lt;&gt;"",COUNTIF('Target &amp; Team Lists'!$A$5:$A$504,F816)&gt;0),COUNTIF('Target &amp; Team Lists'!$E$5:$E$504,D816)&gt;0),"Yes","No")))</f>
        <v/>
      </c>
      <c r="P816" s="31"/>
    </row>
    <row r="817" customFormat="false" ht="15" hidden="false" customHeight="false" outlineLevel="0" collapsed="false">
      <c r="A817" s="34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2" t="str">
        <f aca="false">IF(D817="","",IF(SUM(H817:K817)&gt;0,1,0))</f>
        <v/>
      </c>
      <c r="N817" s="33" t="str">
        <f aca="false">IF(D817="","",IF(OR(COUNTIF('Target &amp; Team Lists'!$J$5:$J$204,D817)&gt;0,ISNUMBER(SEARCH("alpha nodus",F817))),"Yes","No"))</f>
        <v/>
      </c>
      <c r="O817" s="33" t="str">
        <f aca="false">IF(D817="","",IF(N817="Yes","No",IF(OR(AND(F817&lt;&gt;"",COUNTIF('Target &amp; Team Lists'!$A$5:$A$504,F817)&gt;0),COUNTIF('Target &amp; Team Lists'!$E$5:$E$504,D817)&gt;0),"Yes","No")))</f>
        <v/>
      </c>
      <c r="P817" s="31"/>
    </row>
    <row r="818" customFormat="false" ht="15" hidden="false" customHeight="false" outlineLevel="0" collapsed="false">
      <c r="A818" s="34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2" t="str">
        <f aca="false">IF(D818="","",IF(SUM(H818:K818)&gt;0,1,0))</f>
        <v/>
      </c>
      <c r="N818" s="33" t="str">
        <f aca="false">IF(D818="","",IF(OR(COUNTIF('Target &amp; Team Lists'!$J$5:$J$204,D818)&gt;0,ISNUMBER(SEARCH("alpha nodus",F818))),"Yes","No"))</f>
        <v/>
      </c>
      <c r="O818" s="33" t="str">
        <f aca="false">IF(D818="","",IF(N818="Yes","No",IF(OR(AND(F818&lt;&gt;"",COUNTIF('Target &amp; Team Lists'!$A$5:$A$504,F818)&gt;0),COUNTIF('Target &amp; Team Lists'!$E$5:$E$504,D818)&gt;0),"Yes","No")))</f>
        <v/>
      </c>
      <c r="P818" s="31"/>
    </row>
    <row r="819" customFormat="false" ht="15" hidden="false" customHeight="false" outlineLevel="0" collapsed="false">
      <c r="A819" s="34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2" t="str">
        <f aca="false">IF(D819="","",IF(SUM(H819:K819)&gt;0,1,0))</f>
        <v/>
      </c>
      <c r="N819" s="33" t="str">
        <f aca="false">IF(D819="","",IF(OR(COUNTIF('Target &amp; Team Lists'!$J$5:$J$204,D819)&gt;0,ISNUMBER(SEARCH("alpha nodus",F819))),"Yes","No"))</f>
        <v/>
      </c>
      <c r="O819" s="33" t="str">
        <f aca="false">IF(D819="","",IF(N819="Yes","No",IF(OR(AND(F819&lt;&gt;"",COUNTIF('Target &amp; Team Lists'!$A$5:$A$504,F819)&gt;0),COUNTIF('Target &amp; Team Lists'!$E$5:$E$504,D819)&gt;0),"Yes","No")))</f>
        <v/>
      </c>
      <c r="P819" s="31"/>
    </row>
    <row r="820" customFormat="false" ht="15" hidden="false" customHeight="false" outlineLevel="0" collapsed="false">
      <c r="A820" s="34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2" t="str">
        <f aca="false">IF(D820="","",IF(SUM(H820:K820)&gt;0,1,0))</f>
        <v/>
      </c>
      <c r="N820" s="33" t="str">
        <f aca="false">IF(D820="","",IF(OR(COUNTIF('Target &amp; Team Lists'!$J$5:$J$204,D820)&gt;0,ISNUMBER(SEARCH("alpha nodus",F820))),"Yes","No"))</f>
        <v/>
      </c>
      <c r="O820" s="33" t="str">
        <f aca="false">IF(D820="","",IF(N820="Yes","No",IF(OR(AND(F820&lt;&gt;"",COUNTIF('Target &amp; Team Lists'!$A$5:$A$504,F820)&gt;0),COUNTIF('Target &amp; Team Lists'!$E$5:$E$504,D820)&gt;0),"Yes","No")))</f>
        <v/>
      </c>
      <c r="P820" s="31"/>
    </row>
    <row r="821" customFormat="false" ht="15" hidden="false" customHeight="false" outlineLevel="0" collapsed="false">
      <c r="A821" s="34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2" t="str">
        <f aca="false">IF(D821="","",IF(SUM(H821:K821)&gt;0,1,0))</f>
        <v/>
      </c>
      <c r="N821" s="33" t="str">
        <f aca="false">IF(D821="","",IF(OR(COUNTIF('Target &amp; Team Lists'!$J$5:$J$204,D821)&gt;0,ISNUMBER(SEARCH("alpha nodus",F821))),"Yes","No"))</f>
        <v/>
      </c>
      <c r="O821" s="33" t="str">
        <f aca="false">IF(D821="","",IF(N821="Yes","No",IF(OR(AND(F821&lt;&gt;"",COUNTIF('Target &amp; Team Lists'!$A$5:$A$504,F821)&gt;0),COUNTIF('Target &amp; Team Lists'!$E$5:$E$504,D821)&gt;0),"Yes","No")))</f>
        <v/>
      </c>
      <c r="P821" s="31"/>
    </row>
    <row r="822" customFormat="false" ht="15" hidden="false" customHeight="false" outlineLevel="0" collapsed="false">
      <c r="A822" s="34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2" t="str">
        <f aca="false">IF(D822="","",IF(SUM(H822:K822)&gt;0,1,0))</f>
        <v/>
      </c>
      <c r="N822" s="33" t="str">
        <f aca="false">IF(D822="","",IF(OR(COUNTIF('Target &amp; Team Lists'!$J$5:$J$204,D822)&gt;0,ISNUMBER(SEARCH("alpha nodus",F822))),"Yes","No"))</f>
        <v/>
      </c>
      <c r="O822" s="33" t="str">
        <f aca="false">IF(D822="","",IF(N822="Yes","No",IF(OR(AND(F822&lt;&gt;"",COUNTIF('Target &amp; Team Lists'!$A$5:$A$504,F822)&gt;0),COUNTIF('Target &amp; Team Lists'!$E$5:$E$504,D822)&gt;0),"Yes","No")))</f>
        <v/>
      </c>
      <c r="P822" s="31"/>
    </row>
    <row r="823" customFormat="false" ht="15" hidden="false" customHeight="false" outlineLevel="0" collapsed="false">
      <c r="A823" s="34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2" t="str">
        <f aca="false">IF(D823="","",IF(SUM(H823:K823)&gt;0,1,0))</f>
        <v/>
      </c>
      <c r="N823" s="33" t="str">
        <f aca="false">IF(D823="","",IF(OR(COUNTIF('Target &amp; Team Lists'!$J$5:$J$204,D823)&gt;0,ISNUMBER(SEARCH("alpha nodus",F823))),"Yes","No"))</f>
        <v/>
      </c>
      <c r="O823" s="33" t="str">
        <f aca="false">IF(D823="","",IF(N823="Yes","No",IF(OR(AND(F823&lt;&gt;"",COUNTIF('Target &amp; Team Lists'!$A$5:$A$504,F823)&gt;0),COUNTIF('Target &amp; Team Lists'!$E$5:$E$504,D823)&gt;0),"Yes","No")))</f>
        <v/>
      </c>
      <c r="P823" s="31"/>
    </row>
    <row r="824" customFormat="false" ht="15" hidden="false" customHeight="false" outlineLevel="0" collapsed="false">
      <c r="A824" s="34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2" t="str">
        <f aca="false">IF(D824="","",IF(SUM(H824:K824)&gt;0,1,0))</f>
        <v/>
      </c>
      <c r="N824" s="33" t="str">
        <f aca="false">IF(D824="","",IF(OR(COUNTIF('Target &amp; Team Lists'!$J$5:$J$204,D824)&gt;0,ISNUMBER(SEARCH("alpha nodus",F824))),"Yes","No"))</f>
        <v/>
      </c>
      <c r="O824" s="33" t="str">
        <f aca="false">IF(D824="","",IF(N824="Yes","No",IF(OR(AND(F824&lt;&gt;"",COUNTIF('Target &amp; Team Lists'!$A$5:$A$504,F824)&gt;0),COUNTIF('Target &amp; Team Lists'!$E$5:$E$504,D824)&gt;0),"Yes","No")))</f>
        <v/>
      </c>
      <c r="P824" s="31"/>
    </row>
    <row r="825" customFormat="false" ht="15" hidden="false" customHeight="false" outlineLevel="0" collapsed="false">
      <c r="A825" s="34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2" t="str">
        <f aca="false">IF(D825="","",IF(SUM(H825:K825)&gt;0,1,0))</f>
        <v/>
      </c>
      <c r="N825" s="33" t="str">
        <f aca="false">IF(D825="","",IF(OR(COUNTIF('Target &amp; Team Lists'!$J$5:$J$204,D825)&gt;0,ISNUMBER(SEARCH("alpha nodus",F825))),"Yes","No"))</f>
        <v/>
      </c>
      <c r="O825" s="33" t="str">
        <f aca="false">IF(D825="","",IF(N825="Yes","No",IF(OR(AND(F825&lt;&gt;"",COUNTIF('Target &amp; Team Lists'!$A$5:$A$504,F825)&gt;0),COUNTIF('Target &amp; Team Lists'!$E$5:$E$504,D825)&gt;0),"Yes","No")))</f>
        <v/>
      </c>
      <c r="P825" s="31"/>
    </row>
    <row r="826" customFormat="false" ht="15" hidden="false" customHeight="false" outlineLevel="0" collapsed="false">
      <c r="A826" s="34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2" t="str">
        <f aca="false">IF(D826="","",IF(SUM(H826:K826)&gt;0,1,0))</f>
        <v/>
      </c>
      <c r="N826" s="33" t="str">
        <f aca="false">IF(D826="","",IF(OR(COUNTIF('Target &amp; Team Lists'!$J$5:$J$204,D826)&gt;0,ISNUMBER(SEARCH("alpha nodus",F826))),"Yes","No"))</f>
        <v/>
      </c>
      <c r="O826" s="33" t="str">
        <f aca="false">IF(D826="","",IF(N826="Yes","No",IF(OR(AND(F826&lt;&gt;"",COUNTIF('Target &amp; Team Lists'!$A$5:$A$504,F826)&gt;0),COUNTIF('Target &amp; Team Lists'!$E$5:$E$504,D826)&gt;0),"Yes","No")))</f>
        <v/>
      </c>
      <c r="P826" s="31"/>
    </row>
    <row r="827" customFormat="false" ht="15" hidden="false" customHeight="false" outlineLevel="0" collapsed="false">
      <c r="A827" s="34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2" t="str">
        <f aca="false">IF(D827="","",IF(SUM(H827:K827)&gt;0,1,0))</f>
        <v/>
      </c>
      <c r="N827" s="33" t="str">
        <f aca="false">IF(D827="","",IF(OR(COUNTIF('Target &amp; Team Lists'!$J$5:$J$204,D827)&gt;0,ISNUMBER(SEARCH("alpha nodus",F827))),"Yes","No"))</f>
        <v/>
      </c>
      <c r="O827" s="33" t="str">
        <f aca="false">IF(D827="","",IF(N827="Yes","No",IF(OR(AND(F827&lt;&gt;"",COUNTIF('Target &amp; Team Lists'!$A$5:$A$504,F827)&gt;0),COUNTIF('Target &amp; Team Lists'!$E$5:$E$504,D827)&gt;0),"Yes","No")))</f>
        <v/>
      </c>
      <c r="P827" s="31"/>
    </row>
    <row r="828" customFormat="false" ht="15" hidden="false" customHeight="false" outlineLevel="0" collapsed="false">
      <c r="A828" s="34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2" t="str">
        <f aca="false">IF(D828="","",IF(SUM(H828:K828)&gt;0,1,0))</f>
        <v/>
      </c>
      <c r="N828" s="33" t="str">
        <f aca="false">IF(D828="","",IF(OR(COUNTIF('Target &amp; Team Lists'!$J$5:$J$204,D828)&gt;0,ISNUMBER(SEARCH("alpha nodus",F828))),"Yes","No"))</f>
        <v/>
      </c>
      <c r="O828" s="33" t="str">
        <f aca="false">IF(D828="","",IF(N828="Yes","No",IF(OR(AND(F828&lt;&gt;"",COUNTIF('Target &amp; Team Lists'!$A$5:$A$504,F828)&gt;0),COUNTIF('Target &amp; Team Lists'!$E$5:$E$504,D828)&gt;0),"Yes","No")))</f>
        <v/>
      </c>
      <c r="P828" s="31"/>
    </row>
    <row r="829" customFormat="false" ht="15" hidden="false" customHeight="false" outlineLevel="0" collapsed="false">
      <c r="A829" s="34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2" t="str">
        <f aca="false">IF(D829="","",IF(SUM(H829:K829)&gt;0,1,0))</f>
        <v/>
      </c>
      <c r="N829" s="33" t="str">
        <f aca="false">IF(D829="","",IF(OR(COUNTIF('Target &amp; Team Lists'!$J$5:$J$204,D829)&gt;0,ISNUMBER(SEARCH("alpha nodus",F829))),"Yes","No"))</f>
        <v/>
      </c>
      <c r="O829" s="33" t="str">
        <f aca="false">IF(D829="","",IF(N829="Yes","No",IF(OR(AND(F829&lt;&gt;"",COUNTIF('Target &amp; Team Lists'!$A$5:$A$504,F829)&gt;0),COUNTIF('Target &amp; Team Lists'!$E$5:$E$504,D829)&gt;0),"Yes","No")))</f>
        <v/>
      </c>
      <c r="P829" s="31"/>
    </row>
    <row r="830" customFormat="false" ht="15" hidden="false" customHeight="false" outlineLevel="0" collapsed="false">
      <c r="A830" s="34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2" t="str">
        <f aca="false">IF(D830="","",IF(SUM(H830:K830)&gt;0,1,0))</f>
        <v/>
      </c>
      <c r="N830" s="33" t="str">
        <f aca="false">IF(D830="","",IF(OR(COUNTIF('Target &amp; Team Lists'!$J$5:$J$204,D830)&gt;0,ISNUMBER(SEARCH("alpha nodus",F830))),"Yes","No"))</f>
        <v/>
      </c>
      <c r="O830" s="33" t="str">
        <f aca="false">IF(D830="","",IF(N830="Yes","No",IF(OR(AND(F830&lt;&gt;"",COUNTIF('Target &amp; Team Lists'!$A$5:$A$504,F830)&gt;0),COUNTIF('Target &amp; Team Lists'!$E$5:$E$504,D830)&gt;0),"Yes","No")))</f>
        <v/>
      </c>
      <c r="P830" s="31"/>
    </row>
    <row r="831" customFormat="false" ht="15" hidden="false" customHeight="false" outlineLevel="0" collapsed="false">
      <c r="A831" s="34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2" t="str">
        <f aca="false">IF(D831="","",IF(SUM(H831:K831)&gt;0,1,0))</f>
        <v/>
      </c>
      <c r="N831" s="33" t="str">
        <f aca="false">IF(D831="","",IF(OR(COUNTIF('Target &amp; Team Lists'!$J$5:$J$204,D831)&gt;0,ISNUMBER(SEARCH("alpha nodus",F831))),"Yes","No"))</f>
        <v/>
      </c>
      <c r="O831" s="33" t="str">
        <f aca="false">IF(D831="","",IF(N831="Yes","No",IF(OR(AND(F831&lt;&gt;"",COUNTIF('Target &amp; Team Lists'!$A$5:$A$504,F831)&gt;0),COUNTIF('Target &amp; Team Lists'!$E$5:$E$504,D831)&gt;0),"Yes","No")))</f>
        <v/>
      </c>
      <c r="P831" s="31"/>
    </row>
    <row r="832" customFormat="false" ht="15" hidden="false" customHeight="false" outlineLevel="0" collapsed="false">
      <c r="A832" s="34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2" t="str">
        <f aca="false">IF(D832="","",IF(SUM(H832:K832)&gt;0,1,0))</f>
        <v/>
      </c>
      <c r="N832" s="33" t="str">
        <f aca="false">IF(D832="","",IF(OR(COUNTIF('Target &amp; Team Lists'!$J$5:$J$204,D832)&gt;0,ISNUMBER(SEARCH("alpha nodus",F832))),"Yes","No"))</f>
        <v/>
      </c>
      <c r="O832" s="33" t="str">
        <f aca="false">IF(D832="","",IF(N832="Yes","No",IF(OR(AND(F832&lt;&gt;"",COUNTIF('Target &amp; Team Lists'!$A$5:$A$504,F832)&gt;0),COUNTIF('Target &amp; Team Lists'!$E$5:$E$504,D832)&gt;0),"Yes","No")))</f>
        <v/>
      </c>
      <c r="P832" s="31"/>
    </row>
    <row r="833" customFormat="false" ht="15" hidden="false" customHeight="false" outlineLevel="0" collapsed="false">
      <c r="A833" s="34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2" t="str">
        <f aca="false">IF(D833="","",IF(SUM(H833:K833)&gt;0,1,0))</f>
        <v/>
      </c>
      <c r="N833" s="33" t="str">
        <f aca="false">IF(D833="","",IF(OR(COUNTIF('Target &amp; Team Lists'!$J$5:$J$204,D833)&gt;0,ISNUMBER(SEARCH("alpha nodus",F833))),"Yes","No"))</f>
        <v/>
      </c>
      <c r="O833" s="33" t="str">
        <f aca="false">IF(D833="","",IF(N833="Yes","No",IF(OR(AND(F833&lt;&gt;"",COUNTIF('Target &amp; Team Lists'!$A$5:$A$504,F833)&gt;0),COUNTIF('Target &amp; Team Lists'!$E$5:$E$504,D833)&gt;0),"Yes","No")))</f>
        <v/>
      </c>
      <c r="P833" s="31"/>
    </row>
    <row r="834" customFormat="false" ht="15" hidden="false" customHeight="false" outlineLevel="0" collapsed="false">
      <c r="A834" s="34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2" t="str">
        <f aca="false">IF(D834="","",IF(SUM(H834:K834)&gt;0,1,0))</f>
        <v/>
      </c>
      <c r="N834" s="33" t="str">
        <f aca="false">IF(D834="","",IF(OR(COUNTIF('Target &amp; Team Lists'!$J$5:$J$204,D834)&gt;0,ISNUMBER(SEARCH("alpha nodus",F834))),"Yes","No"))</f>
        <v/>
      </c>
      <c r="O834" s="33" t="str">
        <f aca="false">IF(D834="","",IF(N834="Yes","No",IF(OR(AND(F834&lt;&gt;"",COUNTIF('Target &amp; Team Lists'!$A$5:$A$504,F834)&gt;0),COUNTIF('Target &amp; Team Lists'!$E$5:$E$504,D834)&gt;0),"Yes","No")))</f>
        <v/>
      </c>
      <c r="P834" s="31"/>
    </row>
    <row r="835" customFormat="false" ht="15" hidden="false" customHeight="false" outlineLevel="0" collapsed="false">
      <c r="A835" s="34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2" t="str">
        <f aca="false">IF(D835="","",IF(SUM(H835:K835)&gt;0,1,0))</f>
        <v/>
      </c>
      <c r="N835" s="33" t="str">
        <f aca="false">IF(D835="","",IF(OR(COUNTIF('Target &amp; Team Lists'!$J$5:$J$204,D835)&gt;0,ISNUMBER(SEARCH("alpha nodus",F835))),"Yes","No"))</f>
        <v/>
      </c>
      <c r="O835" s="33" t="str">
        <f aca="false">IF(D835="","",IF(N835="Yes","No",IF(OR(AND(F835&lt;&gt;"",COUNTIF('Target &amp; Team Lists'!$A$5:$A$504,F835)&gt;0),COUNTIF('Target &amp; Team Lists'!$E$5:$E$504,D835)&gt;0),"Yes","No")))</f>
        <v/>
      </c>
      <c r="P835" s="31"/>
    </row>
    <row r="836" customFormat="false" ht="15" hidden="false" customHeight="false" outlineLevel="0" collapsed="false">
      <c r="A836" s="34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2" t="str">
        <f aca="false">IF(D836="","",IF(SUM(H836:K836)&gt;0,1,0))</f>
        <v/>
      </c>
      <c r="N836" s="33" t="str">
        <f aca="false">IF(D836="","",IF(OR(COUNTIF('Target &amp; Team Lists'!$J$5:$J$204,D836)&gt;0,ISNUMBER(SEARCH("alpha nodus",F836))),"Yes","No"))</f>
        <v/>
      </c>
      <c r="O836" s="33" t="str">
        <f aca="false">IF(D836="","",IF(N836="Yes","No",IF(OR(AND(F836&lt;&gt;"",COUNTIF('Target &amp; Team Lists'!$A$5:$A$504,F836)&gt;0),COUNTIF('Target &amp; Team Lists'!$E$5:$E$504,D836)&gt;0),"Yes","No")))</f>
        <v/>
      </c>
      <c r="P836" s="31"/>
    </row>
    <row r="837" customFormat="false" ht="15" hidden="false" customHeight="false" outlineLevel="0" collapsed="false">
      <c r="A837" s="34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2" t="str">
        <f aca="false">IF(D837="","",IF(SUM(H837:K837)&gt;0,1,0))</f>
        <v/>
      </c>
      <c r="N837" s="33" t="str">
        <f aca="false">IF(D837="","",IF(OR(COUNTIF('Target &amp; Team Lists'!$J$5:$J$204,D837)&gt;0,ISNUMBER(SEARCH("alpha nodus",F837))),"Yes","No"))</f>
        <v/>
      </c>
      <c r="O837" s="33" t="str">
        <f aca="false">IF(D837="","",IF(N837="Yes","No",IF(OR(AND(F837&lt;&gt;"",COUNTIF('Target &amp; Team Lists'!$A$5:$A$504,F837)&gt;0),COUNTIF('Target &amp; Team Lists'!$E$5:$E$504,D837)&gt;0),"Yes","No")))</f>
        <v/>
      </c>
      <c r="P837" s="31"/>
    </row>
    <row r="838" customFormat="false" ht="15" hidden="false" customHeight="false" outlineLevel="0" collapsed="false">
      <c r="A838" s="34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2" t="str">
        <f aca="false">IF(D838="","",IF(SUM(H838:K838)&gt;0,1,0))</f>
        <v/>
      </c>
      <c r="N838" s="33" t="str">
        <f aca="false">IF(D838="","",IF(OR(COUNTIF('Target &amp; Team Lists'!$J$5:$J$204,D838)&gt;0,ISNUMBER(SEARCH("alpha nodus",F838))),"Yes","No"))</f>
        <v/>
      </c>
      <c r="O838" s="33" t="str">
        <f aca="false">IF(D838="","",IF(N838="Yes","No",IF(OR(AND(F838&lt;&gt;"",COUNTIF('Target &amp; Team Lists'!$A$5:$A$504,F838)&gt;0),COUNTIF('Target &amp; Team Lists'!$E$5:$E$504,D838)&gt;0),"Yes","No")))</f>
        <v/>
      </c>
      <c r="P838" s="31"/>
    </row>
    <row r="839" customFormat="false" ht="15" hidden="false" customHeight="false" outlineLevel="0" collapsed="false">
      <c r="A839" s="34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2" t="str">
        <f aca="false">IF(D839="","",IF(SUM(H839:K839)&gt;0,1,0))</f>
        <v/>
      </c>
      <c r="N839" s="33" t="str">
        <f aca="false">IF(D839="","",IF(OR(COUNTIF('Target &amp; Team Lists'!$J$5:$J$204,D839)&gt;0,ISNUMBER(SEARCH("alpha nodus",F839))),"Yes","No"))</f>
        <v/>
      </c>
      <c r="O839" s="33" t="str">
        <f aca="false">IF(D839="","",IF(N839="Yes","No",IF(OR(AND(F839&lt;&gt;"",COUNTIF('Target &amp; Team Lists'!$A$5:$A$504,F839)&gt;0),COUNTIF('Target &amp; Team Lists'!$E$5:$E$504,D839)&gt;0),"Yes","No")))</f>
        <v/>
      </c>
      <c r="P839" s="31"/>
    </row>
    <row r="840" customFormat="false" ht="15" hidden="false" customHeight="false" outlineLevel="0" collapsed="false">
      <c r="A840" s="34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2" t="str">
        <f aca="false">IF(D840="","",IF(SUM(H840:K840)&gt;0,1,0))</f>
        <v/>
      </c>
      <c r="N840" s="33" t="str">
        <f aca="false">IF(D840="","",IF(OR(COUNTIF('Target &amp; Team Lists'!$J$5:$J$204,D840)&gt;0,ISNUMBER(SEARCH("alpha nodus",F840))),"Yes","No"))</f>
        <v/>
      </c>
      <c r="O840" s="33" t="str">
        <f aca="false">IF(D840="","",IF(N840="Yes","No",IF(OR(AND(F840&lt;&gt;"",COUNTIF('Target &amp; Team Lists'!$A$5:$A$504,F840)&gt;0),COUNTIF('Target &amp; Team Lists'!$E$5:$E$504,D840)&gt;0),"Yes","No")))</f>
        <v/>
      </c>
      <c r="P840" s="31"/>
    </row>
    <row r="841" customFormat="false" ht="15" hidden="false" customHeight="false" outlineLevel="0" collapsed="false">
      <c r="A841" s="34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2" t="str">
        <f aca="false">IF(D841="","",IF(SUM(H841:K841)&gt;0,1,0))</f>
        <v/>
      </c>
      <c r="N841" s="33" t="str">
        <f aca="false">IF(D841="","",IF(OR(COUNTIF('Target &amp; Team Lists'!$J$5:$J$204,D841)&gt;0,ISNUMBER(SEARCH("alpha nodus",F841))),"Yes","No"))</f>
        <v/>
      </c>
      <c r="O841" s="33" t="str">
        <f aca="false">IF(D841="","",IF(N841="Yes","No",IF(OR(AND(F841&lt;&gt;"",COUNTIF('Target &amp; Team Lists'!$A$5:$A$504,F841)&gt;0),COUNTIF('Target &amp; Team Lists'!$E$5:$E$504,D841)&gt;0),"Yes","No")))</f>
        <v/>
      </c>
      <c r="P841" s="31"/>
    </row>
    <row r="842" customFormat="false" ht="15" hidden="false" customHeight="false" outlineLevel="0" collapsed="false">
      <c r="A842" s="34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2" t="str">
        <f aca="false">IF(D842="","",IF(SUM(H842:K842)&gt;0,1,0))</f>
        <v/>
      </c>
      <c r="N842" s="33" t="str">
        <f aca="false">IF(D842="","",IF(OR(COUNTIF('Target &amp; Team Lists'!$J$5:$J$204,D842)&gt;0,ISNUMBER(SEARCH("alpha nodus",F842))),"Yes","No"))</f>
        <v/>
      </c>
      <c r="O842" s="33" t="str">
        <f aca="false">IF(D842="","",IF(N842="Yes","No",IF(OR(AND(F842&lt;&gt;"",COUNTIF('Target &amp; Team Lists'!$A$5:$A$504,F842)&gt;0),COUNTIF('Target &amp; Team Lists'!$E$5:$E$504,D842)&gt;0),"Yes","No")))</f>
        <v/>
      </c>
      <c r="P842" s="31"/>
    </row>
    <row r="843" customFormat="false" ht="15" hidden="false" customHeight="false" outlineLevel="0" collapsed="false">
      <c r="A843" s="34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2" t="str">
        <f aca="false">IF(D843="","",IF(SUM(H843:K843)&gt;0,1,0))</f>
        <v/>
      </c>
      <c r="N843" s="33" t="str">
        <f aca="false">IF(D843="","",IF(OR(COUNTIF('Target &amp; Team Lists'!$J$5:$J$204,D843)&gt;0,ISNUMBER(SEARCH("alpha nodus",F843))),"Yes","No"))</f>
        <v/>
      </c>
      <c r="O843" s="33" t="str">
        <f aca="false">IF(D843="","",IF(N843="Yes","No",IF(OR(AND(F843&lt;&gt;"",COUNTIF('Target &amp; Team Lists'!$A$5:$A$504,F843)&gt;0),COUNTIF('Target &amp; Team Lists'!$E$5:$E$504,D843)&gt;0),"Yes","No")))</f>
        <v/>
      </c>
      <c r="P843" s="31"/>
    </row>
    <row r="844" customFormat="false" ht="15" hidden="false" customHeight="false" outlineLevel="0" collapsed="false">
      <c r="A844" s="34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2" t="str">
        <f aca="false">IF(D844="","",IF(SUM(H844:K844)&gt;0,1,0))</f>
        <v/>
      </c>
      <c r="N844" s="33" t="str">
        <f aca="false">IF(D844="","",IF(OR(COUNTIF('Target &amp; Team Lists'!$J$5:$J$204,D844)&gt;0,ISNUMBER(SEARCH("alpha nodus",F844))),"Yes","No"))</f>
        <v/>
      </c>
      <c r="O844" s="33" t="str">
        <f aca="false">IF(D844="","",IF(N844="Yes","No",IF(OR(AND(F844&lt;&gt;"",COUNTIF('Target &amp; Team Lists'!$A$5:$A$504,F844)&gt;0),COUNTIF('Target &amp; Team Lists'!$E$5:$E$504,D844)&gt;0),"Yes","No")))</f>
        <v/>
      </c>
      <c r="P844" s="31"/>
    </row>
    <row r="845" customFormat="false" ht="15" hidden="false" customHeight="false" outlineLevel="0" collapsed="false">
      <c r="A845" s="34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2" t="str">
        <f aca="false">IF(D845="","",IF(SUM(H845:K845)&gt;0,1,0))</f>
        <v/>
      </c>
      <c r="N845" s="33" t="str">
        <f aca="false">IF(D845="","",IF(OR(COUNTIF('Target &amp; Team Lists'!$J$5:$J$204,D845)&gt;0,ISNUMBER(SEARCH("alpha nodus",F845))),"Yes","No"))</f>
        <v/>
      </c>
      <c r="O845" s="33" t="str">
        <f aca="false">IF(D845="","",IF(N845="Yes","No",IF(OR(AND(F845&lt;&gt;"",COUNTIF('Target &amp; Team Lists'!$A$5:$A$504,F845)&gt;0),COUNTIF('Target &amp; Team Lists'!$E$5:$E$504,D845)&gt;0),"Yes","No")))</f>
        <v/>
      </c>
      <c r="P845" s="31"/>
    </row>
    <row r="846" customFormat="false" ht="15" hidden="false" customHeight="false" outlineLevel="0" collapsed="false">
      <c r="A846" s="34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2" t="str">
        <f aca="false">IF(D846="","",IF(SUM(H846:K846)&gt;0,1,0))</f>
        <v/>
      </c>
      <c r="N846" s="33" t="str">
        <f aca="false">IF(D846="","",IF(OR(COUNTIF('Target &amp; Team Lists'!$J$5:$J$204,D846)&gt;0,ISNUMBER(SEARCH("alpha nodus",F846))),"Yes","No"))</f>
        <v/>
      </c>
      <c r="O846" s="33" t="str">
        <f aca="false">IF(D846="","",IF(N846="Yes","No",IF(OR(AND(F846&lt;&gt;"",COUNTIF('Target &amp; Team Lists'!$A$5:$A$504,F846)&gt;0),COUNTIF('Target &amp; Team Lists'!$E$5:$E$504,D846)&gt;0),"Yes","No")))</f>
        <v/>
      </c>
      <c r="P846" s="31"/>
    </row>
    <row r="847" customFormat="false" ht="15" hidden="false" customHeight="false" outlineLevel="0" collapsed="false">
      <c r="A847" s="34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2" t="str">
        <f aca="false">IF(D847="","",IF(SUM(H847:K847)&gt;0,1,0))</f>
        <v/>
      </c>
      <c r="N847" s="33" t="str">
        <f aca="false">IF(D847="","",IF(OR(COUNTIF('Target &amp; Team Lists'!$J$5:$J$204,D847)&gt;0,ISNUMBER(SEARCH("alpha nodus",F847))),"Yes","No"))</f>
        <v/>
      </c>
      <c r="O847" s="33" t="str">
        <f aca="false">IF(D847="","",IF(N847="Yes","No",IF(OR(AND(F847&lt;&gt;"",COUNTIF('Target &amp; Team Lists'!$A$5:$A$504,F847)&gt;0),COUNTIF('Target &amp; Team Lists'!$E$5:$E$504,D847)&gt;0),"Yes","No")))</f>
        <v/>
      </c>
      <c r="P847" s="31"/>
    </row>
    <row r="848" customFormat="false" ht="15" hidden="false" customHeight="false" outlineLevel="0" collapsed="false">
      <c r="A848" s="34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2" t="str">
        <f aca="false">IF(D848="","",IF(SUM(H848:K848)&gt;0,1,0))</f>
        <v/>
      </c>
      <c r="N848" s="33" t="str">
        <f aca="false">IF(D848="","",IF(OR(COUNTIF('Target &amp; Team Lists'!$J$5:$J$204,D848)&gt;0,ISNUMBER(SEARCH("alpha nodus",F848))),"Yes","No"))</f>
        <v/>
      </c>
      <c r="O848" s="33" t="str">
        <f aca="false">IF(D848="","",IF(N848="Yes","No",IF(OR(AND(F848&lt;&gt;"",COUNTIF('Target &amp; Team Lists'!$A$5:$A$504,F848)&gt;0),COUNTIF('Target &amp; Team Lists'!$E$5:$E$504,D848)&gt;0),"Yes","No")))</f>
        <v/>
      </c>
      <c r="P848" s="31"/>
    </row>
    <row r="849" customFormat="false" ht="15" hidden="false" customHeight="false" outlineLevel="0" collapsed="false">
      <c r="A849" s="34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2" t="str">
        <f aca="false">IF(D849="","",IF(SUM(H849:K849)&gt;0,1,0))</f>
        <v/>
      </c>
      <c r="N849" s="33" t="str">
        <f aca="false">IF(D849="","",IF(OR(COUNTIF('Target &amp; Team Lists'!$J$5:$J$204,D849)&gt;0,ISNUMBER(SEARCH("alpha nodus",F849))),"Yes","No"))</f>
        <v/>
      </c>
      <c r="O849" s="33" t="str">
        <f aca="false">IF(D849="","",IF(N849="Yes","No",IF(OR(AND(F849&lt;&gt;"",COUNTIF('Target &amp; Team Lists'!$A$5:$A$504,F849)&gt;0),COUNTIF('Target &amp; Team Lists'!$E$5:$E$504,D849)&gt;0),"Yes","No")))</f>
        <v/>
      </c>
      <c r="P849" s="31"/>
    </row>
    <row r="850" customFormat="false" ht="15" hidden="false" customHeight="false" outlineLevel="0" collapsed="false">
      <c r="A850" s="34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2" t="str">
        <f aca="false">IF(D850="","",IF(SUM(H850:K850)&gt;0,1,0))</f>
        <v/>
      </c>
      <c r="N850" s="33" t="str">
        <f aca="false">IF(D850="","",IF(OR(COUNTIF('Target &amp; Team Lists'!$J$5:$J$204,D850)&gt;0,ISNUMBER(SEARCH("alpha nodus",F850))),"Yes","No"))</f>
        <v/>
      </c>
      <c r="O850" s="33" t="str">
        <f aca="false">IF(D850="","",IF(N850="Yes","No",IF(OR(AND(F850&lt;&gt;"",COUNTIF('Target &amp; Team Lists'!$A$5:$A$504,F850)&gt;0),COUNTIF('Target &amp; Team Lists'!$E$5:$E$504,D850)&gt;0),"Yes","No")))</f>
        <v/>
      </c>
      <c r="P850" s="31"/>
    </row>
    <row r="851" customFormat="false" ht="15" hidden="false" customHeight="false" outlineLevel="0" collapsed="false">
      <c r="A851" s="34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2" t="str">
        <f aca="false">IF(D851="","",IF(SUM(H851:K851)&gt;0,1,0))</f>
        <v/>
      </c>
      <c r="N851" s="33" t="str">
        <f aca="false">IF(D851="","",IF(OR(COUNTIF('Target &amp; Team Lists'!$J$5:$J$204,D851)&gt;0,ISNUMBER(SEARCH("alpha nodus",F851))),"Yes","No"))</f>
        <v/>
      </c>
      <c r="O851" s="33" t="str">
        <f aca="false">IF(D851="","",IF(N851="Yes","No",IF(OR(AND(F851&lt;&gt;"",COUNTIF('Target &amp; Team Lists'!$A$5:$A$504,F851)&gt;0),COUNTIF('Target &amp; Team Lists'!$E$5:$E$504,D851)&gt;0),"Yes","No")))</f>
        <v/>
      </c>
      <c r="P851" s="31"/>
    </row>
    <row r="852" customFormat="false" ht="15" hidden="false" customHeight="false" outlineLevel="0" collapsed="false">
      <c r="A852" s="34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2" t="str">
        <f aca="false">IF(D852="","",IF(SUM(H852:K852)&gt;0,1,0))</f>
        <v/>
      </c>
      <c r="N852" s="33" t="str">
        <f aca="false">IF(D852="","",IF(OR(COUNTIF('Target &amp; Team Lists'!$J$5:$J$204,D852)&gt;0,ISNUMBER(SEARCH("alpha nodus",F852))),"Yes","No"))</f>
        <v/>
      </c>
      <c r="O852" s="33" t="str">
        <f aca="false">IF(D852="","",IF(N852="Yes","No",IF(OR(AND(F852&lt;&gt;"",COUNTIF('Target &amp; Team Lists'!$A$5:$A$504,F852)&gt;0),COUNTIF('Target &amp; Team Lists'!$E$5:$E$504,D852)&gt;0),"Yes","No")))</f>
        <v/>
      </c>
      <c r="P852" s="31"/>
    </row>
    <row r="853" customFormat="false" ht="15" hidden="false" customHeight="false" outlineLevel="0" collapsed="false">
      <c r="A853" s="34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2" t="str">
        <f aca="false">IF(D853="","",IF(SUM(H853:K853)&gt;0,1,0))</f>
        <v/>
      </c>
      <c r="N853" s="33" t="str">
        <f aca="false">IF(D853="","",IF(OR(COUNTIF('Target &amp; Team Lists'!$J$5:$J$204,D853)&gt;0,ISNUMBER(SEARCH("alpha nodus",F853))),"Yes","No"))</f>
        <v/>
      </c>
      <c r="O853" s="33" t="str">
        <f aca="false">IF(D853="","",IF(N853="Yes","No",IF(OR(AND(F853&lt;&gt;"",COUNTIF('Target &amp; Team Lists'!$A$5:$A$504,F853)&gt;0),COUNTIF('Target &amp; Team Lists'!$E$5:$E$504,D853)&gt;0),"Yes","No")))</f>
        <v/>
      </c>
      <c r="P853" s="31"/>
    </row>
    <row r="854" customFormat="false" ht="15" hidden="false" customHeight="false" outlineLevel="0" collapsed="false">
      <c r="A854" s="34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2" t="str">
        <f aca="false">IF(D854="","",IF(SUM(H854:K854)&gt;0,1,0))</f>
        <v/>
      </c>
      <c r="N854" s="33" t="str">
        <f aca="false">IF(D854="","",IF(OR(COUNTIF('Target &amp; Team Lists'!$J$5:$J$204,D854)&gt;0,ISNUMBER(SEARCH("alpha nodus",F854))),"Yes","No"))</f>
        <v/>
      </c>
      <c r="O854" s="33" t="str">
        <f aca="false">IF(D854="","",IF(N854="Yes","No",IF(OR(AND(F854&lt;&gt;"",COUNTIF('Target &amp; Team Lists'!$A$5:$A$504,F854)&gt;0),COUNTIF('Target &amp; Team Lists'!$E$5:$E$504,D854)&gt;0),"Yes","No")))</f>
        <v/>
      </c>
      <c r="P854" s="31"/>
    </row>
    <row r="855" customFormat="false" ht="15" hidden="false" customHeight="false" outlineLevel="0" collapsed="false">
      <c r="A855" s="34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2" t="str">
        <f aca="false">IF(D855="","",IF(SUM(H855:K855)&gt;0,1,0))</f>
        <v/>
      </c>
      <c r="N855" s="33" t="str">
        <f aca="false">IF(D855="","",IF(OR(COUNTIF('Target &amp; Team Lists'!$J$5:$J$204,D855)&gt;0,ISNUMBER(SEARCH("alpha nodus",F855))),"Yes","No"))</f>
        <v/>
      </c>
      <c r="O855" s="33" t="str">
        <f aca="false">IF(D855="","",IF(N855="Yes","No",IF(OR(AND(F855&lt;&gt;"",COUNTIF('Target &amp; Team Lists'!$A$5:$A$504,F855)&gt;0),COUNTIF('Target &amp; Team Lists'!$E$5:$E$504,D855)&gt;0),"Yes","No")))</f>
        <v/>
      </c>
      <c r="P855" s="31"/>
    </row>
    <row r="856" customFormat="false" ht="15" hidden="false" customHeight="false" outlineLevel="0" collapsed="false">
      <c r="A856" s="34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2" t="str">
        <f aca="false">IF(D856="","",IF(SUM(H856:K856)&gt;0,1,0))</f>
        <v/>
      </c>
      <c r="N856" s="33" t="str">
        <f aca="false">IF(D856="","",IF(OR(COUNTIF('Target &amp; Team Lists'!$J$5:$J$204,D856)&gt;0,ISNUMBER(SEARCH("alpha nodus",F856))),"Yes","No"))</f>
        <v/>
      </c>
      <c r="O856" s="33" t="str">
        <f aca="false">IF(D856="","",IF(N856="Yes","No",IF(OR(AND(F856&lt;&gt;"",COUNTIF('Target &amp; Team Lists'!$A$5:$A$504,F856)&gt;0),COUNTIF('Target &amp; Team Lists'!$E$5:$E$504,D856)&gt;0),"Yes","No")))</f>
        <v/>
      </c>
      <c r="P856" s="31"/>
    </row>
    <row r="857" customFormat="false" ht="15" hidden="false" customHeight="false" outlineLevel="0" collapsed="false">
      <c r="A857" s="34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2" t="str">
        <f aca="false">IF(D857="","",IF(SUM(H857:K857)&gt;0,1,0))</f>
        <v/>
      </c>
      <c r="N857" s="33" t="str">
        <f aca="false">IF(D857="","",IF(OR(COUNTIF('Target &amp; Team Lists'!$J$5:$J$204,D857)&gt;0,ISNUMBER(SEARCH("alpha nodus",F857))),"Yes","No"))</f>
        <v/>
      </c>
      <c r="O857" s="33" t="str">
        <f aca="false">IF(D857="","",IF(N857="Yes","No",IF(OR(AND(F857&lt;&gt;"",COUNTIF('Target &amp; Team Lists'!$A$5:$A$504,F857)&gt;0),COUNTIF('Target &amp; Team Lists'!$E$5:$E$504,D857)&gt;0),"Yes","No")))</f>
        <v/>
      </c>
      <c r="P857" s="31"/>
    </row>
    <row r="858" customFormat="false" ht="15" hidden="false" customHeight="false" outlineLevel="0" collapsed="false">
      <c r="A858" s="34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2" t="str">
        <f aca="false">IF(D858="","",IF(SUM(H858:K858)&gt;0,1,0))</f>
        <v/>
      </c>
      <c r="N858" s="33" t="str">
        <f aca="false">IF(D858="","",IF(OR(COUNTIF('Target &amp; Team Lists'!$J$5:$J$204,D858)&gt;0,ISNUMBER(SEARCH("alpha nodus",F858))),"Yes","No"))</f>
        <v/>
      </c>
      <c r="O858" s="33" t="str">
        <f aca="false">IF(D858="","",IF(N858="Yes","No",IF(OR(AND(F858&lt;&gt;"",COUNTIF('Target &amp; Team Lists'!$A$5:$A$504,F858)&gt;0),COUNTIF('Target &amp; Team Lists'!$E$5:$E$504,D858)&gt;0),"Yes","No")))</f>
        <v/>
      </c>
      <c r="P858" s="31"/>
    </row>
    <row r="859" customFormat="false" ht="15" hidden="false" customHeight="false" outlineLevel="0" collapsed="false">
      <c r="A859" s="34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2" t="str">
        <f aca="false">IF(D859="","",IF(SUM(H859:K859)&gt;0,1,0))</f>
        <v/>
      </c>
      <c r="N859" s="33" t="str">
        <f aca="false">IF(D859="","",IF(OR(COUNTIF('Target &amp; Team Lists'!$J$5:$J$204,D859)&gt;0,ISNUMBER(SEARCH("alpha nodus",F859))),"Yes","No"))</f>
        <v/>
      </c>
      <c r="O859" s="33" t="str">
        <f aca="false">IF(D859="","",IF(N859="Yes","No",IF(OR(AND(F859&lt;&gt;"",COUNTIF('Target &amp; Team Lists'!$A$5:$A$504,F859)&gt;0),COUNTIF('Target &amp; Team Lists'!$E$5:$E$504,D859)&gt;0),"Yes","No")))</f>
        <v/>
      </c>
      <c r="P859" s="31"/>
    </row>
    <row r="860" customFormat="false" ht="15" hidden="false" customHeight="false" outlineLevel="0" collapsed="false">
      <c r="A860" s="34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2" t="str">
        <f aca="false">IF(D860="","",IF(SUM(H860:K860)&gt;0,1,0))</f>
        <v/>
      </c>
      <c r="N860" s="33" t="str">
        <f aca="false">IF(D860="","",IF(OR(COUNTIF('Target &amp; Team Lists'!$J$5:$J$204,D860)&gt;0,ISNUMBER(SEARCH("alpha nodus",F860))),"Yes","No"))</f>
        <v/>
      </c>
      <c r="O860" s="33" t="str">
        <f aca="false">IF(D860="","",IF(N860="Yes","No",IF(OR(AND(F860&lt;&gt;"",COUNTIF('Target &amp; Team Lists'!$A$5:$A$504,F860)&gt;0),COUNTIF('Target &amp; Team Lists'!$E$5:$E$504,D860)&gt;0),"Yes","No")))</f>
        <v/>
      </c>
      <c r="P860" s="31"/>
    </row>
    <row r="861" customFormat="false" ht="15" hidden="false" customHeight="false" outlineLevel="0" collapsed="false">
      <c r="A861" s="34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2" t="str">
        <f aca="false">IF(D861="","",IF(SUM(H861:K861)&gt;0,1,0))</f>
        <v/>
      </c>
      <c r="N861" s="33" t="str">
        <f aca="false">IF(D861="","",IF(OR(COUNTIF('Target &amp; Team Lists'!$J$5:$J$204,D861)&gt;0,ISNUMBER(SEARCH("alpha nodus",F861))),"Yes","No"))</f>
        <v/>
      </c>
      <c r="O861" s="33" t="str">
        <f aca="false">IF(D861="","",IF(N861="Yes","No",IF(OR(AND(F861&lt;&gt;"",COUNTIF('Target &amp; Team Lists'!$A$5:$A$504,F861)&gt;0),COUNTIF('Target &amp; Team Lists'!$E$5:$E$504,D861)&gt;0),"Yes","No")))</f>
        <v/>
      </c>
      <c r="P861" s="31"/>
    </row>
    <row r="862" customFormat="false" ht="15" hidden="false" customHeight="false" outlineLevel="0" collapsed="false">
      <c r="A862" s="34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2" t="str">
        <f aca="false">IF(D862="","",IF(SUM(H862:K862)&gt;0,1,0))</f>
        <v/>
      </c>
      <c r="N862" s="33" t="str">
        <f aca="false">IF(D862="","",IF(OR(COUNTIF('Target &amp; Team Lists'!$J$5:$J$204,D862)&gt;0,ISNUMBER(SEARCH("alpha nodus",F862))),"Yes","No"))</f>
        <v/>
      </c>
      <c r="O862" s="33" t="str">
        <f aca="false">IF(D862="","",IF(N862="Yes","No",IF(OR(AND(F862&lt;&gt;"",COUNTIF('Target &amp; Team Lists'!$A$5:$A$504,F862)&gt;0),COUNTIF('Target &amp; Team Lists'!$E$5:$E$504,D862)&gt;0),"Yes","No")))</f>
        <v/>
      </c>
      <c r="P862" s="31"/>
    </row>
    <row r="863" customFormat="false" ht="15" hidden="false" customHeight="false" outlineLevel="0" collapsed="false">
      <c r="A863" s="34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2" t="str">
        <f aca="false">IF(D863="","",IF(SUM(H863:K863)&gt;0,1,0))</f>
        <v/>
      </c>
      <c r="N863" s="33" t="str">
        <f aca="false">IF(D863="","",IF(OR(COUNTIF('Target &amp; Team Lists'!$J$5:$J$204,D863)&gt;0,ISNUMBER(SEARCH("alpha nodus",F863))),"Yes","No"))</f>
        <v/>
      </c>
      <c r="O863" s="33" t="str">
        <f aca="false">IF(D863="","",IF(N863="Yes","No",IF(OR(AND(F863&lt;&gt;"",COUNTIF('Target &amp; Team Lists'!$A$5:$A$504,F863)&gt;0),COUNTIF('Target &amp; Team Lists'!$E$5:$E$504,D863)&gt;0),"Yes","No")))</f>
        <v/>
      </c>
      <c r="P863" s="31"/>
    </row>
    <row r="864" customFormat="false" ht="15" hidden="false" customHeight="false" outlineLevel="0" collapsed="false">
      <c r="A864" s="34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2" t="str">
        <f aca="false">IF(D864="","",IF(SUM(H864:K864)&gt;0,1,0))</f>
        <v/>
      </c>
      <c r="N864" s="33" t="str">
        <f aca="false">IF(D864="","",IF(OR(COUNTIF('Target &amp; Team Lists'!$J$5:$J$204,D864)&gt;0,ISNUMBER(SEARCH("alpha nodus",F864))),"Yes","No"))</f>
        <v/>
      </c>
      <c r="O864" s="33" t="str">
        <f aca="false">IF(D864="","",IF(N864="Yes","No",IF(OR(AND(F864&lt;&gt;"",COUNTIF('Target &amp; Team Lists'!$A$5:$A$504,F864)&gt;0),COUNTIF('Target &amp; Team Lists'!$E$5:$E$504,D864)&gt;0),"Yes","No")))</f>
        <v/>
      </c>
      <c r="P864" s="31"/>
    </row>
    <row r="865" customFormat="false" ht="15" hidden="false" customHeight="false" outlineLevel="0" collapsed="false">
      <c r="A865" s="34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2" t="str">
        <f aca="false">IF(D865="","",IF(SUM(H865:K865)&gt;0,1,0))</f>
        <v/>
      </c>
      <c r="N865" s="33" t="str">
        <f aca="false">IF(D865="","",IF(OR(COUNTIF('Target &amp; Team Lists'!$J$5:$J$204,D865)&gt;0,ISNUMBER(SEARCH("alpha nodus",F865))),"Yes","No"))</f>
        <v/>
      </c>
      <c r="O865" s="33" t="str">
        <f aca="false">IF(D865="","",IF(N865="Yes","No",IF(OR(AND(F865&lt;&gt;"",COUNTIF('Target &amp; Team Lists'!$A$5:$A$504,F865)&gt;0),COUNTIF('Target &amp; Team Lists'!$E$5:$E$504,D865)&gt;0),"Yes","No")))</f>
        <v/>
      </c>
      <c r="P865" s="31"/>
    </row>
    <row r="866" customFormat="false" ht="15" hidden="false" customHeight="false" outlineLevel="0" collapsed="false">
      <c r="A866" s="34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2" t="str">
        <f aca="false">IF(D866="","",IF(SUM(H866:K866)&gt;0,1,0))</f>
        <v/>
      </c>
      <c r="N866" s="33" t="str">
        <f aca="false">IF(D866="","",IF(OR(COUNTIF('Target &amp; Team Lists'!$J$5:$J$204,D866)&gt;0,ISNUMBER(SEARCH("alpha nodus",F866))),"Yes","No"))</f>
        <v/>
      </c>
      <c r="O866" s="33" t="str">
        <f aca="false">IF(D866="","",IF(N866="Yes","No",IF(OR(AND(F866&lt;&gt;"",COUNTIF('Target &amp; Team Lists'!$A$5:$A$504,F866)&gt;0),COUNTIF('Target &amp; Team Lists'!$E$5:$E$504,D866)&gt;0),"Yes","No")))</f>
        <v/>
      </c>
      <c r="P866" s="31"/>
    </row>
    <row r="867" customFormat="false" ht="15" hidden="false" customHeight="false" outlineLevel="0" collapsed="false">
      <c r="A867" s="34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2" t="str">
        <f aca="false">IF(D867="","",IF(SUM(H867:K867)&gt;0,1,0))</f>
        <v/>
      </c>
      <c r="N867" s="33" t="str">
        <f aca="false">IF(D867="","",IF(OR(COUNTIF('Target &amp; Team Lists'!$J$5:$J$204,D867)&gt;0,ISNUMBER(SEARCH("alpha nodus",F867))),"Yes","No"))</f>
        <v/>
      </c>
      <c r="O867" s="33" t="str">
        <f aca="false">IF(D867="","",IF(N867="Yes","No",IF(OR(AND(F867&lt;&gt;"",COUNTIF('Target &amp; Team Lists'!$A$5:$A$504,F867)&gt;0),COUNTIF('Target &amp; Team Lists'!$E$5:$E$504,D867)&gt;0),"Yes","No")))</f>
        <v/>
      </c>
      <c r="P867" s="31"/>
    </row>
    <row r="868" customFormat="false" ht="15" hidden="false" customHeight="false" outlineLevel="0" collapsed="false">
      <c r="A868" s="34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2" t="str">
        <f aca="false">IF(D868="","",IF(SUM(H868:K868)&gt;0,1,0))</f>
        <v/>
      </c>
      <c r="N868" s="33" t="str">
        <f aca="false">IF(D868="","",IF(OR(COUNTIF('Target &amp; Team Lists'!$J$5:$J$204,D868)&gt;0,ISNUMBER(SEARCH("alpha nodus",F868))),"Yes","No"))</f>
        <v/>
      </c>
      <c r="O868" s="33" t="str">
        <f aca="false">IF(D868="","",IF(N868="Yes","No",IF(OR(AND(F868&lt;&gt;"",COUNTIF('Target &amp; Team Lists'!$A$5:$A$504,F868)&gt;0),COUNTIF('Target &amp; Team Lists'!$E$5:$E$504,D868)&gt;0),"Yes","No")))</f>
        <v/>
      </c>
      <c r="P868" s="31"/>
    </row>
    <row r="869" customFormat="false" ht="15" hidden="false" customHeight="false" outlineLevel="0" collapsed="false">
      <c r="A869" s="34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2" t="str">
        <f aca="false">IF(D869="","",IF(SUM(H869:K869)&gt;0,1,0))</f>
        <v/>
      </c>
      <c r="N869" s="33" t="str">
        <f aca="false">IF(D869="","",IF(OR(COUNTIF('Target &amp; Team Lists'!$J$5:$J$204,D869)&gt;0,ISNUMBER(SEARCH("alpha nodus",F869))),"Yes","No"))</f>
        <v/>
      </c>
      <c r="O869" s="33" t="str">
        <f aca="false">IF(D869="","",IF(N869="Yes","No",IF(OR(AND(F869&lt;&gt;"",COUNTIF('Target &amp; Team Lists'!$A$5:$A$504,F869)&gt;0),COUNTIF('Target &amp; Team Lists'!$E$5:$E$504,D869)&gt;0),"Yes","No")))</f>
        <v/>
      </c>
      <c r="P869" s="31"/>
    </row>
    <row r="870" customFormat="false" ht="15" hidden="false" customHeight="false" outlineLevel="0" collapsed="false">
      <c r="A870" s="34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2" t="str">
        <f aca="false">IF(D870="","",IF(SUM(H870:K870)&gt;0,1,0))</f>
        <v/>
      </c>
      <c r="N870" s="33" t="str">
        <f aca="false">IF(D870="","",IF(OR(COUNTIF('Target &amp; Team Lists'!$J$5:$J$204,D870)&gt;0,ISNUMBER(SEARCH("alpha nodus",F870))),"Yes","No"))</f>
        <v/>
      </c>
      <c r="O870" s="33" t="str">
        <f aca="false">IF(D870="","",IF(N870="Yes","No",IF(OR(AND(F870&lt;&gt;"",COUNTIF('Target &amp; Team Lists'!$A$5:$A$504,F870)&gt;0),COUNTIF('Target &amp; Team Lists'!$E$5:$E$504,D870)&gt;0),"Yes","No")))</f>
        <v/>
      </c>
      <c r="P870" s="31"/>
    </row>
    <row r="871" customFormat="false" ht="15" hidden="false" customHeight="false" outlineLevel="0" collapsed="false">
      <c r="A871" s="34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2" t="str">
        <f aca="false">IF(D871="","",IF(SUM(H871:K871)&gt;0,1,0))</f>
        <v/>
      </c>
      <c r="N871" s="33" t="str">
        <f aca="false">IF(D871="","",IF(OR(COUNTIF('Target &amp; Team Lists'!$J$5:$J$204,D871)&gt;0,ISNUMBER(SEARCH("alpha nodus",F871))),"Yes","No"))</f>
        <v/>
      </c>
      <c r="O871" s="33" t="str">
        <f aca="false">IF(D871="","",IF(N871="Yes","No",IF(OR(AND(F871&lt;&gt;"",COUNTIF('Target &amp; Team Lists'!$A$5:$A$504,F871)&gt;0),COUNTIF('Target &amp; Team Lists'!$E$5:$E$504,D871)&gt;0),"Yes","No")))</f>
        <v/>
      </c>
      <c r="P871" s="31"/>
    </row>
    <row r="872" customFormat="false" ht="15" hidden="false" customHeight="false" outlineLevel="0" collapsed="false">
      <c r="A872" s="34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2" t="str">
        <f aca="false">IF(D872="","",IF(SUM(H872:K872)&gt;0,1,0))</f>
        <v/>
      </c>
      <c r="N872" s="33" t="str">
        <f aca="false">IF(D872="","",IF(OR(COUNTIF('Target &amp; Team Lists'!$J$5:$J$204,D872)&gt;0,ISNUMBER(SEARCH("alpha nodus",F872))),"Yes","No"))</f>
        <v/>
      </c>
      <c r="O872" s="33" t="str">
        <f aca="false">IF(D872="","",IF(N872="Yes","No",IF(OR(AND(F872&lt;&gt;"",COUNTIF('Target &amp; Team Lists'!$A$5:$A$504,F872)&gt;0),COUNTIF('Target &amp; Team Lists'!$E$5:$E$504,D872)&gt;0),"Yes","No")))</f>
        <v/>
      </c>
      <c r="P872" s="31"/>
    </row>
    <row r="873" customFormat="false" ht="15" hidden="false" customHeight="false" outlineLevel="0" collapsed="false">
      <c r="A873" s="34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2" t="str">
        <f aca="false">IF(D873="","",IF(SUM(H873:K873)&gt;0,1,0))</f>
        <v/>
      </c>
      <c r="N873" s="33" t="str">
        <f aca="false">IF(D873="","",IF(OR(COUNTIF('Target &amp; Team Lists'!$J$5:$J$204,D873)&gt;0,ISNUMBER(SEARCH("alpha nodus",F873))),"Yes","No"))</f>
        <v/>
      </c>
      <c r="O873" s="33" t="str">
        <f aca="false">IF(D873="","",IF(N873="Yes","No",IF(OR(AND(F873&lt;&gt;"",COUNTIF('Target &amp; Team Lists'!$A$5:$A$504,F873)&gt;0),COUNTIF('Target &amp; Team Lists'!$E$5:$E$504,D873)&gt;0),"Yes","No")))</f>
        <v/>
      </c>
      <c r="P873" s="31"/>
    </row>
    <row r="874" customFormat="false" ht="15" hidden="false" customHeight="false" outlineLevel="0" collapsed="false">
      <c r="A874" s="34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2" t="str">
        <f aca="false">IF(D874="","",IF(SUM(H874:K874)&gt;0,1,0))</f>
        <v/>
      </c>
      <c r="N874" s="33" t="str">
        <f aca="false">IF(D874="","",IF(OR(COUNTIF('Target &amp; Team Lists'!$J$5:$J$204,D874)&gt;0,ISNUMBER(SEARCH("alpha nodus",F874))),"Yes","No"))</f>
        <v/>
      </c>
      <c r="O874" s="33" t="str">
        <f aca="false">IF(D874="","",IF(N874="Yes","No",IF(OR(AND(F874&lt;&gt;"",COUNTIF('Target &amp; Team Lists'!$A$5:$A$504,F874)&gt;0),COUNTIF('Target &amp; Team Lists'!$E$5:$E$504,D874)&gt;0),"Yes","No")))</f>
        <v/>
      </c>
      <c r="P874" s="31"/>
    </row>
    <row r="875" customFormat="false" ht="15" hidden="false" customHeight="false" outlineLevel="0" collapsed="false">
      <c r="A875" s="34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2" t="str">
        <f aca="false">IF(D875="","",IF(SUM(H875:K875)&gt;0,1,0))</f>
        <v/>
      </c>
      <c r="N875" s="33" t="str">
        <f aca="false">IF(D875="","",IF(OR(COUNTIF('Target &amp; Team Lists'!$J$5:$J$204,D875)&gt;0,ISNUMBER(SEARCH("alpha nodus",F875))),"Yes","No"))</f>
        <v/>
      </c>
      <c r="O875" s="33" t="str">
        <f aca="false">IF(D875="","",IF(N875="Yes","No",IF(OR(AND(F875&lt;&gt;"",COUNTIF('Target &amp; Team Lists'!$A$5:$A$504,F875)&gt;0),COUNTIF('Target &amp; Team Lists'!$E$5:$E$504,D875)&gt;0),"Yes","No")))</f>
        <v/>
      </c>
      <c r="P875" s="31"/>
    </row>
    <row r="876" customFormat="false" ht="15" hidden="false" customHeight="false" outlineLevel="0" collapsed="false">
      <c r="A876" s="34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2" t="str">
        <f aca="false">IF(D876="","",IF(SUM(H876:K876)&gt;0,1,0))</f>
        <v/>
      </c>
      <c r="N876" s="33" t="str">
        <f aca="false">IF(D876="","",IF(OR(COUNTIF('Target &amp; Team Lists'!$J$5:$J$204,D876)&gt;0,ISNUMBER(SEARCH("alpha nodus",F876))),"Yes","No"))</f>
        <v/>
      </c>
      <c r="O876" s="33" t="str">
        <f aca="false">IF(D876="","",IF(N876="Yes","No",IF(OR(AND(F876&lt;&gt;"",COUNTIF('Target &amp; Team Lists'!$A$5:$A$504,F876)&gt;0),COUNTIF('Target &amp; Team Lists'!$E$5:$E$504,D876)&gt;0),"Yes","No")))</f>
        <v/>
      </c>
      <c r="P876" s="31"/>
    </row>
    <row r="877" customFormat="false" ht="15" hidden="false" customHeight="false" outlineLevel="0" collapsed="false">
      <c r="A877" s="34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2" t="str">
        <f aca="false">IF(D877="","",IF(SUM(H877:K877)&gt;0,1,0))</f>
        <v/>
      </c>
      <c r="N877" s="33" t="str">
        <f aca="false">IF(D877="","",IF(OR(COUNTIF('Target &amp; Team Lists'!$J$5:$J$204,D877)&gt;0,ISNUMBER(SEARCH("alpha nodus",F877))),"Yes","No"))</f>
        <v/>
      </c>
      <c r="O877" s="33" t="str">
        <f aca="false">IF(D877="","",IF(N877="Yes","No",IF(OR(AND(F877&lt;&gt;"",COUNTIF('Target &amp; Team Lists'!$A$5:$A$504,F877)&gt;0),COUNTIF('Target &amp; Team Lists'!$E$5:$E$504,D877)&gt;0),"Yes","No")))</f>
        <v/>
      </c>
      <c r="P877" s="31"/>
    </row>
    <row r="878" customFormat="false" ht="15" hidden="false" customHeight="false" outlineLevel="0" collapsed="false">
      <c r="A878" s="34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2" t="str">
        <f aca="false">IF(D878="","",IF(SUM(H878:K878)&gt;0,1,0))</f>
        <v/>
      </c>
      <c r="N878" s="33" t="str">
        <f aca="false">IF(D878="","",IF(OR(COUNTIF('Target &amp; Team Lists'!$J$5:$J$204,D878)&gt;0,ISNUMBER(SEARCH("alpha nodus",F878))),"Yes","No"))</f>
        <v/>
      </c>
      <c r="O878" s="33" t="str">
        <f aca="false">IF(D878="","",IF(N878="Yes","No",IF(OR(AND(F878&lt;&gt;"",COUNTIF('Target &amp; Team Lists'!$A$5:$A$504,F878)&gt;0),COUNTIF('Target &amp; Team Lists'!$E$5:$E$504,D878)&gt;0),"Yes","No")))</f>
        <v/>
      </c>
      <c r="P878" s="31"/>
    </row>
    <row r="879" customFormat="false" ht="15" hidden="false" customHeight="false" outlineLevel="0" collapsed="false">
      <c r="A879" s="34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2" t="str">
        <f aca="false">IF(D879="","",IF(SUM(H879:K879)&gt;0,1,0))</f>
        <v/>
      </c>
      <c r="N879" s="33" t="str">
        <f aca="false">IF(D879="","",IF(OR(COUNTIF('Target &amp; Team Lists'!$J$5:$J$204,D879)&gt;0,ISNUMBER(SEARCH("alpha nodus",F879))),"Yes","No"))</f>
        <v/>
      </c>
      <c r="O879" s="33" t="str">
        <f aca="false">IF(D879="","",IF(N879="Yes","No",IF(OR(AND(F879&lt;&gt;"",COUNTIF('Target &amp; Team Lists'!$A$5:$A$504,F879)&gt;0),COUNTIF('Target &amp; Team Lists'!$E$5:$E$504,D879)&gt;0),"Yes","No")))</f>
        <v/>
      </c>
      <c r="P879" s="31"/>
    </row>
    <row r="880" customFormat="false" ht="15" hidden="false" customHeight="false" outlineLevel="0" collapsed="false">
      <c r="A880" s="34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2" t="str">
        <f aca="false">IF(D880="","",IF(SUM(H880:K880)&gt;0,1,0))</f>
        <v/>
      </c>
      <c r="N880" s="33" t="str">
        <f aca="false">IF(D880="","",IF(OR(COUNTIF('Target &amp; Team Lists'!$J$5:$J$204,D880)&gt;0,ISNUMBER(SEARCH("alpha nodus",F880))),"Yes","No"))</f>
        <v/>
      </c>
      <c r="O880" s="33" t="str">
        <f aca="false">IF(D880="","",IF(N880="Yes","No",IF(OR(AND(F880&lt;&gt;"",COUNTIF('Target &amp; Team Lists'!$A$5:$A$504,F880)&gt;0),COUNTIF('Target &amp; Team Lists'!$E$5:$E$504,D880)&gt;0),"Yes","No")))</f>
        <v/>
      </c>
      <c r="P880" s="31"/>
    </row>
    <row r="881" customFormat="false" ht="15" hidden="false" customHeight="false" outlineLevel="0" collapsed="false">
      <c r="A881" s="34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2" t="str">
        <f aca="false">IF(D881="","",IF(SUM(H881:K881)&gt;0,1,0))</f>
        <v/>
      </c>
      <c r="N881" s="33" t="str">
        <f aca="false">IF(D881="","",IF(OR(COUNTIF('Target &amp; Team Lists'!$J$5:$J$204,D881)&gt;0,ISNUMBER(SEARCH("alpha nodus",F881))),"Yes","No"))</f>
        <v/>
      </c>
      <c r="O881" s="33" t="str">
        <f aca="false">IF(D881="","",IF(N881="Yes","No",IF(OR(AND(F881&lt;&gt;"",COUNTIF('Target &amp; Team Lists'!$A$5:$A$504,F881)&gt;0),COUNTIF('Target &amp; Team Lists'!$E$5:$E$504,D881)&gt;0),"Yes","No")))</f>
        <v/>
      </c>
      <c r="P881" s="31"/>
    </row>
    <row r="882" customFormat="false" ht="15" hidden="false" customHeight="false" outlineLevel="0" collapsed="false">
      <c r="A882" s="34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2" t="str">
        <f aca="false">IF(D882="","",IF(SUM(H882:K882)&gt;0,1,0))</f>
        <v/>
      </c>
      <c r="N882" s="33" t="str">
        <f aca="false">IF(D882="","",IF(OR(COUNTIF('Target &amp; Team Lists'!$J$5:$J$204,D882)&gt;0,ISNUMBER(SEARCH("alpha nodus",F882))),"Yes","No"))</f>
        <v/>
      </c>
      <c r="O882" s="33" t="str">
        <f aca="false">IF(D882="","",IF(N882="Yes","No",IF(OR(AND(F882&lt;&gt;"",COUNTIF('Target &amp; Team Lists'!$A$5:$A$504,F882)&gt;0),COUNTIF('Target &amp; Team Lists'!$E$5:$E$504,D882)&gt;0),"Yes","No")))</f>
        <v/>
      </c>
      <c r="P882" s="31"/>
    </row>
    <row r="883" customFormat="false" ht="15" hidden="false" customHeight="false" outlineLevel="0" collapsed="false">
      <c r="A883" s="34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2" t="str">
        <f aca="false">IF(D883="","",IF(SUM(H883:K883)&gt;0,1,0))</f>
        <v/>
      </c>
      <c r="N883" s="33" t="str">
        <f aca="false">IF(D883="","",IF(OR(COUNTIF('Target &amp; Team Lists'!$J$5:$J$204,D883)&gt;0,ISNUMBER(SEARCH("alpha nodus",F883))),"Yes","No"))</f>
        <v/>
      </c>
      <c r="O883" s="33" t="str">
        <f aca="false">IF(D883="","",IF(N883="Yes","No",IF(OR(AND(F883&lt;&gt;"",COUNTIF('Target &amp; Team Lists'!$A$5:$A$504,F883)&gt;0),COUNTIF('Target &amp; Team Lists'!$E$5:$E$504,D883)&gt;0),"Yes","No")))</f>
        <v/>
      </c>
      <c r="P883" s="31"/>
    </row>
    <row r="884" customFormat="false" ht="15" hidden="false" customHeight="false" outlineLevel="0" collapsed="false">
      <c r="A884" s="34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2" t="str">
        <f aca="false">IF(D884="","",IF(SUM(H884:K884)&gt;0,1,0))</f>
        <v/>
      </c>
      <c r="N884" s="33" t="str">
        <f aca="false">IF(D884="","",IF(OR(COUNTIF('Target &amp; Team Lists'!$J$5:$J$204,D884)&gt;0,ISNUMBER(SEARCH("alpha nodus",F884))),"Yes","No"))</f>
        <v/>
      </c>
      <c r="O884" s="33" t="str">
        <f aca="false">IF(D884="","",IF(N884="Yes","No",IF(OR(AND(F884&lt;&gt;"",COUNTIF('Target &amp; Team Lists'!$A$5:$A$504,F884)&gt;0),COUNTIF('Target &amp; Team Lists'!$E$5:$E$504,D884)&gt;0),"Yes","No")))</f>
        <v/>
      </c>
      <c r="P884" s="31"/>
    </row>
    <row r="885" customFormat="false" ht="15" hidden="false" customHeight="false" outlineLevel="0" collapsed="false">
      <c r="A885" s="34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2" t="str">
        <f aca="false">IF(D885="","",IF(SUM(H885:K885)&gt;0,1,0))</f>
        <v/>
      </c>
      <c r="N885" s="33" t="str">
        <f aca="false">IF(D885="","",IF(OR(COUNTIF('Target &amp; Team Lists'!$J$5:$J$204,D885)&gt;0,ISNUMBER(SEARCH("alpha nodus",F885))),"Yes","No"))</f>
        <v/>
      </c>
      <c r="O885" s="33" t="str">
        <f aca="false">IF(D885="","",IF(N885="Yes","No",IF(OR(AND(F885&lt;&gt;"",COUNTIF('Target &amp; Team Lists'!$A$5:$A$504,F885)&gt;0),COUNTIF('Target &amp; Team Lists'!$E$5:$E$504,D885)&gt;0),"Yes","No")))</f>
        <v/>
      </c>
      <c r="P885" s="31"/>
    </row>
    <row r="886" customFormat="false" ht="15" hidden="false" customHeight="false" outlineLevel="0" collapsed="false">
      <c r="A886" s="34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2" t="str">
        <f aca="false">IF(D886="","",IF(SUM(H886:K886)&gt;0,1,0))</f>
        <v/>
      </c>
      <c r="N886" s="33" t="str">
        <f aca="false">IF(D886="","",IF(OR(COUNTIF('Target &amp; Team Lists'!$J$5:$J$204,D886)&gt;0,ISNUMBER(SEARCH("alpha nodus",F886))),"Yes","No"))</f>
        <v/>
      </c>
      <c r="O886" s="33" t="str">
        <f aca="false">IF(D886="","",IF(N886="Yes","No",IF(OR(AND(F886&lt;&gt;"",COUNTIF('Target &amp; Team Lists'!$A$5:$A$504,F886)&gt;0),COUNTIF('Target &amp; Team Lists'!$E$5:$E$504,D886)&gt;0),"Yes","No")))</f>
        <v/>
      </c>
      <c r="P886" s="31"/>
    </row>
    <row r="887" customFormat="false" ht="15" hidden="false" customHeight="false" outlineLevel="0" collapsed="false">
      <c r="A887" s="34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2" t="str">
        <f aca="false">IF(D887="","",IF(SUM(H887:K887)&gt;0,1,0))</f>
        <v/>
      </c>
      <c r="N887" s="33" t="str">
        <f aca="false">IF(D887="","",IF(OR(COUNTIF('Target &amp; Team Lists'!$J$5:$J$204,D887)&gt;0,ISNUMBER(SEARCH("alpha nodus",F887))),"Yes","No"))</f>
        <v/>
      </c>
      <c r="O887" s="33" t="str">
        <f aca="false">IF(D887="","",IF(N887="Yes","No",IF(OR(AND(F887&lt;&gt;"",COUNTIF('Target &amp; Team Lists'!$A$5:$A$504,F887)&gt;0),COUNTIF('Target &amp; Team Lists'!$E$5:$E$504,D887)&gt;0),"Yes","No")))</f>
        <v/>
      </c>
      <c r="P887" s="31"/>
    </row>
    <row r="888" customFormat="false" ht="15" hidden="false" customHeight="false" outlineLevel="0" collapsed="false">
      <c r="A888" s="34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2" t="str">
        <f aca="false">IF(D888="","",IF(SUM(H888:K888)&gt;0,1,0))</f>
        <v/>
      </c>
      <c r="N888" s="33" t="str">
        <f aca="false">IF(D888="","",IF(OR(COUNTIF('Target &amp; Team Lists'!$J$5:$J$204,D888)&gt;0,ISNUMBER(SEARCH("alpha nodus",F888))),"Yes","No"))</f>
        <v/>
      </c>
      <c r="O888" s="33" t="str">
        <f aca="false">IF(D888="","",IF(N888="Yes","No",IF(OR(AND(F888&lt;&gt;"",COUNTIF('Target &amp; Team Lists'!$A$5:$A$504,F888)&gt;0),COUNTIF('Target &amp; Team Lists'!$E$5:$E$504,D888)&gt;0),"Yes","No")))</f>
        <v/>
      </c>
      <c r="P888" s="31"/>
    </row>
    <row r="889" customFormat="false" ht="15" hidden="false" customHeight="false" outlineLevel="0" collapsed="false">
      <c r="A889" s="34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2" t="str">
        <f aca="false">IF(D889="","",IF(SUM(H889:K889)&gt;0,1,0))</f>
        <v/>
      </c>
      <c r="N889" s="33" t="str">
        <f aca="false">IF(D889="","",IF(OR(COUNTIF('Target &amp; Team Lists'!$J$5:$J$204,D889)&gt;0,ISNUMBER(SEARCH("alpha nodus",F889))),"Yes","No"))</f>
        <v/>
      </c>
      <c r="O889" s="33" t="str">
        <f aca="false">IF(D889="","",IF(N889="Yes","No",IF(OR(AND(F889&lt;&gt;"",COUNTIF('Target &amp; Team Lists'!$A$5:$A$504,F889)&gt;0),COUNTIF('Target &amp; Team Lists'!$E$5:$E$504,D889)&gt;0),"Yes","No")))</f>
        <v/>
      </c>
      <c r="P889" s="31"/>
    </row>
    <row r="890" customFormat="false" ht="15" hidden="false" customHeight="false" outlineLevel="0" collapsed="false">
      <c r="A890" s="34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2" t="str">
        <f aca="false">IF(D890="","",IF(SUM(H890:K890)&gt;0,1,0))</f>
        <v/>
      </c>
      <c r="N890" s="33" t="str">
        <f aca="false">IF(D890="","",IF(OR(COUNTIF('Target &amp; Team Lists'!$J$5:$J$204,D890)&gt;0,ISNUMBER(SEARCH("alpha nodus",F890))),"Yes","No"))</f>
        <v/>
      </c>
      <c r="O890" s="33" t="str">
        <f aca="false">IF(D890="","",IF(N890="Yes","No",IF(OR(AND(F890&lt;&gt;"",COUNTIF('Target &amp; Team Lists'!$A$5:$A$504,F890)&gt;0),COUNTIF('Target &amp; Team Lists'!$E$5:$E$504,D890)&gt;0),"Yes","No")))</f>
        <v/>
      </c>
      <c r="P890" s="31"/>
    </row>
    <row r="891" customFormat="false" ht="15" hidden="false" customHeight="false" outlineLevel="0" collapsed="false">
      <c r="A891" s="34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2" t="str">
        <f aca="false">IF(D891="","",IF(SUM(H891:K891)&gt;0,1,0))</f>
        <v/>
      </c>
      <c r="N891" s="33" t="str">
        <f aca="false">IF(D891="","",IF(OR(COUNTIF('Target &amp; Team Lists'!$J$5:$J$204,D891)&gt;0,ISNUMBER(SEARCH("alpha nodus",F891))),"Yes","No"))</f>
        <v/>
      </c>
      <c r="O891" s="33" t="str">
        <f aca="false">IF(D891="","",IF(N891="Yes","No",IF(OR(AND(F891&lt;&gt;"",COUNTIF('Target &amp; Team Lists'!$A$5:$A$504,F891)&gt;0),COUNTIF('Target &amp; Team Lists'!$E$5:$E$504,D891)&gt;0),"Yes","No")))</f>
        <v/>
      </c>
      <c r="P891" s="31"/>
    </row>
    <row r="892" customFormat="false" ht="15" hidden="false" customHeight="false" outlineLevel="0" collapsed="false">
      <c r="A892" s="34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2" t="str">
        <f aca="false">IF(D892="","",IF(SUM(H892:K892)&gt;0,1,0))</f>
        <v/>
      </c>
      <c r="N892" s="33" t="str">
        <f aca="false">IF(D892="","",IF(OR(COUNTIF('Target &amp; Team Lists'!$J$5:$J$204,D892)&gt;0,ISNUMBER(SEARCH("alpha nodus",F892))),"Yes","No"))</f>
        <v/>
      </c>
      <c r="O892" s="33" t="str">
        <f aca="false">IF(D892="","",IF(N892="Yes","No",IF(OR(AND(F892&lt;&gt;"",COUNTIF('Target &amp; Team Lists'!$A$5:$A$504,F892)&gt;0),COUNTIF('Target &amp; Team Lists'!$E$5:$E$504,D892)&gt;0),"Yes","No")))</f>
        <v/>
      </c>
      <c r="P892" s="31"/>
    </row>
    <row r="893" customFormat="false" ht="15" hidden="false" customHeight="false" outlineLevel="0" collapsed="false">
      <c r="A893" s="34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2" t="str">
        <f aca="false">IF(D893="","",IF(SUM(H893:K893)&gt;0,1,0))</f>
        <v/>
      </c>
      <c r="N893" s="33" t="str">
        <f aca="false">IF(D893="","",IF(OR(COUNTIF('Target &amp; Team Lists'!$J$5:$J$204,D893)&gt;0,ISNUMBER(SEARCH("alpha nodus",F893))),"Yes","No"))</f>
        <v/>
      </c>
      <c r="O893" s="33" t="str">
        <f aca="false">IF(D893="","",IF(N893="Yes","No",IF(OR(AND(F893&lt;&gt;"",COUNTIF('Target &amp; Team Lists'!$A$5:$A$504,F893)&gt;0),COUNTIF('Target &amp; Team Lists'!$E$5:$E$504,D893)&gt;0),"Yes","No")))</f>
        <v/>
      </c>
      <c r="P893" s="31"/>
    </row>
    <row r="894" customFormat="false" ht="15" hidden="false" customHeight="false" outlineLevel="0" collapsed="false">
      <c r="A894" s="34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2" t="str">
        <f aca="false">IF(D894="","",IF(SUM(H894:K894)&gt;0,1,0))</f>
        <v/>
      </c>
      <c r="N894" s="33" t="str">
        <f aca="false">IF(D894="","",IF(OR(COUNTIF('Target &amp; Team Lists'!$J$5:$J$204,D894)&gt;0,ISNUMBER(SEARCH("alpha nodus",F894))),"Yes","No"))</f>
        <v/>
      </c>
      <c r="O894" s="33" t="str">
        <f aca="false">IF(D894="","",IF(N894="Yes","No",IF(OR(AND(F894&lt;&gt;"",COUNTIF('Target &amp; Team Lists'!$A$5:$A$504,F894)&gt;0),COUNTIF('Target &amp; Team Lists'!$E$5:$E$504,D894)&gt;0),"Yes","No")))</f>
        <v/>
      </c>
      <c r="P894" s="31"/>
    </row>
    <row r="895" customFormat="false" ht="15" hidden="false" customHeight="false" outlineLevel="0" collapsed="false">
      <c r="A895" s="34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2" t="str">
        <f aca="false">IF(D895="","",IF(SUM(H895:K895)&gt;0,1,0))</f>
        <v/>
      </c>
      <c r="N895" s="33" t="str">
        <f aca="false">IF(D895="","",IF(OR(COUNTIF('Target &amp; Team Lists'!$J$5:$J$204,D895)&gt;0,ISNUMBER(SEARCH("alpha nodus",F895))),"Yes","No"))</f>
        <v/>
      </c>
      <c r="O895" s="33" t="str">
        <f aca="false">IF(D895="","",IF(N895="Yes","No",IF(OR(AND(F895&lt;&gt;"",COUNTIF('Target &amp; Team Lists'!$A$5:$A$504,F895)&gt;0),COUNTIF('Target &amp; Team Lists'!$E$5:$E$504,D895)&gt;0),"Yes","No")))</f>
        <v/>
      </c>
      <c r="P895" s="31"/>
    </row>
    <row r="896" customFormat="false" ht="15" hidden="false" customHeight="false" outlineLevel="0" collapsed="false">
      <c r="A896" s="34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2" t="str">
        <f aca="false">IF(D896="","",IF(SUM(H896:K896)&gt;0,1,0))</f>
        <v/>
      </c>
      <c r="N896" s="33" t="str">
        <f aca="false">IF(D896="","",IF(OR(COUNTIF('Target &amp; Team Lists'!$J$5:$J$204,D896)&gt;0,ISNUMBER(SEARCH("alpha nodus",F896))),"Yes","No"))</f>
        <v/>
      </c>
      <c r="O896" s="33" t="str">
        <f aca="false">IF(D896="","",IF(N896="Yes","No",IF(OR(AND(F896&lt;&gt;"",COUNTIF('Target &amp; Team Lists'!$A$5:$A$504,F896)&gt;0),COUNTIF('Target &amp; Team Lists'!$E$5:$E$504,D896)&gt;0),"Yes","No")))</f>
        <v/>
      </c>
      <c r="P896" s="31"/>
    </row>
    <row r="897" customFormat="false" ht="15" hidden="false" customHeight="false" outlineLevel="0" collapsed="false">
      <c r="A897" s="34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2" t="str">
        <f aca="false">IF(D897="","",IF(SUM(H897:K897)&gt;0,1,0))</f>
        <v/>
      </c>
      <c r="N897" s="33" t="str">
        <f aca="false">IF(D897="","",IF(OR(COUNTIF('Target &amp; Team Lists'!$J$5:$J$204,D897)&gt;0,ISNUMBER(SEARCH("alpha nodus",F897))),"Yes","No"))</f>
        <v/>
      </c>
      <c r="O897" s="33" t="str">
        <f aca="false">IF(D897="","",IF(N897="Yes","No",IF(OR(AND(F897&lt;&gt;"",COUNTIF('Target &amp; Team Lists'!$A$5:$A$504,F897)&gt;0),COUNTIF('Target &amp; Team Lists'!$E$5:$E$504,D897)&gt;0),"Yes","No")))</f>
        <v/>
      </c>
      <c r="P897" s="31"/>
    </row>
    <row r="898" customFormat="false" ht="15" hidden="false" customHeight="false" outlineLevel="0" collapsed="false">
      <c r="A898" s="34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2" t="str">
        <f aca="false">IF(D898="","",IF(SUM(H898:K898)&gt;0,1,0))</f>
        <v/>
      </c>
      <c r="N898" s="33" t="str">
        <f aca="false">IF(D898="","",IF(OR(COUNTIF('Target &amp; Team Lists'!$J$5:$J$204,D898)&gt;0,ISNUMBER(SEARCH("alpha nodus",F898))),"Yes","No"))</f>
        <v/>
      </c>
      <c r="O898" s="33" t="str">
        <f aca="false">IF(D898="","",IF(N898="Yes","No",IF(OR(AND(F898&lt;&gt;"",COUNTIF('Target &amp; Team Lists'!$A$5:$A$504,F898)&gt;0),COUNTIF('Target &amp; Team Lists'!$E$5:$E$504,D898)&gt;0),"Yes","No")))</f>
        <v/>
      </c>
      <c r="P898" s="31"/>
    </row>
    <row r="899" customFormat="false" ht="15" hidden="false" customHeight="false" outlineLevel="0" collapsed="false">
      <c r="A899" s="34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2" t="str">
        <f aca="false">IF(D899="","",IF(SUM(H899:K899)&gt;0,1,0))</f>
        <v/>
      </c>
      <c r="N899" s="33" t="str">
        <f aca="false">IF(D899="","",IF(OR(COUNTIF('Target &amp; Team Lists'!$J$5:$J$204,D899)&gt;0,ISNUMBER(SEARCH("alpha nodus",F899))),"Yes","No"))</f>
        <v/>
      </c>
      <c r="O899" s="33" t="str">
        <f aca="false">IF(D899="","",IF(N899="Yes","No",IF(OR(AND(F899&lt;&gt;"",COUNTIF('Target &amp; Team Lists'!$A$5:$A$504,F899)&gt;0),COUNTIF('Target &amp; Team Lists'!$E$5:$E$504,D899)&gt;0),"Yes","No")))</f>
        <v/>
      </c>
      <c r="P899" s="31"/>
    </row>
    <row r="900" customFormat="false" ht="15" hidden="false" customHeight="false" outlineLevel="0" collapsed="false">
      <c r="A900" s="34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2" t="str">
        <f aca="false">IF(D900="","",IF(SUM(H900:K900)&gt;0,1,0))</f>
        <v/>
      </c>
      <c r="N900" s="33" t="str">
        <f aca="false">IF(D900="","",IF(OR(COUNTIF('Target &amp; Team Lists'!$J$5:$J$204,D900)&gt;0,ISNUMBER(SEARCH("alpha nodus",F900))),"Yes","No"))</f>
        <v/>
      </c>
      <c r="O900" s="33" t="str">
        <f aca="false">IF(D900="","",IF(N900="Yes","No",IF(OR(AND(F900&lt;&gt;"",COUNTIF('Target &amp; Team Lists'!$A$5:$A$504,F900)&gt;0),COUNTIF('Target &amp; Team Lists'!$E$5:$E$504,D900)&gt;0),"Yes","No")))</f>
        <v/>
      </c>
      <c r="P900" s="31"/>
    </row>
    <row r="901" customFormat="false" ht="15" hidden="false" customHeight="false" outlineLevel="0" collapsed="false">
      <c r="A901" s="34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2" t="str">
        <f aca="false">IF(D901="","",IF(SUM(H901:K901)&gt;0,1,0))</f>
        <v/>
      </c>
      <c r="N901" s="33" t="str">
        <f aca="false">IF(D901="","",IF(OR(COUNTIF('Target &amp; Team Lists'!$J$5:$J$204,D901)&gt;0,ISNUMBER(SEARCH("alpha nodus",F901))),"Yes","No"))</f>
        <v/>
      </c>
      <c r="O901" s="33" t="str">
        <f aca="false">IF(D901="","",IF(N901="Yes","No",IF(OR(AND(F901&lt;&gt;"",COUNTIF('Target &amp; Team Lists'!$A$5:$A$504,F901)&gt;0),COUNTIF('Target &amp; Team Lists'!$E$5:$E$504,D901)&gt;0),"Yes","No")))</f>
        <v/>
      </c>
      <c r="P901" s="31"/>
    </row>
    <row r="902" customFormat="false" ht="15" hidden="false" customHeight="false" outlineLevel="0" collapsed="false">
      <c r="A902" s="34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2" t="str">
        <f aca="false">IF(D902="","",IF(SUM(H902:K902)&gt;0,1,0))</f>
        <v/>
      </c>
      <c r="N902" s="33" t="str">
        <f aca="false">IF(D902="","",IF(OR(COUNTIF('Target &amp; Team Lists'!$J$5:$J$204,D902)&gt;0,ISNUMBER(SEARCH("alpha nodus",F902))),"Yes","No"))</f>
        <v/>
      </c>
      <c r="O902" s="33" t="str">
        <f aca="false">IF(D902="","",IF(N902="Yes","No",IF(OR(AND(F902&lt;&gt;"",COUNTIF('Target &amp; Team Lists'!$A$5:$A$504,F902)&gt;0),COUNTIF('Target &amp; Team Lists'!$E$5:$E$504,D902)&gt;0),"Yes","No")))</f>
        <v/>
      </c>
      <c r="P902" s="31"/>
    </row>
    <row r="903" customFormat="false" ht="15" hidden="false" customHeight="false" outlineLevel="0" collapsed="false">
      <c r="A903" s="34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2" t="str">
        <f aca="false">IF(D903="","",IF(SUM(H903:K903)&gt;0,1,0))</f>
        <v/>
      </c>
      <c r="N903" s="33" t="str">
        <f aca="false">IF(D903="","",IF(OR(COUNTIF('Target &amp; Team Lists'!$J$5:$J$204,D903)&gt;0,ISNUMBER(SEARCH("alpha nodus",F903))),"Yes","No"))</f>
        <v/>
      </c>
      <c r="O903" s="33" t="str">
        <f aca="false">IF(D903="","",IF(N903="Yes","No",IF(OR(AND(F903&lt;&gt;"",COUNTIF('Target &amp; Team Lists'!$A$5:$A$504,F903)&gt;0),COUNTIF('Target &amp; Team Lists'!$E$5:$E$504,D903)&gt;0),"Yes","No")))</f>
        <v/>
      </c>
      <c r="P903" s="31"/>
    </row>
    <row r="904" customFormat="false" ht="15" hidden="false" customHeight="false" outlineLevel="0" collapsed="false">
      <c r="A904" s="34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2" t="str">
        <f aca="false">IF(D904="","",IF(SUM(H904:K904)&gt;0,1,0))</f>
        <v/>
      </c>
      <c r="N904" s="33" t="str">
        <f aca="false">IF(D904="","",IF(OR(COUNTIF('Target &amp; Team Lists'!$J$5:$J$204,D904)&gt;0,ISNUMBER(SEARCH("alpha nodus",F904))),"Yes","No"))</f>
        <v/>
      </c>
      <c r="O904" s="33" t="str">
        <f aca="false">IF(D904="","",IF(N904="Yes","No",IF(OR(AND(F904&lt;&gt;"",COUNTIF('Target &amp; Team Lists'!$A$5:$A$504,F904)&gt;0),COUNTIF('Target &amp; Team Lists'!$E$5:$E$504,D904)&gt;0),"Yes","No")))</f>
        <v/>
      </c>
      <c r="P904" s="31"/>
    </row>
    <row r="905" customFormat="false" ht="15" hidden="false" customHeight="false" outlineLevel="0" collapsed="false">
      <c r="A905" s="34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2" t="str">
        <f aca="false">IF(D905="","",IF(SUM(H905:K905)&gt;0,1,0))</f>
        <v/>
      </c>
      <c r="N905" s="33" t="str">
        <f aca="false">IF(D905="","",IF(OR(COUNTIF('Target &amp; Team Lists'!$J$5:$J$204,D905)&gt;0,ISNUMBER(SEARCH("alpha nodus",F905))),"Yes","No"))</f>
        <v/>
      </c>
      <c r="O905" s="33" t="str">
        <f aca="false">IF(D905="","",IF(N905="Yes","No",IF(OR(AND(F905&lt;&gt;"",COUNTIF('Target &amp; Team Lists'!$A$5:$A$504,F905)&gt;0),COUNTIF('Target &amp; Team Lists'!$E$5:$E$504,D905)&gt;0),"Yes","No")))</f>
        <v/>
      </c>
      <c r="P905" s="31"/>
    </row>
    <row r="906" customFormat="false" ht="15" hidden="false" customHeight="false" outlineLevel="0" collapsed="false">
      <c r="A906" s="34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2" t="str">
        <f aca="false">IF(D906="","",IF(SUM(H906:K906)&gt;0,1,0))</f>
        <v/>
      </c>
      <c r="N906" s="33" t="str">
        <f aca="false">IF(D906="","",IF(OR(COUNTIF('Target &amp; Team Lists'!$J$5:$J$204,D906)&gt;0,ISNUMBER(SEARCH("alpha nodus",F906))),"Yes","No"))</f>
        <v/>
      </c>
      <c r="O906" s="33" t="str">
        <f aca="false">IF(D906="","",IF(N906="Yes","No",IF(OR(AND(F906&lt;&gt;"",COUNTIF('Target &amp; Team Lists'!$A$5:$A$504,F906)&gt;0),COUNTIF('Target &amp; Team Lists'!$E$5:$E$504,D906)&gt;0),"Yes","No")))</f>
        <v/>
      </c>
      <c r="P906" s="31"/>
    </row>
    <row r="907" customFormat="false" ht="15" hidden="false" customHeight="false" outlineLevel="0" collapsed="false">
      <c r="A907" s="34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2" t="str">
        <f aca="false">IF(D907="","",IF(SUM(H907:K907)&gt;0,1,0))</f>
        <v/>
      </c>
      <c r="N907" s="33" t="str">
        <f aca="false">IF(D907="","",IF(OR(COUNTIF('Target &amp; Team Lists'!$J$5:$J$204,D907)&gt;0,ISNUMBER(SEARCH("alpha nodus",F907))),"Yes","No"))</f>
        <v/>
      </c>
      <c r="O907" s="33" t="str">
        <f aca="false">IF(D907="","",IF(N907="Yes","No",IF(OR(AND(F907&lt;&gt;"",COUNTIF('Target &amp; Team Lists'!$A$5:$A$504,F907)&gt;0),COUNTIF('Target &amp; Team Lists'!$E$5:$E$504,D907)&gt;0),"Yes","No")))</f>
        <v/>
      </c>
      <c r="P907" s="31"/>
    </row>
    <row r="908" customFormat="false" ht="15" hidden="false" customHeight="false" outlineLevel="0" collapsed="false">
      <c r="A908" s="34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2" t="str">
        <f aca="false">IF(D908="","",IF(SUM(H908:K908)&gt;0,1,0))</f>
        <v/>
      </c>
      <c r="N908" s="33" t="str">
        <f aca="false">IF(D908="","",IF(OR(COUNTIF('Target &amp; Team Lists'!$J$5:$J$204,D908)&gt;0,ISNUMBER(SEARCH("alpha nodus",F908))),"Yes","No"))</f>
        <v/>
      </c>
      <c r="O908" s="33" t="str">
        <f aca="false">IF(D908="","",IF(N908="Yes","No",IF(OR(AND(F908&lt;&gt;"",COUNTIF('Target &amp; Team Lists'!$A$5:$A$504,F908)&gt;0),COUNTIF('Target &amp; Team Lists'!$E$5:$E$504,D908)&gt;0),"Yes","No")))</f>
        <v/>
      </c>
      <c r="P908" s="31"/>
    </row>
    <row r="909" customFormat="false" ht="15" hidden="false" customHeight="false" outlineLevel="0" collapsed="false">
      <c r="A909" s="34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2" t="str">
        <f aca="false">IF(D909="","",IF(SUM(H909:K909)&gt;0,1,0))</f>
        <v/>
      </c>
      <c r="N909" s="33" t="str">
        <f aca="false">IF(D909="","",IF(OR(COUNTIF('Target &amp; Team Lists'!$J$5:$J$204,D909)&gt;0,ISNUMBER(SEARCH("alpha nodus",F909))),"Yes","No"))</f>
        <v/>
      </c>
      <c r="O909" s="33" t="str">
        <f aca="false">IF(D909="","",IF(N909="Yes","No",IF(OR(AND(F909&lt;&gt;"",COUNTIF('Target &amp; Team Lists'!$A$5:$A$504,F909)&gt;0),COUNTIF('Target &amp; Team Lists'!$E$5:$E$504,D909)&gt;0),"Yes","No")))</f>
        <v/>
      </c>
      <c r="P909" s="31"/>
    </row>
    <row r="910" customFormat="false" ht="15" hidden="false" customHeight="false" outlineLevel="0" collapsed="false">
      <c r="A910" s="34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2" t="str">
        <f aca="false">IF(D910="","",IF(SUM(H910:K910)&gt;0,1,0))</f>
        <v/>
      </c>
      <c r="N910" s="33" t="str">
        <f aca="false">IF(D910="","",IF(OR(COUNTIF('Target &amp; Team Lists'!$J$5:$J$204,D910)&gt;0,ISNUMBER(SEARCH("alpha nodus",F910))),"Yes","No"))</f>
        <v/>
      </c>
      <c r="O910" s="33" t="str">
        <f aca="false">IF(D910="","",IF(N910="Yes","No",IF(OR(AND(F910&lt;&gt;"",COUNTIF('Target &amp; Team Lists'!$A$5:$A$504,F910)&gt;0),COUNTIF('Target &amp; Team Lists'!$E$5:$E$504,D910)&gt;0),"Yes","No")))</f>
        <v/>
      </c>
      <c r="P910" s="31"/>
    </row>
    <row r="911" customFormat="false" ht="15" hidden="false" customHeight="false" outlineLevel="0" collapsed="false">
      <c r="A911" s="34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2" t="str">
        <f aca="false">IF(D911="","",IF(SUM(H911:K911)&gt;0,1,0))</f>
        <v/>
      </c>
      <c r="N911" s="33" t="str">
        <f aca="false">IF(D911="","",IF(OR(COUNTIF('Target &amp; Team Lists'!$J$5:$J$204,D911)&gt;0,ISNUMBER(SEARCH("alpha nodus",F911))),"Yes","No"))</f>
        <v/>
      </c>
      <c r="O911" s="33" t="str">
        <f aca="false">IF(D911="","",IF(N911="Yes","No",IF(OR(AND(F911&lt;&gt;"",COUNTIF('Target &amp; Team Lists'!$A$5:$A$504,F911)&gt;0),COUNTIF('Target &amp; Team Lists'!$E$5:$E$504,D911)&gt;0),"Yes","No")))</f>
        <v/>
      </c>
      <c r="P911" s="31"/>
    </row>
    <row r="912" customFormat="false" ht="15" hidden="false" customHeight="false" outlineLevel="0" collapsed="false">
      <c r="A912" s="34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2" t="str">
        <f aca="false">IF(D912="","",IF(SUM(H912:K912)&gt;0,1,0))</f>
        <v/>
      </c>
      <c r="N912" s="33" t="str">
        <f aca="false">IF(D912="","",IF(OR(COUNTIF('Target &amp; Team Lists'!$J$5:$J$204,D912)&gt;0,ISNUMBER(SEARCH("alpha nodus",F912))),"Yes","No"))</f>
        <v/>
      </c>
      <c r="O912" s="33" t="str">
        <f aca="false">IF(D912="","",IF(N912="Yes","No",IF(OR(AND(F912&lt;&gt;"",COUNTIF('Target &amp; Team Lists'!$A$5:$A$504,F912)&gt;0),COUNTIF('Target &amp; Team Lists'!$E$5:$E$504,D912)&gt;0),"Yes","No")))</f>
        <v/>
      </c>
      <c r="P912" s="31"/>
    </row>
    <row r="913" customFormat="false" ht="15" hidden="false" customHeight="false" outlineLevel="0" collapsed="false">
      <c r="A913" s="34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2" t="str">
        <f aca="false">IF(D913="","",IF(SUM(H913:K913)&gt;0,1,0))</f>
        <v/>
      </c>
      <c r="N913" s="33" t="str">
        <f aca="false">IF(D913="","",IF(OR(COUNTIF('Target &amp; Team Lists'!$J$5:$J$204,D913)&gt;0,ISNUMBER(SEARCH("alpha nodus",F913))),"Yes","No"))</f>
        <v/>
      </c>
      <c r="O913" s="33" t="str">
        <f aca="false">IF(D913="","",IF(N913="Yes","No",IF(OR(AND(F913&lt;&gt;"",COUNTIF('Target &amp; Team Lists'!$A$5:$A$504,F913)&gt;0),COUNTIF('Target &amp; Team Lists'!$E$5:$E$504,D913)&gt;0),"Yes","No")))</f>
        <v/>
      </c>
      <c r="P913" s="31"/>
    </row>
    <row r="914" customFormat="false" ht="15" hidden="false" customHeight="false" outlineLevel="0" collapsed="false">
      <c r="A914" s="34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2" t="str">
        <f aca="false">IF(D914="","",IF(SUM(H914:K914)&gt;0,1,0))</f>
        <v/>
      </c>
      <c r="N914" s="33" t="str">
        <f aca="false">IF(D914="","",IF(OR(COUNTIF('Target &amp; Team Lists'!$J$5:$J$204,D914)&gt;0,ISNUMBER(SEARCH("alpha nodus",F914))),"Yes","No"))</f>
        <v/>
      </c>
      <c r="O914" s="33" t="str">
        <f aca="false">IF(D914="","",IF(N914="Yes","No",IF(OR(AND(F914&lt;&gt;"",COUNTIF('Target &amp; Team Lists'!$A$5:$A$504,F914)&gt;0),COUNTIF('Target &amp; Team Lists'!$E$5:$E$504,D914)&gt;0),"Yes","No")))</f>
        <v/>
      </c>
      <c r="P914" s="31"/>
    </row>
    <row r="915" customFormat="false" ht="15" hidden="false" customHeight="false" outlineLevel="0" collapsed="false">
      <c r="A915" s="34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2" t="str">
        <f aca="false">IF(D915="","",IF(SUM(H915:K915)&gt;0,1,0))</f>
        <v/>
      </c>
      <c r="N915" s="33" t="str">
        <f aca="false">IF(D915="","",IF(OR(COUNTIF('Target &amp; Team Lists'!$J$5:$J$204,D915)&gt;0,ISNUMBER(SEARCH("alpha nodus",F915))),"Yes","No"))</f>
        <v/>
      </c>
      <c r="O915" s="33" t="str">
        <f aca="false">IF(D915="","",IF(N915="Yes","No",IF(OR(AND(F915&lt;&gt;"",COUNTIF('Target &amp; Team Lists'!$A$5:$A$504,F915)&gt;0),COUNTIF('Target &amp; Team Lists'!$E$5:$E$504,D915)&gt;0),"Yes","No")))</f>
        <v/>
      </c>
      <c r="P915" s="31"/>
    </row>
    <row r="916" customFormat="false" ht="15" hidden="false" customHeight="false" outlineLevel="0" collapsed="false">
      <c r="A916" s="34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2" t="str">
        <f aca="false">IF(D916="","",IF(SUM(H916:K916)&gt;0,1,0))</f>
        <v/>
      </c>
      <c r="N916" s="33" t="str">
        <f aca="false">IF(D916="","",IF(OR(COUNTIF('Target &amp; Team Lists'!$J$5:$J$204,D916)&gt;0,ISNUMBER(SEARCH("alpha nodus",F916))),"Yes","No"))</f>
        <v/>
      </c>
      <c r="O916" s="33" t="str">
        <f aca="false">IF(D916="","",IF(N916="Yes","No",IF(OR(AND(F916&lt;&gt;"",COUNTIF('Target &amp; Team Lists'!$A$5:$A$504,F916)&gt;0),COUNTIF('Target &amp; Team Lists'!$E$5:$E$504,D916)&gt;0),"Yes","No")))</f>
        <v/>
      </c>
      <c r="P916" s="31"/>
    </row>
    <row r="917" customFormat="false" ht="15" hidden="false" customHeight="false" outlineLevel="0" collapsed="false">
      <c r="A917" s="34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2" t="str">
        <f aca="false">IF(D917="","",IF(SUM(H917:K917)&gt;0,1,0))</f>
        <v/>
      </c>
      <c r="N917" s="33" t="str">
        <f aca="false">IF(D917="","",IF(OR(COUNTIF('Target &amp; Team Lists'!$J$5:$J$204,D917)&gt;0,ISNUMBER(SEARCH("alpha nodus",F917))),"Yes","No"))</f>
        <v/>
      </c>
      <c r="O917" s="33" t="str">
        <f aca="false">IF(D917="","",IF(N917="Yes","No",IF(OR(AND(F917&lt;&gt;"",COUNTIF('Target &amp; Team Lists'!$A$5:$A$504,F917)&gt;0),COUNTIF('Target &amp; Team Lists'!$E$5:$E$504,D917)&gt;0),"Yes","No")))</f>
        <v/>
      </c>
      <c r="P917" s="31"/>
    </row>
    <row r="918" customFormat="false" ht="15" hidden="false" customHeight="false" outlineLevel="0" collapsed="false">
      <c r="A918" s="34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2" t="str">
        <f aca="false">IF(D918="","",IF(SUM(H918:K918)&gt;0,1,0))</f>
        <v/>
      </c>
      <c r="N918" s="33" t="str">
        <f aca="false">IF(D918="","",IF(OR(COUNTIF('Target &amp; Team Lists'!$J$5:$J$204,D918)&gt;0,ISNUMBER(SEARCH("alpha nodus",F918))),"Yes","No"))</f>
        <v/>
      </c>
      <c r="O918" s="33" t="str">
        <f aca="false">IF(D918="","",IF(N918="Yes","No",IF(OR(AND(F918&lt;&gt;"",COUNTIF('Target &amp; Team Lists'!$A$5:$A$504,F918)&gt;0),COUNTIF('Target &amp; Team Lists'!$E$5:$E$504,D918)&gt;0),"Yes","No")))</f>
        <v/>
      </c>
      <c r="P918" s="31"/>
    </row>
    <row r="919" customFormat="false" ht="15" hidden="false" customHeight="false" outlineLevel="0" collapsed="false">
      <c r="A919" s="34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2" t="str">
        <f aca="false">IF(D919="","",IF(SUM(H919:K919)&gt;0,1,0))</f>
        <v/>
      </c>
      <c r="N919" s="33" t="str">
        <f aca="false">IF(D919="","",IF(OR(COUNTIF('Target &amp; Team Lists'!$J$5:$J$204,D919)&gt;0,ISNUMBER(SEARCH("alpha nodus",F919))),"Yes","No"))</f>
        <v/>
      </c>
      <c r="O919" s="33" t="str">
        <f aca="false">IF(D919="","",IF(N919="Yes","No",IF(OR(AND(F919&lt;&gt;"",COUNTIF('Target &amp; Team Lists'!$A$5:$A$504,F919)&gt;0),COUNTIF('Target &amp; Team Lists'!$E$5:$E$504,D919)&gt;0),"Yes","No")))</f>
        <v/>
      </c>
      <c r="P919" s="31"/>
    </row>
    <row r="920" customFormat="false" ht="15" hidden="false" customHeight="false" outlineLevel="0" collapsed="false">
      <c r="A920" s="34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2" t="str">
        <f aca="false">IF(D920="","",IF(SUM(H920:K920)&gt;0,1,0))</f>
        <v/>
      </c>
      <c r="N920" s="33" t="str">
        <f aca="false">IF(D920="","",IF(OR(COUNTIF('Target &amp; Team Lists'!$J$5:$J$204,D920)&gt;0,ISNUMBER(SEARCH("alpha nodus",F920))),"Yes","No"))</f>
        <v/>
      </c>
      <c r="O920" s="33" t="str">
        <f aca="false">IF(D920="","",IF(N920="Yes","No",IF(OR(AND(F920&lt;&gt;"",COUNTIF('Target &amp; Team Lists'!$A$5:$A$504,F920)&gt;0),COUNTIF('Target &amp; Team Lists'!$E$5:$E$504,D920)&gt;0),"Yes","No")))</f>
        <v/>
      </c>
      <c r="P920" s="31"/>
    </row>
    <row r="921" customFormat="false" ht="15" hidden="false" customHeight="false" outlineLevel="0" collapsed="false">
      <c r="A921" s="34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2" t="str">
        <f aca="false">IF(D921="","",IF(SUM(H921:K921)&gt;0,1,0))</f>
        <v/>
      </c>
      <c r="N921" s="33" t="str">
        <f aca="false">IF(D921="","",IF(OR(COUNTIF('Target &amp; Team Lists'!$J$5:$J$204,D921)&gt;0,ISNUMBER(SEARCH("alpha nodus",F921))),"Yes","No"))</f>
        <v/>
      </c>
      <c r="O921" s="33" t="str">
        <f aca="false">IF(D921="","",IF(N921="Yes","No",IF(OR(AND(F921&lt;&gt;"",COUNTIF('Target &amp; Team Lists'!$A$5:$A$504,F921)&gt;0),COUNTIF('Target &amp; Team Lists'!$E$5:$E$504,D921)&gt;0),"Yes","No")))</f>
        <v/>
      </c>
      <c r="P921" s="31"/>
    </row>
    <row r="922" customFormat="false" ht="15" hidden="false" customHeight="false" outlineLevel="0" collapsed="false">
      <c r="A922" s="34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2" t="str">
        <f aca="false">IF(D922="","",IF(SUM(H922:K922)&gt;0,1,0))</f>
        <v/>
      </c>
      <c r="N922" s="33" t="str">
        <f aca="false">IF(D922="","",IF(OR(COUNTIF('Target &amp; Team Lists'!$J$5:$J$204,D922)&gt;0,ISNUMBER(SEARCH("alpha nodus",F922))),"Yes","No"))</f>
        <v/>
      </c>
      <c r="O922" s="33" t="str">
        <f aca="false">IF(D922="","",IF(N922="Yes","No",IF(OR(AND(F922&lt;&gt;"",COUNTIF('Target &amp; Team Lists'!$A$5:$A$504,F922)&gt;0),COUNTIF('Target &amp; Team Lists'!$E$5:$E$504,D922)&gt;0),"Yes","No")))</f>
        <v/>
      </c>
      <c r="P922" s="31"/>
    </row>
    <row r="923" customFormat="false" ht="15" hidden="false" customHeight="false" outlineLevel="0" collapsed="false">
      <c r="A923" s="34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2" t="str">
        <f aca="false">IF(D923="","",IF(SUM(H923:K923)&gt;0,1,0))</f>
        <v/>
      </c>
      <c r="N923" s="33" t="str">
        <f aca="false">IF(D923="","",IF(OR(COUNTIF('Target &amp; Team Lists'!$J$5:$J$204,D923)&gt;0,ISNUMBER(SEARCH("alpha nodus",F923))),"Yes","No"))</f>
        <v/>
      </c>
      <c r="O923" s="33" t="str">
        <f aca="false">IF(D923="","",IF(N923="Yes","No",IF(OR(AND(F923&lt;&gt;"",COUNTIF('Target &amp; Team Lists'!$A$5:$A$504,F923)&gt;0),COUNTIF('Target &amp; Team Lists'!$E$5:$E$504,D923)&gt;0),"Yes","No")))</f>
        <v/>
      </c>
      <c r="P923" s="31"/>
    </row>
    <row r="924" customFormat="false" ht="15" hidden="false" customHeight="false" outlineLevel="0" collapsed="false">
      <c r="A924" s="34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2" t="str">
        <f aca="false">IF(D924="","",IF(SUM(H924:K924)&gt;0,1,0))</f>
        <v/>
      </c>
      <c r="N924" s="33" t="str">
        <f aca="false">IF(D924="","",IF(OR(COUNTIF('Target &amp; Team Lists'!$J$5:$J$204,D924)&gt;0,ISNUMBER(SEARCH("alpha nodus",F924))),"Yes","No"))</f>
        <v/>
      </c>
      <c r="O924" s="33" t="str">
        <f aca="false">IF(D924="","",IF(N924="Yes","No",IF(OR(AND(F924&lt;&gt;"",COUNTIF('Target &amp; Team Lists'!$A$5:$A$504,F924)&gt;0),COUNTIF('Target &amp; Team Lists'!$E$5:$E$504,D924)&gt;0),"Yes","No")))</f>
        <v/>
      </c>
      <c r="P924" s="31"/>
    </row>
    <row r="925" customFormat="false" ht="15" hidden="false" customHeight="false" outlineLevel="0" collapsed="false">
      <c r="A925" s="34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2" t="str">
        <f aca="false">IF(D925="","",IF(SUM(H925:K925)&gt;0,1,0))</f>
        <v/>
      </c>
      <c r="N925" s="33" t="str">
        <f aca="false">IF(D925="","",IF(OR(COUNTIF('Target &amp; Team Lists'!$J$5:$J$204,D925)&gt;0,ISNUMBER(SEARCH("alpha nodus",F925))),"Yes","No"))</f>
        <v/>
      </c>
      <c r="O925" s="33" t="str">
        <f aca="false">IF(D925="","",IF(N925="Yes","No",IF(OR(AND(F925&lt;&gt;"",COUNTIF('Target &amp; Team Lists'!$A$5:$A$504,F925)&gt;0),COUNTIF('Target &amp; Team Lists'!$E$5:$E$504,D925)&gt;0),"Yes","No")))</f>
        <v/>
      </c>
      <c r="P925" s="31"/>
    </row>
    <row r="926" customFormat="false" ht="15" hidden="false" customHeight="false" outlineLevel="0" collapsed="false">
      <c r="A926" s="34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2" t="str">
        <f aca="false">IF(D926="","",IF(SUM(H926:K926)&gt;0,1,0))</f>
        <v/>
      </c>
      <c r="N926" s="33" t="str">
        <f aca="false">IF(D926="","",IF(OR(COUNTIF('Target &amp; Team Lists'!$J$5:$J$204,D926)&gt;0,ISNUMBER(SEARCH("alpha nodus",F926))),"Yes","No"))</f>
        <v/>
      </c>
      <c r="O926" s="33" t="str">
        <f aca="false">IF(D926="","",IF(N926="Yes","No",IF(OR(AND(F926&lt;&gt;"",COUNTIF('Target &amp; Team Lists'!$A$5:$A$504,F926)&gt;0),COUNTIF('Target &amp; Team Lists'!$E$5:$E$504,D926)&gt;0),"Yes","No")))</f>
        <v/>
      </c>
      <c r="P926" s="31"/>
    </row>
    <row r="927" customFormat="false" ht="15" hidden="false" customHeight="false" outlineLevel="0" collapsed="false">
      <c r="A927" s="34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2" t="str">
        <f aca="false">IF(D927="","",IF(SUM(H927:K927)&gt;0,1,0))</f>
        <v/>
      </c>
      <c r="N927" s="33" t="str">
        <f aca="false">IF(D927="","",IF(OR(COUNTIF('Target &amp; Team Lists'!$J$5:$J$204,D927)&gt;0,ISNUMBER(SEARCH("alpha nodus",F927))),"Yes","No"))</f>
        <v/>
      </c>
      <c r="O927" s="33" t="str">
        <f aca="false">IF(D927="","",IF(N927="Yes","No",IF(OR(AND(F927&lt;&gt;"",COUNTIF('Target &amp; Team Lists'!$A$5:$A$504,F927)&gt;0),COUNTIF('Target &amp; Team Lists'!$E$5:$E$504,D927)&gt;0),"Yes","No")))</f>
        <v/>
      </c>
      <c r="P927" s="31"/>
    </row>
    <row r="928" customFormat="false" ht="15" hidden="false" customHeight="false" outlineLevel="0" collapsed="false">
      <c r="A928" s="34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2" t="str">
        <f aca="false">IF(D928="","",IF(SUM(H928:K928)&gt;0,1,0))</f>
        <v/>
      </c>
      <c r="N928" s="33" t="str">
        <f aca="false">IF(D928="","",IF(OR(COUNTIF('Target &amp; Team Lists'!$J$5:$J$204,D928)&gt;0,ISNUMBER(SEARCH("alpha nodus",F928))),"Yes","No"))</f>
        <v/>
      </c>
      <c r="O928" s="33" t="str">
        <f aca="false">IF(D928="","",IF(N928="Yes","No",IF(OR(AND(F928&lt;&gt;"",COUNTIF('Target &amp; Team Lists'!$A$5:$A$504,F928)&gt;0),COUNTIF('Target &amp; Team Lists'!$E$5:$E$504,D928)&gt;0),"Yes","No")))</f>
        <v/>
      </c>
      <c r="P928" s="31"/>
    </row>
    <row r="929" customFormat="false" ht="15" hidden="false" customHeight="false" outlineLevel="0" collapsed="false">
      <c r="A929" s="34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2" t="str">
        <f aca="false">IF(D929="","",IF(SUM(H929:K929)&gt;0,1,0))</f>
        <v/>
      </c>
      <c r="N929" s="33" t="str">
        <f aca="false">IF(D929="","",IF(OR(COUNTIF('Target &amp; Team Lists'!$J$5:$J$204,D929)&gt;0,ISNUMBER(SEARCH("alpha nodus",F929))),"Yes","No"))</f>
        <v/>
      </c>
      <c r="O929" s="33" t="str">
        <f aca="false">IF(D929="","",IF(N929="Yes","No",IF(OR(AND(F929&lt;&gt;"",COUNTIF('Target &amp; Team Lists'!$A$5:$A$504,F929)&gt;0),COUNTIF('Target &amp; Team Lists'!$E$5:$E$504,D929)&gt;0),"Yes","No")))</f>
        <v/>
      </c>
      <c r="P929" s="31"/>
    </row>
    <row r="930" customFormat="false" ht="15" hidden="false" customHeight="false" outlineLevel="0" collapsed="false">
      <c r="A930" s="34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2" t="str">
        <f aca="false">IF(D930="","",IF(SUM(H930:K930)&gt;0,1,0))</f>
        <v/>
      </c>
      <c r="N930" s="33" t="str">
        <f aca="false">IF(D930="","",IF(OR(COUNTIF('Target &amp; Team Lists'!$J$5:$J$204,D930)&gt;0,ISNUMBER(SEARCH("alpha nodus",F930))),"Yes","No"))</f>
        <v/>
      </c>
      <c r="O930" s="33" t="str">
        <f aca="false">IF(D930="","",IF(N930="Yes","No",IF(OR(AND(F930&lt;&gt;"",COUNTIF('Target &amp; Team Lists'!$A$5:$A$504,F930)&gt;0),COUNTIF('Target &amp; Team Lists'!$E$5:$E$504,D930)&gt;0),"Yes","No")))</f>
        <v/>
      </c>
      <c r="P930" s="31"/>
    </row>
    <row r="931" customFormat="false" ht="15" hidden="false" customHeight="false" outlineLevel="0" collapsed="false">
      <c r="A931" s="34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2" t="str">
        <f aca="false">IF(D931="","",IF(SUM(H931:K931)&gt;0,1,0))</f>
        <v/>
      </c>
      <c r="N931" s="33" t="str">
        <f aca="false">IF(D931="","",IF(OR(COUNTIF('Target &amp; Team Lists'!$J$5:$J$204,D931)&gt;0,ISNUMBER(SEARCH("alpha nodus",F931))),"Yes","No"))</f>
        <v/>
      </c>
      <c r="O931" s="33" t="str">
        <f aca="false">IF(D931="","",IF(N931="Yes","No",IF(OR(AND(F931&lt;&gt;"",COUNTIF('Target &amp; Team Lists'!$A$5:$A$504,F931)&gt;0),COUNTIF('Target &amp; Team Lists'!$E$5:$E$504,D931)&gt;0),"Yes","No")))</f>
        <v/>
      </c>
      <c r="P931" s="31"/>
    </row>
    <row r="932" customFormat="false" ht="15" hidden="false" customHeight="false" outlineLevel="0" collapsed="false">
      <c r="A932" s="34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2" t="str">
        <f aca="false">IF(D932="","",IF(SUM(H932:K932)&gt;0,1,0))</f>
        <v/>
      </c>
      <c r="N932" s="33" t="str">
        <f aca="false">IF(D932="","",IF(OR(COUNTIF('Target &amp; Team Lists'!$J$5:$J$204,D932)&gt;0,ISNUMBER(SEARCH("alpha nodus",F932))),"Yes","No"))</f>
        <v/>
      </c>
      <c r="O932" s="33" t="str">
        <f aca="false">IF(D932="","",IF(N932="Yes","No",IF(OR(AND(F932&lt;&gt;"",COUNTIF('Target &amp; Team Lists'!$A$5:$A$504,F932)&gt;0),COUNTIF('Target &amp; Team Lists'!$E$5:$E$504,D932)&gt;0),"Yes","No")))</f>
        <v/>
      </c>
      <c r="P932" s="31"/>
    </row>
    <row r="933" customFormat="false" ht="15" hidden="false" customHeight="false" outlineLevel="0" collapsed="false">
      <c r="A933" s="34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2" t="str">
        <f aca="false">IF(D933="","",IF(SUM(H933:K933)&gt;0,1,0))</f>
        <v/>
      </c>
      <c r="N933" s="33" t="str">
        <f aca="false">IF(D933="","",IF(OR(COUNTIF('Target &amp; Team Lists'!$J$5:$J$204,D933)&gt;0,ISNUMBER(SEARCH("alpha nodus",F933))),"Yes","No"))</f>
        <v/>
      </c>
      <c r="O933" s="33" t="str">
        <f aca="false">IF(D933="","",IF(N933="Yes","No",IF(OR(AND(F933&lt;&gt;"",COUNTIF('Target &amp; Team Lists'!$A$5:$A$504,F933)&gt;0),COUNTIF('Target &amp; Team Lists'!$E$5:$E$504,D933)&gt;0),"Yes","No")))</f>
        <v/>
      </c>
      <c r="P933" s="31"/>
    </row>
    <row r="934" customFormat="false" ht="15" hidden="false" customHeight="false" outlineLevel="0" collapsed="false">
      <c r="A934" s="34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2" t="str">
        <f aca="false">IF(D934="","",IF(SUM(H934:K934)&gt;0,1,0))</f>
        <v/>
      </c>
      <c r="N934" s="33" t="str">
        <f aca="false">IF(D934="","",IF(OR(COUNTIF('Target &amp; Team Lists'!$J$5:$J$204,D934)&gt;0,ISNUMBER(SEARCH("alpha nodus",F934))),"Yes","No"))</f>
        <v/>
      </c>
      <c r="O934" s="33" t="str">
        <f aca="false">IF(D934="","",IF(N934="Yes","No",IF(OR(AND(F934&lt;&gt;"",COUNTIF('Target &amp; Team Lists'!$A$5:$A$504,F934)&gt;0),COUNTIF('Target &amp; Team Lists'!$E$5:$E$504,D934)&gt;0),"Yes","No")))</f>
        <v/>
      </c>
      <c r="P934" s="31"/>
    </row>
    <row r="935" customFormat="false" ht="15" hidden="false" customHeight="false" outlineLevel="0" collapsed="false">
      <c r="A935" s="34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2" t="str">
        <f aca="false">IF(D935="","",IF(SUM(H935:K935)&gt;0,1,0))</f>
        <v/>
      </c>
      <c r="N935" s="33" t="str">
        <f aca="false">IF(D935="","",IF(OR(COUNTIF('Target &amp; Team Lists'!$J$5:$J$204,D935)&gt;0,ISNUMBER(SEARCH("alpha nodus",F935))),"Yes","No"))</f>
        <v/>
      </c>
      <c r="O935" s="33" t="str">
        <f aca="false">IF(D935="","",IF(N935="Yes","No",IF(OR(AND(F935&lt;&gt;"",COUNTIF('Target &amp; Team Lists'!$A$5:$A$504,F935)&gt;0),COUNTIF('Target &amp; Team Lists'!$E$5:$E$504,D935)&gt;0),"Yes","No")))</f>
        <v/>
      </c>
      <c r="P935" s="31"/>
    </row>
    <row r="936" customFormat="false" ht="15" hidden="false" customHeight="false" outlineLevel="0" collapsed="false">
      <c r="A936" s="34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2" t="str">
        <f aca="false">IF(D936="","",IF(SUM(H936:K936)&gt;0,1,0))</f>
        <v/>
      </c>
      <c r="N936" s="33" t="str">
        <f aca="false">IF(D936="","",IF(OR(COUNTIF('Target &amp; Team Lists'!$J$5:$J$204,D936)&gt;0,ISNUMBER(SEARCH("alpha nodus",F936))),"Yes","No"))</f>
        <v/>
      </c>
      <c r="O936" s="33" t="str">
        <f aca="false">IF(D936="","",IF(N936="Yes","No",IF(OR(AND(F936&lt;&gt;"",COUNTIF('Target &amp; Team Lists'!$A$5:$A$504,F936)&gt;0),COUNTIF('Target &amp; Team Lists'!$E$5:$E$504,D936)&gt;0),"Yes","No")))</f>
        <v/>
      </c>
      <c r="P936" s="31"/>
    </row>
    <row r="937" customFormat="false" ht="15" hidden="false" customHeight="false" outlineLevel="0" collapsed="false">
      <c r="A937" s="34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2" t="str">
        <f aca="false">IF(D937="","",IF(SUM(H937:K937)&gt;0,1,0))</f>
        <v/>
      </c>
      <c r="N937" s="33" t="str">
        <f aca="false">IF(D937="","",IF(OR(COUNTIF('Target &amp; Team Lists'!$J$5:$J$204,D937)&gt;0,ISNUMBER(SEARCH("alpha nodus",F937))),"Yes","No"))</f>
        <v/>
      </c>
      <c r="O937" s="33" t="str">
        <f aca="false">IF(D937="","",IF(N937="Yes","No",IF(OR(AND(F937&lt;&gt;"",COUNTIF('Target &amp; Team Lists'!$A$5:$A$504,F937)&gt;0),COUNTIF('Target &amp; Team Lists'!$E$5:$E$504,D937)&gt;0),"Yes","No")))</f>
        <v/>
      </c>
      <c r="P937" s="31"/>
    </row>
    <row r="938" customFormat="false" ht="15" hidden="false" customHeight="false" outlineLevel="0" collapsed="false">
      <c r="A938" s="34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2" t="str">
        <f aca="false">IF(D938="","",IF(SUM(H938:K938)&gt;0,1,0))</f>
        <v/>
      </c>
      <c r="N938" s="33" t="str">
        <f aca="false">IF(D938="","",IF(OR(COUNTIF('Target &amp; Team Lists'!$J$5:$J$204,D938)&gt;0,ISNUMBER(SEARCH("alpha nodus",F938))),"Yes","No"))</f>
        <v/>
      </c>
      <c r="O938" s="33" t="str">
        <f aca="false">IF(D938="","",IF(N938="Yes","No",IF(OR(AND(F938&lt;&gt;"",COUNTIF('Target &amp; Team Lists'!$A$5:$A$504,F938)&gt;0),COUNTIF('Target &amp; Team Lists'!$E$5:$E$504,D938)&gt;0),"Yes","No")))</f>
        <v/>
      </c>
      <c r="P938" s="31"/>
    </row>
    <row r="939" customFormat="false" ht="15" hidden="false" customHeight="false" outlineLevel="0" collapsed="false">
      <c r="A939" s="34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2" t="str">
        <f aca="false">IF(D939="","",IF(SUM(H939:K939)&gt;0,1,0))</f>
        <v/>
      </c>
      <c r="N939" s="33" t="str">
        <f aca="false">IF(D939="","",IF(OR(COUNTIF('Target &amp; Team Lists'!$J$5:$J$204,D939)&gt;0,ISNUMBER(SEARCH("alpha nodus",F939))),"Yes","No"))</f>
        <v/>
      </c>
      <c r="O939" s="33" t="str">
        <f aca="false">IF(D939="","",IF(N939="Yes","No",IF(OR(AND(F939&lt;&gt;"",COUNTIF('Target &amp; Team Lists'!$A$5:$A$504,F939)&gt;0),COUNTIF('Target &amp; Team Lists'!$E$5:$E$504,D939)&gt;0),"Yes","No")))</f>
        <v/>
      </c>
      <c r="P939" s="31"/>
    </row>
    <row r="940" customFormat="false" ht="15" hidden="false" customHeight="false" outlineLevel="0" collapsed="false">
      <c r="A940" s="34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2" t="str">
        <f aca="false">IF(D940="","",IF(SUM(H940:K940)&gt;0,1,0))</f>
        <v/>
      </c>
      <c r="N940" s="33" t="str">
        <f aca="false">IF(D940="","",IF(OR(COUNTIF('Target &amp; Team Lists'!$J$5:$J$204,D940)&gt;0,ISNUMBER(SEARCH("alpha nodus",F940))),"Yes","No"))</f>
        <v/>
      </c>
      <c r="O940" s="33" t="str">
        <f aca="false">IF(D940="","",IF(N940="Yes","No",IF(OR(AND(F940&lt;&gt;"",COUNTIF('Target &amp; Team Lists'!$A$5:$A$504,F940)&gt;0),COUNTIF('Target &amp; Team Lists'!$E$5:$E$504,D940)&gt;0),"Yes","No")))</f>
        <v/>
      </c>
      <c r="P940" s="31"/>
    </row>
    <row r="941" customFormat="false" ht="15" hidden="false" customHeight="false" outlineLevel="0" collapsed="false">
      <c r="A941" s="34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2" t="str">
        <f aca="false">IF(D941="","",IF(SUM(H941:K941)&gt;0,1,0))</f>
        <v/>
      </c>
      <c r="N941" s="33" t="str">
        <f aca="false">IF(D941="","",IF(OR(COUNTIF('Target &amp; Team Lists'!$J$5:$J$204,D941)&gt;0,ISNUMBER(SEARCH("alpha nodus",F941))),"Yes","No"))</f>
        <v/>
      </c>
      <c r="O941" s="33" t="str">
        <f aca="false">IF(D941="","",IF(N941="Yes","No",IF(OR(AND(F941&lt;&gt;"",COUNTIF('Target &amp; Team Lists'!$A$5:$A$504,F941)&gt;0),COUNTIF('Target &amp; Team Lists'!$E$5:$E$504,D941)&gt;0),"Yes","No")))</f>
        <v/>
      </c>
      <c r="P941" s="31"/>
    </row>
    <row r="942" customFormat="false" ht="15" hidden="false" customHeight="false" outlineLevel="0" collapsed="false">
      <c r="A942" s="34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2" t="str">
        <f aca="false">IF(D942="","",IF(SUM(H942:K942)&gt;0,1,0))</f>
        <v/>
      </c>
      <c r="N942" s="33" t="str">
        <f aca="false">IF(D942="","",IF(OR(COUNTIF('Target &amp; Team Lists'!$J$5:$J$204,D942)&gt;0,ISNUMBER(SEARCH("alpha nodus",F942))),"Yes","No"))</f>
        <v/>
      </c>
      <c r="O942" s="33" t="str">
        <f aca="false">IF(D942="","",IF(N942="Yes","No",IF(OR(AND(F942&lt;&gt;"",COUNTIF('Target &amp; Team Lists'!$A$5:$A$504,F942)&gt;0),COUNTIF('Target &amp; Team Lists'!$E$5:$E$504,D942)&gt;0),"Yes","No")))</f>
        <v/>
      </c>
      <c r="P942" s="31"/>
    </row>
    <row r="943" customFormat="false" ht="15" hidden="false" customHeight="false" outlineLevel="0" collapsed="false">
      <c r="A943" s="34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2" t="str">
        <f aca="false">IF(D943="","",IF(SUM(H943:K943)&gt;0,1,0))</f>
        <v/>
      </c>
      <c r="N943" s="33" t="str">
        <f aca="false">IF(D943="","",IF(OR(COUNTIF('Target &amp; Team Lists'!$J$5:$J$204,D943)&gt;0,ISNUMBER(SEARCH("alpha nodus",F943))),"Yes","No"))</f>
        <v/>
      </c>
      <c r="O943" s="33" t="str">
        <f aca="false">IF(D943="","",IF(N943="Yes","No",IF(OR(AND(F943&lt;&gt;"",COUNTIF('Target &amp; Team Lists'!$A$5:$A$504,F943)&gt;0),COUNTIF('Target &amp; Team Lists'!$E$5:$E$504,D943)&gt;0),"Yes","No")))</f>
        <v/>
      </c>
      <c r="P943" s="31"/>
    </row>
    <row r="944" customFormat="false" ht="15" hidden="false" customHeight="false" outlineLevel="0" collapsed="false">
      <c r="A944" s="34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2" t="str">
        <f aca="false">IF(D944="","",IF(SUM(H944:K944)&gt;0,1,0))</f>
        <v/>
      </c>
      <c r="N944" s="33" t="str">
        <f aca="false">IF(D944="","",IF(OR(COUNTIF('Target &amp; Team Lists'!$J$5:$J$204,D944)&gt;0,ISNUMBER(SEARCH("alpha nodus",F944))),"Yes","No"))</f>
        <v/>
      </c>
      <c r="O944" s="33" t="str">
        <f aca="false">IF(D944="","",IF(N944="Yes","No",IF(OR(AND(F944&lt;&gt;"",COUNTIF('Target &amp; Team Lists'!$A$5:$A$504,F944)&gt;0),COUNTIF('Target &amp; Team Lists'!$E$5:$E$504,D944)&gt;0),"Yes","No")))</f>
        <v/>
      </c>
      <c r="P944" s="31"/>
    </row>
    <row r="945" customFormat="false" ht="15" hidden="false" customHeight="false" outlineLevel="0" collapsed="false">
      <c r="A945" s="34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2" t="str">
        <f aca="false">IF(D945="","",IF(SUM(H945:K945)&gt;0,1,0))</f>
        <v/>
      </c>
      <c r="N945" s="33" t="str">
        <f aca="false">IF(D945="","",IF(OR(COUNTIF('Target &amp; Team Lists'!$J$5:$J$204,D945)&gt;0,ISNUMBER(SEARCH("alpha nodus",F945))),"Yes","No"))</f>
        <v/>
      </c>
      <c r="O945" s="33" t="str">
        <f aca="false">IF(D945="","",IF(N945="Yes","No",IF(OR(AND(F945&lt;&gt;"",COUNTIF('Target &amp; Team Lists'!$A$5:$A$504,F945)&gt;0),COUNTIF('Target &amp; Team Lists'!$E$5:$E$504,D945)&gt;0),"Yes","No")))</f>
        <v/>
      </c>
      <c r="P945" s="31"/>
    </row>
    <row r="946" customFormat="false" ht="15" hidden="false" customHeight="false" outlineLevel="0" collapsed="false">
      <c r="A946" s="34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2" t="str">
        <f aca="false">IF(D946="","",IF(SUM(H946:K946)&gt;0,1,0))</f>
        <v/>
      </c>
      <c r="N946" s="33" t="str">
        <f aca="false">IF(D946="","",IF(OR(COUNTIF('Target &amp; Team Lists'!$J$5:$J$204,D946)&gt;0,ISNUMBER(SEARCH("alpha nodus",F946))),"Yes","No"))</f>
        <v/>
      </c>
      <c r="O946" s="33" t="str">
        <f aca="false">IF(D946="","",IF(N946="Yes","No",IF(OR(AND(F946&lt;&gt;"",COUNTIF('Target &amp; Team Lists'!$A$5:$A$504,F946)&gt;0),COUNTIF('Target &amp; Team Lists'!$E$5:$E$504,D946)&gt;0),"Yes","No")))</f>
        <v/>
      </c>
      <c r="P946" s="31"/>
    </row>
    <row r="947" customFormat="false" ht="15" hidden="false" customHeight="false" outlineLevel="0" collapsed="false">
      <c r="A947" s="34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2" t="str">
        <f aca="false">IF(D947="","",IF(SUM(H947:K947)&gt;0,1,0))</f>
        <v/>
      </c>
      <c r="N947" s="33" t="str">
        <f aca="false">IF(D947="","",IF(OR(COUNTIF('Target &amp; Team Lists'!$J$5:$J$204,D947)&gt;0,ISNUMBER(SEARCH("alpha nodus",F947))),"Yes","No"))</f>
        <v/>
      </c>
      <c r="O947" s="33" t="str">
        <f aca="false">IF(D947="","",IF(N947="Yes","No",IF(OR(AND(F947&lt;&gt;"",COUNTIF('Target &amp; Team Lists'!$A$5:$A$504,F947)&gt;0),COUNTIF('Target &amp; Team Lists'!$E$5:$E$504,D947)&gt;0),"Yes","No")))</f>
        <v/>
      </c>
      <c r="P947" s="31"/>
    </row>
    <row r="948" customFormat="false" ht="15" hidden="false" customHeight="false" outlineLevel="0" collapsed="false">
      <c r="A948" s="34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2" t="str">
        <f aca="false">IF(D948="","",IF(SUM(H948:K948)&gt;0,1,0))</f>
        <v/>
      </c>
      <c r="N948" s="33" t="str">
        <f aca="false">IF(D948="","",IF(OR(COUNTIF('Target &amp; Team Lists'!$J$5:$J$204,D948)&gt;0,ISNUMBER(SEARCH("alpha nodus",F948))),"Yes","No"))</f>
        <v/>
      </c>
      <c r="O948" s="33" t="str">
        <f aca="false">IF(D948="","",IF(N948="Yes","No",IF(OR(AND(F948&lt;&gt;"",COUNTIF('Target &amp; Team Lists'!$A$5:$A$504,F948)&gt;0),COUNTIF('Target &amp; Team Lists'!$E$5:$E$504,D948)&gt;0),"Yes","No")))</f>
        <v/>
      </c>
      <c r="P948" s="31"/>
    </row>
    <row r="949" customFormat="false" ht="15" hidden="false" customHeight="false" outlineLevel="0" collapsed="false">
      <c r="A949" s="34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2" t="str">
        <f aca="false">IF(D949="","",IF(SUM(H949:K949)&gt;0,1,0))</f>
        <v/>
      </c>
      <c r="N949" s="33" t="str">
        <f aca="false">IF(D949="","",IF(OR(COUNTIF('Target &amp; Team Lists'!$J$5:$J$204,D949)&gt;0,ISNUMBER(SEARCH("alpha nodus",F949))),"Yes","No"))</f>
        <v/>
      </c>
      <c r="O949" s="33" t="str">
        <f aca="false">IF(D949="","",IF(N949="Yes","No",IF(OR(AND(F949&lt;&gt;"",COUNTIF('Target &amp; Team Lists'!$A$5:$A$504,F949)&gt;0),COUNTIF('Target &amp; Team Lists'!$E$5:$E$504,D949)&gt;0),"Yes","No")))</f>
        <v/>
      </c>
      <c r="P949" s="31"/>
    </row>
    <row r="950" customFormat="false" ht="15" hidden="false" customHeight="false" outlineLevel="0" collapsed="false">
      <c r="A950" s="34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2" t="str">
        <f aca="false">IF(D950="","",IF(SUM(H950:K950)&gt;0,1,0))</f>
        <v/>
      </c>
      <c r="N950" s="33" t="str">
        <f aca="false">IF(D950="","",IF(OR(COUNTIF('Target &amp; Team Lists'!$J$5:$J$204,D950)&gt;0,ISNUMBER(SEARCH("alpha nodus",F950))),"Yes","No"))</f>
        <v/>
      </c>
      <c r="O950" s="33" t="str">
        <f aca="false">IF(D950="","",IF(N950="Yes","No",IF(OR(AND(F950&lt;&gt;"",COUNTIF('Target &amp; Team Lists'!$A$5:$A$504,F950)&gt;0),COUNTIF('Target &amp; Team Lists'!$E$5:$E$504,D950)&gt;0),"Yes","No")))</f>
        <v/>
      </c>
      <c r="P950" s="31"/>
    </row>
    <row r="951" customFormat="false" ht="15" hidden="false" customHeight="false" outlineLevel="0" collapsed="false">
      <c r="A951" s="34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2" t="str">
        <f aca="false">IF(D951="","",IF(SUM(H951:K951)&gt;0,1,0))</f>
        <v/>
      </c>
      <c r="N951" s="33" t="str">
        <f aca="false">IF(D951="","",IF(OR(COUNTIF('Target &amp; Team Lists'!$J$5:$J$204,D951)&gt;0,ISNUMBER(SEARCH("alpha nodus",F951))),"Yes","No"))</f>
        <v/>
      </c>
      <c r="O951" s="33" t="str">
        <f aca="false">IF(D951="","",IF(N951="Yes","No",IF(OR(AND(F951&lt;&gt;"",COUNTIF('Target &amp; Team Lists'!$A$5:$A$504,F951)&gt;0),COUNTIF('Target &amp; Team Lists'!$E$5:$E$504,D951)&gt;0),"Yes","No")))</f>
        <v/>
      </c>
      <c r="P951" s="31"/>
    </row>
    <row r="952" customFormat="false" ht="15" hidden="false" customHeight="false" outlineLevel="0" collapsed="false">
      <c r="A952" s="34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2" t="str">
        <f aca="false">IF(D952="","",IF(SUM(H952:K952)&gt;0,1,0))</f>
        <v/>
      </c>
      <c r="N952" s="33" t="str">
        <f aca="false">IF(D952="","",IF(OR(COUNTIF('Target &amp; Team Lists'!$J$5:$J$204,D952)&gt;0,ISNUMBER(SEARCH("alpha nodus",F952))),"Yes","No"))</f>
        <v/>
      </c>
      <c r="O952" s="33" t="str">
        <f aca="false">IF(D952="","",IF(N952="Yes","No",IF(OR(AND(F952&lt;&gt;"",COUNTIF('Target &amp; Team Lists'!$A$5:$A$504,F952)&gt;0),COUNTIF('Target &amp; Team Lists'!$E$5:$E$504,D952)&gt;0),"Yes","No")))</f>
        <v/>
      </c>
      <c r="P952" s="31"/>
    </row>
    <row r="953" customFormat="false" ht="15" hidden="false" customHeight="false" outlineLevel="0" collapsed="false">
      <c r="A953" s="34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2" t="str">
        <f aca="false">IF(D953="","",IF(SUM(H953:K953)&gt;0,1,0))</f>
        <v/>
      </c>
      <c r="N953" s="33" t="str">
        <f aca="false">IF(D953="","",IF(OR(COUNTIF('Target &amp; Team Lists'!$J$5:$J$204,D953)&gt;0,ISNUMBER(SEARCH("alpha nodus",F953))),"Yes","No"))</f>
        <v/>
      </c>
      <c r="O953" s="33" t="str">
        <f aca="false">IF(D953="","",IF(N953="Yes","No",IF(OR(AND(F953&lt;&gt;"",COUNTIF('Target &amp; Team Lists'!$A$5:$A$504,F953)&gt;0),COUNTIF('Target &amp; Team Lists'!$E$5:$E$504,D953)&gt;0),"Yes","No")))</f>
        <v/>
      </c>
      <c r="P953" s="31"/>
    </row>
    <row r="954" customFormat="false" ht="15" hidden="false" customHeight="false" outlineLevel="0" collapsed="false">
      <c r="A954" s="34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2" t="str">
        <f aca="false">IF(D954="","",IF(SUM(H954:K954)&gt;0,1,0))</f>
        <v/>
      </c>
      <c r="N954" s="33" t="str">
        <f aca="false">IF(D954="","",IF(OR(COUNTIF('Target &amp; Team Lists'!$J$5:$J$204,D954)&gt;0,ISNUMBER(SEARCH("alpha nodus",F954))),"Yes","No"))</f>
        <v/>
      </c>
      <c r="O954" s="33" t="str">
        <f aca="false">IF(D954="","",IF(N954="Yes","No",IF(OR(AND(F954&lt;&gt;"",COUNTIF('Target &amp; Team Lists'!$A$5:$A$504,F954)&gt;0),COUNTIF('Target &amp; Team Lists'!$E$5:$E$504,D954)&gt;0),"Yes","No")))</f>
        <v/>
      </c>
      <c r="P954" s="31"/>
    </row>
    <row r="955" customFormat="false" ht="15" hidden="false" customHeight="false" outlineLevel="0" collapsed="false">
      <c r="A955" s="34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2" t="str">
        <f aca="false">IF(D955="","",IF(SUM(H955:K955)&gt;0,1,0))</f>
        <v/>
      </c>
      <c r="N955" s="33" t="str">
        <f aca="false">IF(D955="","",IF(OR(COUNTIF('Target &amp; Team Lists'!$J$5:$J$204,D955)&gt;0,ISNUMBER(SEARCH("alpha nodus",F955))),"Yes","No"))</f>
        <v/>
      </c>
      <c r="O955" s="33" t="str">
        <f aca="false">IF(D955="","",IF(N955="Yes","No",IF(OR(AND(F955&lt;&gt;"",COUNTIF('Target &amp; Team Lists'!$A$5:$A$504,F955)&gt;0),COUNTIF('Target &amp; Team Lists'!$E$5:$E$504,D955)&gt;0),"Yes","No")))</f>
        <v/>
      </c>
      <c r="P955" s="31"/>
    </row>
    <row r="956" customFormat="false" ht="15" hidden="false" customHeight="false" outlineLevel="0" collapsed="false">
      <c r="A956" s="34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2" t="str">
        <f aca="false">IF(D956="","",IF(SUM(H956:K956)&gt;0,1,0))</f>
        <v/>
      </c>
      <c r="N956" s="33" t="str">
        <f aca="false">IF(D956="","",IF(OR(COUNTIF('Target &amp; Team Lists'!$J$5:$J$204,D956)&gt;0,ISNUMBER(SEARCH("alpha nodus",F956))),"Yes","No"))</f>
        <v/>
      </c>
      <c r="O956" s="33" t="str">
        <f aca="false">IF(D956="","",IF(N956="Yes","No",IF(OR(AND(F956&lt;&gt;"",COUNTIF('Target &amp; Team Lists'!$A$5:$A$504,F956)&gt;0),COUNTIF('Target &amp; Team Lists'!$E$5:$E$504,D956)&gt;0),"Yes","No")))</f>
        <v/>
      </c>
      <c r="P956" s="31"/>
    </row>
    <row r="957" customFormat="false" ht="15" hidden="false" customHeight="false" outlineLevel="0" collapsed="false">
      <c r="A957" s="34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2" t="str">
        <f aca="false">IF(D957="","",IF(SUM(H957:K957)&gt;0,1,0))</f>
        <v/>
      </c>
      <c r="N957" s="33" t="str">
        <f aca="false">IF(D957="","",IF(OR(COUNTIF('Target &amp; Team Lists'!$J$5:$J$204,D957)&gt;0,ISNUMBER(SEARCH("alpha nodus",F957))),"Yes","No"))</f>
        <v/>
      </c>
      <c r="O957" s="33" t="str">
        <f aca="false">IF(D957="","",IF(N957="Yes","No",IF(OR(AND(F957&lt;&gt;"",COUNTIF('Target &amp; Team Lists'!$A$5:$A$504,F957)&gt;0),COUNTIF('Target &amp; Team Lists'!$E$5:$E$504,D957)&gt;0),"Yes","No")))</f>
        <v/>
      </c>
      <c r="P957" s="31"/>
    </row>
    <row r="958" customFormat="false" ht="15" hidden="false" customHeight="false" outlineLevel="0" collapsed="false">
      <c r="A958" s="34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2" t="str">
        <f aca="false">IF(D958="","",IF(SUM(H958:K958)&gt;0,1,0))</f>
        <v/>
      </c>
      <c r="N958" s="33" t="str">
        <f aca="false">IF(D958="","",IF(OR(COUNTIF('Target &amp; Team Lists'!$J$5:$J$204,D958)&gt;0,ISNUMBER(SEARCH("alpha nodus",F958))),"Yes","No"))</f>
        <v/>
      </c>
      <c r="O958" s="33" t="str">
        <f aca="false">IF(D958="","",IF(N958="Yes","No",IF(OR(AND(F958&lt;&gt;"",COUNTIF('Target &amp; Team Lists'!$A$5:$A$504,F958)&gt;0),COUNTIF('Target &amp; Team Lists'!$E$5:$E$504,D958)&gt;0),"Yes","No")))</f>
        <v/>
      </c>
      <c r="P958" s="31"/>
    </row>
    <row r="959" customFormat="false" ht="15" hidden="false" customHeight="false" outlineLevel="0" collapsed="false">
      <c r="A959" s="34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2" t="str">
        <f aca="false">IF(D959="","",IF(SUM(H959:K959)&gt;0,1,0))</f>
        <v/>
      </c>
      <c r="N959" s="33" t="str">
        <f aca="false">IF(D959="","",IF(OR(COUNTIF('Target &amp; Team Lists'!$J$5:$J$204,D959)&gt;0,ISNUMBER(SEARCH("alpha nodus",F959))),"Yes","No"))</f>
        <v/>
      </c>
      <c r="O959" s="33" t="str">
        <f aca="false">IF(D959="","",IF(N959="Yes","No",IF(OR(AND(F959&lt;&gt;"",COUNTIF('Target &amp; Team Lists'!$A$5:$A$504,F959)&gt;0),COUNTIF('Target &amp; Team Lists'!$E$5:$E$504,D959)&gt;0),"Yes","No")))</f>
        <v/>
      </c>
      <c r="P959" s="31"/>
    </row>
    <row r="960" customFormat="false" ht="15" hidden="false" customHeight="false" outlineLevel="0" collapsed="false">
      <c r="A960" s="34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2" t="str">
        <f aca="false">IF(D960="","",IF(SUM(H960:K960)&gt;0,1,0))</f>
        <v/>
      </c>
      <c r="N960" s="33" t="str">
        <f aca="false">IF(D960="","",IF(OR(COUNTIF('Target &amp; Team Lists'!$J$5:$J$204,D960)&gt;0,ISNUMBER(SEARCH("alpha nodus",F960))),"Yes","No"))</f>
        <v/>
      </c>
      <c r="O960" s="33" t="str">
        <f aca="false">IF(D960="","",IF(N960="Yes","No",IF(OR(AND(F960&lt;&gt;"",COUNTIF('Target &amp; Team Lists'!$A$5:$A$504,F960)&gt;0),COUNTIF('Target &amp; Team Lists'!$E$5:$E$504,D960)&gt;0),"Yes","No")))</f>
        <v/>
      </c>
      <c r="P960" s="31"/>
    </row>
    <row r="961" customFormat="false" ht="15" hidden="false" customHeight="false" outlineLevel="0" collapsed="false">
      <c r="A961" s="34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2" t="str">
        <f aca="false">IF(D961="","",IF(SUM(H961:K961)&gt;0,1,0))</f>
        <v/>
      </c>
      <c r="N961" s="33" t="str">
        <f aca="false">IF(D961="","",IF(OR(COUNTIF('Target &amp; Team Lists'!$J$5:$J$204,D961)&gt;0,ISNUMBER(SEARCH("alpha nodus",F961))),"Yes","No"))</f>
        <v/>
      </c>
      <c r="O961" s="33" t="str">
        <f aca="false">IF(D961="","",IF(N961="Yes","No",IF(OR(AND(F961&lt;&gt;"",COUNTIF('Target &amp; Team Lists'!$A$5:$A$504,F961)&gt;0),COUNTIF('Target &amp; Team Lists'!$E$5:$E$504,D961)&gt;0),"Yes","No")))</f>
        <v/>
      </c>
      <c r="P961" s="31"/>
    </row>
    <row r="962" customFormat="false" ht="15" hidden="false" customHeight="false" outlineLevel="0" collapsed="false">
      <c r="A962" s="34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2" t="str">
        <f aca="false">IF(D962="","",IF(SUM(H962:K962)&gt;0,1,0))</f>
        <v/>
      </c>
      <c r="N962" s="33" t="str">
        <f aca="false">IF(D962="","",IF(OR(COUNTIF('Target &amp; Team Lists'!$J$5:$J$204,D962)&gt;0,ISNUMBER(SEARCH("alpha nodus",F962))),"Yes","No"))</f>
        <v/>
      </c>
      <c r="O962" s="33" t="str">
        <f aca="false">IF(D962="","",IF(N962="Yes","No",IF(OR(AND(F962&lt;&gt;"",COUNTIF('Target &amp; Team Lists'!$A$5:$A$504,F962)&gt;0),COUNTIF('Target &amp; Team Lists'!$E$5:$E$504,D962)&gt;0),"Yes","No")))</f>
        <v/>
      </c>
      <c r="P962" s="31"/>
    </row>
    <row r="963" customFormat="false" ht="15" hidden="false" customHeight="false" outlineLevel="0" collapsed="false">
      <c r="A963" s="34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2" t="str">
        <f aca="false">IF(D963="","",IF(SUM(H963:K963)&gt;0,1,0))</f>
        <v/>
      </c>
      <c r="N963" s="33" t="str">
        <f aca="false">IF(D963="","",IF(OR(COUNTIF('Target &amp; Team Lists'!$J$5:$J$204,D963)&gt;0,ISNUMBER(SEARCH("alpha nodus",F963))),"Yes","No"))</f>
        <v/>
      </c>
      <c r="O963" s="33" t="str">
        <f aca="false">IF(D963="","",IF(N963="Yes","No",IF(OR(AND(F963&lt;&gt;"",COUNTIF('Target &amp; Team Lists'!$A$5:$A$504,F963)&gt;0),COUNTIF('Target &amp; Team Lists'!$E$5:$E$504,D963)&gt;0),"Yes","No")))</f>
        <v/>
      </c>
      <c r="P963" s="31"/>
    </row>
    <row r="964" customFormat="false" ht="15" hidden="false" customHeight="false" outlineLevel="0" collapsed="false">
      <c r="A964" s="34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2" t="str">
        <f aca="false">IF(D964="","",IF(SUM(H964:K964)&gt;0,1,0))</f>
        <v/>
      </c>
      <c r="N964" s="33" t="str">
        <f aca="false">IF(D964="","",IF(OR(COUNTIF('Target &amp; Team Lists'!$J$5:$J$204,D964)&gt;0,ISNUMBER(SEARCH("alpha nodus",F964))),"Yes","No"))</f>
        <v/>
      </c>
      <c r="O964" s="33" t="str">
        <f aca="false">IF(D964="","",IF(N964="Yes","No",IF(OR(AND(F964&lt;&gt;"",COUNTIF('Target &amp; Team Lists'!$A$5:$A$504,F964)&gt;0),COUNTIF('Target &amp; Team Lists'!$E$5:$E$504,D964)&gt;0),"Yes","No")))</f>
        <v/>
      </c>
      <c r="P964" s="31"/>
    </row>
    <row r="965" customFormat="false" ht="15" hidden="false" customHeight="false" outlineLevel="0" collapsed="false">
      <c r="A965" s="34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2" t="str">
        <f aca="false">IF(D965="","",IF(SUM(H965:K965)&gt;0,1,0))</f>
        <v/>
      </c>
      <c r="N965" s="33" t="str">
        <f aca="false">IF(D965="","",IF(OR(COUNTIF('Target &amp; Team Lists'!$J$5:$J$204,D965)&gt;0,ISNUMBER(SEARCH("alpha nodus",F965))),"Yes","No"))</f>
        <v/>
      </c>
      <c r="O965" s="33" t="str">
        <f aca="false">IF(D965="","",IF(N965="Yes","No",IF(OR(AND(F965&lt;&gt;"",COUNTIF('Target &amp; Team Lists'!$A$5:$A$504,F965)&gt;0),COUNTIF('Target &amp; Team Lists'!$E$5:$E$504,D965)&gt;0),"Yes","No")))</f>
        <v/>
      </c>
      <c r="P965" s="31"/>
    </row>
    <row r="966" customFormat="false" ht="15" hidden="false" customHeight="false" outlineLevel="0" collapsed="false">
      <c r="A966" s="34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2" t="str">
        <f aca="false">IF(D966="","",IF(SUM(H966:K966)&gt;0,1,0))</f>
        <v/>
      </c>
      <c r="N966" s="33" t="str">
        <f aca="false">IF(D966="","",IF(OR(COUNTIF('Target &amp; Team Lists'!$J$5:$J$204,D966)&gt;0,ISNUMBER(SEARCH("alpha nodus",F966))),"Yes","No"))</f>
        <v/>
      </c>
      <c r="O966" s="33" t="str">
        <f aca="false">IF(D966="","",IF(N966="Yes","No",IF(OR(AND(F966&lt;&gt;"",COUNTIF('Target &amp; Team Lists'!$A$5:$A$504,F966)&gt;0),COUNTIF('Target &amp; Team Lists'!$E$5:$E$504,D966)&gt;0),"Yes","No")))</f>
        <v/>
      </c>
      <c r="P966" s="31"/>
    </row>
    <row r="967" customFormat="false" ht="15" hidden="false" customHeight="false" outlineLevel="0" collapsed="false">
      <c r="A967" s="34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2" t="str">
        <f aca="false">IF(D967="","",IF(SUM(H967:K967)&gt;0,1,0))</f>
        <v/>
      </c>
      <c r="N967" s="33" t="str">
        <f aca="false">IF(D967="","",IF(OR(COUNTIF('Target &amp; Team Lists'!$J$5:$J$204,D967)&gt;0,ISNUMBER(SEARCH("alpha nodus",F967))),"Yes","No"))</f>
        <v/>
      </c>
      <c r="O967" s="33" t="str">
        <f aca="false">IF(D967="","",IF(N967="Yes","No",IF(OR(AND(F967&lt;&gt;"",COUNTIF('Target &amp; Team Lists'!$A$5:$A$504,F967)&gt;0),COUNTIF('Target &amp; Team Lists'!$E$5:$E$504,D967)&gt;0),"Yes","No")))</f>
        <v/>
      </c>
      <c r="P967" s="31"/>
    </row>
    <row r="968" customFormat="false" ht="15" hidden="false" customHeight="false" outlineLevel="0" collapsed="false">
      <c r="A968" s="34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2" t="str">
        <f aca="false">IF(D968="","",IF(SUM(H968:K968)&gt;0,1,0))</f>
        <v/>
      </c>
      <c r="N968" s="33" t="str">
        <f aca="false">IF(D968="","",IF(OR(COUNTIF('Target &amp; Team Lists'!$J$5:$J$204,D968)&gt;0,ISNUMBER(SEARCH("alpha nodus",F968))),"Yes","No"))</f>
        <v/>
      </c>
      <c r="O968" s="33" t="str">
        <f aca="false">IF(D968="","",IF(N968="Yes","No",IF(OR(AND(F968&lt;&gt;"",COUNTIF('Target &amp; Team Lists'!$A$5:$A$504,F968)&gt;0),COUNTIF('Target &amp; Team Lists'!$E$5:$E$504,D968)&gt;0),"Yes","No")))</f>
        <v/>
      </c>
      <c r="P968" s="31"/>
    </row>
    <row r="969" customFormat="false" ht="15" hidden="false" customHeight="false" outlineLevel="0" collapsed="false">
      <c r="A969" s="34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2" t="str">
        <f aca="false">IF(D969="","",IF(SUM(H969:K969)&gt;0,1,0))</f>
        <v/>
      </c>
      <c r="N969" s="33" t="str">
        <f aca="false">IF(D969="","",IF(OR(COUNTIF('Target &amp; Team Lists'!$J$5:$J$204,D969)&gt;0,ISNUMBER(SEARCH("alpha nodus",F969))),"Yes","No"))</f>
        <v/>
      </c>
      <c r="O969" s="33" t="str">
        <f aca="false">IF(D969="","",IF(N969="Yes","No",IF(OR(AND(F969&lt;&gt;"",COUNTIF('Target &amp; Team Lists'!$A$5:$A$504,F969)&gt;0),COUNTIF('Target &amp; Team Lists'!$E$5:$E$504,D969)&gt;0),"Yes","No")))</f>
        <v/>
      </c>
      <c r="P969" s="31"/>
    </row>
    <row r="970" customFormat="false" ht="15" hidden="false" customHeight="false" outlineLevel="0" collapsed="false">
      <c r="A970" s="34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2" t="str">
        <f aca="false">IF(D970="","",IF(SUM(H970:K970)&gt;0,1,0))</f>
        <v/>
      </c>
      <c r="N970" s="33" t="str">
        <f aca="false">IF(D970="","",IF(OR(COUNTIF('Target &amp; Team Lists'!$J$5:$J$204,D970)&gt;0,ISNUMBER(SEARCH("alpha nodus",F970))),"Yes","No"))</f>
        <v/>
      </c>
      <c r="O970" s="33" t="str">
        <f aca="false">IF(D970="","",IF(N970="Yes","No",IF(OR(AND(F970&lt;&gt;"",COUNTIF('Target &amp; Team Lists'!$A$5:$A$504,F970)&gt;0),COUNTIF('Target &amp; Team Lists'!$E$5:$E$504,D970)&gt;0),"Yes","No")))</f>
        <v/>
      </c>
      <c r="P970" s="31"/>
    </row>
    <row r="971" customFormat="false" ht="15" hidden="false" customHeight="false" outlineLevel="0" collapsed="false">
      <c r="A971" s="34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2" t="str">
        <f aca="false">IF(D971="","",IF(SUM(H971:K971)&gt;0,1,0))</f>
        <v/>
      </c>
      <c r="N971" s="33" t="str">
        <f aca="false">IF(D971="","",IF(OR(COUNTIF('Target &amp; Team Lists'!$J$5:$J$204,D971)&gt;0,ISNUMBER(SEARCH("alpha nodus",F971))),"Yes","No"))</f>
        <v/>
      </c>
      <c r="O971" s="33" t="str">
        <f aca="false">IF(D971="","",IF(N971="Yes","No",IF(OR(AND(F971&lt;&gt;"",COUNTIF('Target &amp; Team Lists'!$A$5:$A$504,F971)&gt;0),COUNTIF('Target &amp; Team Lists'!$E$5:$E$504,D971)&gt;0),"Yes","No")))</f>
        <v/>
      </c>
      <c r="P971" s="31"/>
    </row>
    <row r="972" customFormat="false" ht="15" hidden="false" customHeight="false" outlineLevel="0" collapsed="false">
      <c r="A972" s="34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2" t="str">
        <f aca="false">IF(D972="","",IF(SUM(H972:K972)&gt;0,1,0))</f>
        <v/>
      </c>
      <c r="N972" s="33" t="str">
        <f aca="false">IF(D972="","",IF(OR(COUNTIF('Target &amp; Team Lists'!$J$5:$J$204,D972)&gt;0,ISNUMBER(SEARCH("alpha nodus",F972))),"Yes","No"))</f>
        <v/>
      </c>
      <c r="O972" s="33" t="str">
        <f aca="false">IF(D972="","",IF(N972="Yes","No",IF(OR(AND(F972&lt;&gt;"",COUNTIF('Target &amp; Team Lists'!$A$5:$A$504,F972)&gt;0),COUNTIF('Target &amp; Team Lists'!$E$5:$E$504,D972)&gt;0),"Yes","No")))</f>
        <v/>
      </c>
      <c r="P972" s="31"/>
    </row>
    <row r="973" customFormat="false" ht="15" hidden="false" customHeight="false" outlineLevel="0" collapsed="false">
      <c r="A973" s="34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2" t="str">
        <f aca="false">IF(D973="","",IF(SUM(H973:K973)&gt;0,1,0))</f>
        <v/>
      </c>
      <c r="N973" s="33" t="str">
        <f aca="false">IF(D973="","",IF(OR(COUNTIF('Target &amp; Team Lists'!$J$5:$J$204,D973)&gt;0,ISNUMBER(SEARCH("alpha nodus",F973))),"Yes","No"))</f>
        <v/>
      </c>
      <c r="O973" s="33" t="str">
        <f aca="false">IF(D973="","",IF(N973="Yes","No",IF(OR(AND(F973&lt;&gt;"",COUNTIF('Target &amp; Team Lists'!$A$5:$A$504,F973)&gt;0),COUNTIF('Target &amp; Team Lists'!$E$5:$E$504,D973)&gt;0),"Yes","No")))</f>
        <v/>
      </c>
      <c r="P973" s="31"/>
    </row>
    <row r="974" customFormat="false" ht="15" hidden="false" customHeight="false" outlineLevel="0" collapsed="false">
      <c r="A974" s="34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2" t="str">
        <f aca="false">IF(D974="","",IF(SUM(H974:K974)&gt;0,1,0))</f>
        <v/>
      </c>
      <c r="N974" s="33" t="str">
        <f aca="false">IF(D974="","",IF(OR(COUNTIF('Target &amp; Team Lists'!$J$5:$J$204,D974)&gt;0,ISNUMBER(SEARCH("alpha nodus",F974))),"Yes","No"))</f>
        <v/>
      </c>
      <c r="O974" s="33" t="str">
        <f aca="false">IF(D974="","",IF(N974="Yes","No",IF(OR(AND(F974&lt;&gt;"",COUNTIF('Target &amp; Team Lists'!$A$5:$A$504,F974)&gt;0),COUNTIF('Target &amp; Team Lists'!$E$5:$E$504,D974)&gt;0),"Yes","No")))</f>
        <v/>
      </c>
      <c r="P974" s="31"/>
    </row>
    <row r="975" customFormat="false" ht="15" hidden="false" customHeight="false" outlineLevel="0" collapsed="false">
      <c r="A975" s="34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2" t="str">
        <f aca="false">IF(D975="","",IF(SUM(H975:K975)&gt;0,1,0))</f>
        <v/>
      </c>
      <c r="N975" s="33" t="str">
        <f aca="false">IF(D975="","",IF(OR(COUNTIF('Target &amp; Team Lists'!$J$5:$J$204,D975)&gt;0,ISNUMBER(SEARCH("alpha nodus",F975))),"Yes","No"))</f>
        <v/>
      </c>
      <c r="O975" s="33" t="str">
        <f aca="false">IF(D975="","",IF(N975="Yes","No",IF(OR(AND(F975&lt;&gt;"",COUNTIF('Target &amp; Team Lists'!$A$5:$A$504,F975)&gt;0),COUNTIF('Target &amp; Team Lists'!$E$5:$E$504,D975)&gt;0),"Yes","No")))</f>
        <v/>
      </c>
      <c r="P975" s="31"/>
    </row>
    <row r="976" customFormat="false" ht="15" hidden="false" customHeight="false" outlineLevel="0" collapsed="false">
      <c r="A976" s="34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2" t="str">
        <f aca="false">IF(D976="","",IF(SUM(H976:K976)&gt;0,1,0))</f>
        <v/>
      </c>
      <c r="N976" s="33" t="str">
        <f aca="false">IF(D976="","",IF(OR(COUNTIF('Target &amp; Team Lists'!$J$5:$J$204,D976)&gt;0,ISNUMBER(SEARCH("alpha nodus",F976))),"Yes","No"))</f>
        <v/>
      </c>
      <c r="O976" s="33" t="str">
        <f aca="false">IF(D976="","",IF(N976="Yes","No",IF(OR(AND(F976&lt;&gt;"",COUNTIF('Target &amp; Team Lists'!$A$5:$A$504,F976)&gt;0),COUNTIF('Target &amp; Team Lists'!$E$5:$E$504,D976)&gt;0),"Yes","No")))</f>
        <v/>
      </c>
      <c r="P976" s="31"/>
    </row>
    <row r="977" customFormat="false" ht="15" hidden="false" customHeight="false" outlineLevel="0" collapsed="false">
      <c r="A977" s="34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2" t="str">
        <f aca="false">IF(D977="","",IF(SUM(H977:K977)&gt;0,1,0))</f>
        <v/>
      </c>
      <c r="N977" s="33" t="str">
        <f aca="false">IF(D977="","",IF(OR(COUNTIF('Target &amp; Team Lists'!$J$5:$J$204,D977)&gt;0,ISNUMBER(SEARCH("alpha nodus",F977))),"Yes","No"))</f>
        <v/>
      </c>
      <c r="O977" s="33" t="str">
        <f aca="false">IF(D977="","",IF(N977="Yes","No",IF(OR(AND(F977&lt;&gt;"",COUNTIF('Target &amp; Team Lists'!$A$5:$A$504,F977)&gt;0),COUNTIF('Target &amp; Team Lists'!$E$5:$E$504,D977)&gt;0),"Yes","No")))</f>
        <v/>
      </c>
      <c r="P977" s="31"/>
    </row>
    <row r="978" customFormat="false" ht="15" hidden="false" customHeight="false" outlineLevel="0" collapsed="false">
      <c r="A978" s="34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2" t="str">
        <f aca="false">IF(D978="","",IF(SUM(H978:K978)&gt;0,1,0))</f>
        <v/>
      </c>
      <c r="N978" s="33" t="str">
        <f aca="false">IF(D978="","",IF(OR(COUNTIF('Target &amp; Team Lists'!$J$5:$J$204,D978)&gt;0,ISNUMBER(SEARCH("alpha nodus",F978))),"Yes","No"))</f>
        <v/>
      </c>
      <c r="O978" s="33" t="str">
        <f aca="false">IF(D978="","",IF(N978="Yes","No",IF(OR(AND(F978&lt;&gt;"",COUNTIF('Target &amp; Team Lists'!$A$5:$A$504,F978)&gt;0),COUNTIF('Target &amp; Team Lists'!$E$5:$E$504,D978)&gt;0),"Yes","No")))</f>
        <v/>
      </c>
      <c r="P978" s="31"/>
    </row>
    <row r="979" customFormat="false" ht="15" hidden="false" customHeight="false" outlineLevel="0" collapsed="false">
      <c r="A979" s="34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2" t="str">
        <f aca="false">IF(D979="","",IF(SUM(H979:K979)&gt;0,1,0))</f>
        <v/>
      </c>
      <c r="N979" s="33" t="str">
        <f aca="false">IF(D979="","",IF(OR(COUNTIF('Target &amp; Team Lists'!$J$5:$J$204,D979)&gt;0,ISNUMBER(SEARCH("alpha nodus",F979))),"Yes","No"))</f>
        <v/>
      </c>
      <c r="O979" s="33" t="str">
        <f aca="false">IF(D979="","",IF(N979="Yes","No",IF(OR(AND(F979&lt;&gt;"",COUNTIF('Target &amp; Team Lists'!$A$5:$A$504,F979)&gt;0),COUNTIF('Target &amp; Team Lists'!$E$5:$E$504,D979)&gt;0),"Yes","No")))</f>
        <v/>
      </c>
      <c r="P979" s="31"/>
    </row>
    <row r="980" customFormat="false" ht="15" hidden="false" customHeight="false" outlineLevel="0" collapsed="false">
      <c r="A980" s="34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2" t="str">
        <f aca="false">IF(D980="","",IF(SUM(H980:K980)&gt;0,1,0))</f>
        <v/>
      </c>
      <c r="N980" s="33" t="str">
        <f aca="false">IF(D980="","",IF(OR(COUNTIF('Target &amp; Team Lists'!$J$5:$J$204,D980)&gt;0,ISNUMBER(SEARCH("alpha nodus",F980))),"Yes","No"))</f>
        <v/>
      </c>
      <c r="O980" s="33" t="str">
        <f aca="false">IF(D980="","",IF(N980="Yes","No",IF(OR(AND(F980&lt;&gt;"",COUNTIF('Target &amp; Team Lists'!$A$5:$A$504,F980)&gt;0),COUNTIF('Target &amp; Team Lists'!$E$5:$E$504,D980)&gt;0),"Yes","No")))</f>
        <v/>
      </c>
      <c r="P980" s="31"/>
    </row>
    <row r="981" customFormat="false" ht="15" hidden="false" customHeight="false" outlineLevel="0" collapsed="false">
      <c r="A981" s="34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2" t="str">
        <f aca="false">IF(D981="","",IF(SUM(H981:K981)&gt;0,1,0))</f>
        <v/>
      </c>
      <c r="N981" s="33" t="str">
        <f aca="false">IF(D981="","",IF(OR(COUNTIF('Target &amp; Team Lists'!$J$5:$J$204,D981)&gt;0,ISNUMBER(SEARCH("alpha nodus",F981))),"Yes","No"))</f>
        <v/>
      </c>
      <c r="O981" s="33" t="str">
        <f aca="false">IF(D981="","",IF(N981="Yes","No",IF(OR(AND(F981&lt;&gt;"",COUNTIF('Target &amp; Team Lists'!$A$5:$A$504,F981)&gt;0),COUNTIF('Target &amp; Team Lists'!$E$5:$E$504,D981)&gt;0),"Yes","No")))</f>
        <v/>
      </c>
      <c r="P981" s="31"/>
    </row>
    <row r="982" customFormat="false" ht="15" hidden="false" customHeight="false" outlineLevel="0" collapsed="false">
      <c r="A982" s="34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2" t="str">
        <f aca="false">IF(D982="","",IF(SUM(H982:K982)&gt;0,1,0))</f>
        <v/>
      </c>
      <c r="N982" s="33" t="str">
        <f aca="false">IF(D982="","",IF(OR(COUNTIF('Target &amp; Team Lists'!$J$5:$J$204,D982)&gt;0,ISNUMBER(SEARCH("alpha nodus",F982))),"Yes","No"))</f>
        <v/>
      </c>
      <c r="O982" s="33" t="str">
        <f aca="false">IF(D982="","",IF(N982="Yes","No",IF(OR(AND(F982&lt;&gt;"",COUNTIF('Target &amp; Team Lists'!$A$5:$A$504,F982)&gt;0),COUNTIF('Target &amp; Team Lists'!$E$5:$E$504,D982)&gt;0),"Yes","No")))</f>
        <v/>
      </c>
      <c r="P982" s="31"/>
    </row>
    <row r="983" customFormat="false" ht="15" hidden="false" customHeight="false" outlineLevel="0" collapsed="false">
      <c r="A983" s="34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2" t="str">
        <f aca="false">IF(D983="","",IF(SUM(H983:K983)&gt;0,1,0))</f>
        <v/>
      </c>
      <c r="N983" s="33" t="str">
        <f aca="false">IF(D983="","",IF(OR(COUNTIF('Target &amp; Team Lists'!$J$5:$J$204,D983)&gt;0,ISNUMBER(SEARCH("alpha nodus",F983))),"Yes","No"))</f>
        <v/>
      </c>
      <c r="O983" s="33" t="str">
        <f aca="false">IF(D983="","",IF(N983="Yes","No",IF(OR(AND(F983&lt;&gt;"",COUNTIF('Target &amp; Team Lists'!$A$5:$A$504,F983)&gt;0),COUNTIF('Target &amp; Team Lists'!$E$5:$E$504,D983)&gt;0),"Yes","No")))</f>
        <v/>
      </c>
      <c r="P983" s="31"/>
    </row>
    <row r="984" customFormat="false" ht="15" hidden="false" customHeight="false" outlineLevel="0" collapsed="false">
      <c r="A984" s="34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2" t="str">
        <f aca="false">IF(D984="","",IF(SUM(H984:K984)&gt;0,1,0))</f>
        <v/>
      </c>
      <c r="N984" s="33" t="str">
        <f aca="false">IF(D984="","",IF(OR(COUNTIF('Target &amp; Team Lists'!$J$5:$J$204,D984)&gt;0,ISNUMBER(SEARCH("alpha nodus",F984))),"Yes","No"))</f>
        <v/>
      </c>
      <c r="O984" s="33" t="str">
        <f aca="false">IF(D984="","",IF(N984="Yes","No",IF(OR(AND(F984&lt;&gt;"",COUNTIF('Target &amp; Team Lists'!$A$5:$A$504,F984)&gt;0),COUNTIF('Target &amp; Team Lists'!$E$5:$E$504,D984)&gt;0),"Yes","No")))</f>
        <v/>
      </c>
      <c r="P984" s="31"/>
    </row>
    <row r="985" customFormat="false" ht="15" hidden="false" customHeight="false" outlineLevel="0" collapsed="false">
      <c r="A985" s="34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2" t="str">
        <f aca="false">IF(D985="","",IF(SUM(H985:K985)&gt;0,1,0))</f>
        <v/>
      </c>
      <c r="N985" s="33" t="str">
        <f aca="false">IF(D985="","",IF(OR(COUNTIF('Target &amp; Team Lists'!$J$5:$J$204,D985)&gt;0,ISNUMBER(SEARCH("alpha nodus",F985))),"Yes","No"))</f>
        <v/>
      </c>
      <c r="O985" s="33" t="str">
        <f aca="false">IF(D985="","",IF(N985="Yes","No",IF(OR(AND(F985&lt;&gt;"",COUNTIF('Target &amp; Team Lists'!$A$5:$A$504,F985)&gt;0),COUNTIF('Target &amp; Team Lists'!$E$5:$E$504,D985)&gt;0),"Yes","No")))</f>
        <v/>
      </c>
      <c r="P985" s="31"/>
    </row>
    <row r="986" customFormat="false" ht="15" hidden="false" customHeight="false" outlineLevel="0" collapsed="false">
      <c r="A986" s="34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2" t="str">
        <f aca="false">IF(D986="","",IF(SUM(H986:K986)&gt;0,1,0))</f>
        <v/>
      </c>
      <c r="N986" s="33" t="str">
        <f aca="false">IF(D986="","",IF(OR(COUNTIF('Target &amp; Team Lists'!$J$5:$J$204,D986)&gt;0,ISNUMBER(SEARCH("alpha nodus",F986))),"Yes","No"))</f>
        <v/>
      </c>
      <c r="O986" s="33" t="str">
        <f aca="false">IF(D986="","",IF(N986="Yes","No",IF(OR(AND(F986&lt;&gt;"",COUNTIF('Target &amp; Team Lists'!$A$5:$A$504,F986)&gt;0),COUNTIF('Target &amp; Team Lists'!$E$5:$E$504,D986)&gt;0),"Yes","No")))</f>
        <v/>
      </c>
      <c r="P986" s="31"/>
    </row>
    <row r="987" customFormat="false" ht="15" hidden="false" customHeight="false" outlineLevel="0" collapsed="false">
      <c r="A987" s="34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2" t="str">
        <f aca="false">IF(D987="","",IF(SUM(H987:K987)&gt;0,1,0))</f>
        <v/>
      </c>
      <c r="N987" s="33" t="str">
        <f aca="false">IF(D987="","",IF(OR(COUNTIF('Target &amp; Team Lists'!$J$5:$J$204,D987)&gt;0,ISNUMBER(SEARCH("alpha nodus",F987))),"Yes","No"))</f>
        <v/>
      </c>
      <c r="O987" s="33" t="str">
        <f aca="false">IF(D987="","",IF(N987="Yes","No",IF(OR(AND(F987&lt;&gt;"",COUNTIF('Target &amp; Team Lists'!$A$5:$A$504,F987)&gt;0),COUNTIF('Target &amp; Team Lists'!$E$5:$E$504,D987)&gt;0),"Yes","No")))</f>
        <v/>
      </c>
      <c r="P987" s="31"/>
    </row>
    <row r="988" customFormat="false" ht="15" hidden="false" customHeight="false" outlineLevel="0" collapsed="false">
      <c r="A988" s="34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2" t="str">
        <f aca="false">IF(D988="","",IF(SUM(H988:K988)&gt;0,1,0))</f>
        <v/>
      </c>
      <c r="N988" s="33" t="str">
        <f aca="false">IF(D988="","",IF(OR(COUNTIF('Target &amp; Team Lists'!$J$5:$J$204,D988)&gt;0,ISNUMBER(SEARCH("alpha nodus",F988))),"Yes","No"))</f>
        <v/>
      </c>
      <c r="O988" s="33" t="str">
        <f aca="false">IF(D988="","",IF(N988="Yes","No",IF(OR(AND(F988&lt;&gt;"",COUNTIF('Target &amp; Team Lists'!$A$5:$A$504,F988)&gt;0),COUNTIF('Target &amp; Team Lists'!$E$5:$E$504,D988)&gt;0),"Yes","No")))</f>
        <v/>
      </c>
      <c r="P988" s="31"/>
    </row>
    <row r="989" customFormat="false" ht="15" hidden="false" customHeight="false" outlineLevel="0" collapsed="false">
      <c r="A989" s="34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2" t="str">
        <f aca="false">IF(D989="","",IF(SUM(H989:K989)&gt;0,1,0))</f>
        <v/>
      </c>
      <c r="N989" s="33" t="str">
        <f aca="false">IF(D989="","",IF(OR(COUNTIF('Target &amp; Team Lists'!$J$5:$J$204,D989)&gt;0,ISNUMBER(SEARCH("alpha nodus",F989))),"Yes","No"))</f>
        <v/>
      </c>
      <c r="O989" s="33" t="str">
        <f aca="false">IF(D989="","",IF(N989="Yes","No",IF(OR(AND(F989&lt;&gt;"",COUNTIF('Target &amp; Team Lists'!$A$5:$A$504,F989)&gt;0),COUNTIF('Target &amp; Team Lists'!$E$5:$E$504,D989)&gt;0),"Yes","No")))</f>
        <v/>
      </c>
      <c r="P989" s="31"/>
    </row>
    <row r="990" customFormat="false" ht="15" hidden="false" customHeight="false" outlineLevel="0" collapsed="false">
      <c r="A990" s="34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2" t="str">
        <f aca="false">IF(D990="","",IF(SUM(H990:K990)&gt;0,1,0))</f>
        <v/>
      </c>
      <c r="N990" s="33" t="str">
        <f aca="false">IF(D990="","",IF(OR(COUNTIF('Target &amp; Team Lists'!$J$5:$J$204,D990)&gt;0,ISNUMBER(SEARCH("alpha nodus",F990))),"Yes","No"))</f>
        <v/>
      </c>
      <c r="O990" s="33" t="str">
        <f aca="false">IF(D990="","",IF(N990="Yes","No",IF(OR(AND(F990&lt;&gt;"",COUNTIF('Target &amp; Team Lists'!$A$5:$A$504,F990)&gt;0),COUNTIF('Target &amp; Team Lists'!$E$5:$E$504,D990)&gt;0),"Yes","No")))</f>
        <v/>
      </c>
      <c r="P990" s="31"/>
    </row>
    <row r="991" customFormat="false" ht="15" hidden="false" customHeight="false" outlineLevel="0" collapsed="false">
      <c r="A991" s="34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2" t="str">
        <f aca="false">IF(D991="","",IF(SUM(H991:K991)&gt;0,1,0))</f>
        <v/>
      </c>
      <c r="N991" s="33" t="str">
        <f aca="false">IF(D991="","",IF(OR(COUNTIF('Target &amp; Team Lists'!$J$5:$J$204,D991)&gt;0,ISNUMBER(SEARCH("alpha nodus",F991))),"Yes","No"))</f>
        <v/>
      </c>
      <c r="O991" s="33" t="str">
        <f aca="false">IF(D991="","",IF(N991="Yes","No",IF(OR(AND(F991&lt;&gt;"",COUNTIF('Target &amp; Team Lists'!$A$5:$A$504,F991)&gt;0),COUNTIF('Target &amp; Team Lists'!$E$5:$E$504,D991)&gt;0),"Yes","No")))</f>
        <v/>
      </c>
      <c r="P991" s="31"/>
    </row>
    <row r="992" customFormat="false" ht="15" hidden="false" customHeight="false" outlineLevel="0" collapsed="false">
      <c r="A992" s="34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2" t="str">
        <f aca="false">IF(D992="","",IF(SUM(H992:K992)&gt;0,1,0))</f>
        <v/>
      </c>
      <c r="N992" s="33" t="str">
        <f aca="false">IF(D992="","",IF(OR(COUNTIF('Target &amp; Team Lists'!$J$5:$J$204,D992)&gt;0,ISNUMBER(SEARCH("alpha nodus",F992))),"Yes","No"))</f>
        <v/>
      </c>
      <c r="O992" s="33" t="str">
        <f aca="false">IF(D992="","",IF(N992="Yes","No",IF(OR(AND(F992&lt;&gt;"",COUNTIF('Target &amp; Team Lists'!$A$5:$A$504,F992)&gt;0),COUNTIF('Target &amp; Team Lists'!$E$5:$E$504,D992)&gt;0),"Yes","No")))</f>
        <v/>
      </c>
      <c r="P992" s="31"/>
    </row>
    <row r="993" customFormat="false" ht="15" hidden="false" customHeight="false" outlineLevel="0" collapsed="false">
      <c r="A993" s="34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2" t="str">
        <f aca="false">IF(D993="","",IF(SUM(H993:K993)&gt;0,1,0))</f>
        <v/>
      </c>
      <c r="N993" s="33" t="str">
        <f aca="false">IF(D993="","",IF(OR(COUNTIF('Target &amp; Team Lists'!$J$5:$J$204,D993)&gt;0,ISNUMBER(SEARCH("alpha nodus",F993))),"Yes","No"))</f>
        <v/>
      </c>
      <c r="O993" s="33" t="str">
        <f aca="false">IF(D993="","",IF(N993="Yes","No",IF(OR(AND(F993&lt;&gt;"",COUNTIF('Target &amp; Team Lists'!$A$5:$A$504,F993)&gt;0),COUNTIF('Target &amp; Team Lists'!$E$5:$E$504,D993)&gt;0),"Yes","No")))</f>
        <v/>
      </c>
      <c r="P993" s="31"/>
    </row>
    <row r="994" customFormat="false" ht="15" hidden="false" customHeight="false" outlineLevel="0" collapsed="false">
      <c r="A994" s="34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2" t="str">
        <f aca="false">IF(D994="","",IF(SUM(H994:K994)&gt;0,1,0))</f>
        <v/>
      </c>
      <c r="N994" s="33" t="str">
        <f aca="false">IF(D994="","",IF(OR(COUNTIF('Target &amp; Team Lists'!$J$5:$J$204,D994)&gt;0,ISNUMBER(SEARCH("alpha nodus",F994))),"Yes","No"))</f>
        <v/>
      </c>
      <c r="O994" s="33" t="str">
        <f aca="false">IF(D994="","",IF(N994="Yes","No",IF(OR(AND(F994&lt;&gt;"",COUNTIF('Target &amp; Team Lists'!$A$5:$A$504,F994)&gt;0),COUNTIF('Target &amp; Team Lists'!$E$5:$E$504,D994)&gt;0),"Yes","No")))</f>
        <v/>
      </c>
      <c r="P994" s="31"/>
    </row>
    <row r="995" customFormat="false" ht="15" hidden="false" customHeight="false" outlineLevel="0" collapsed="false">
      <c r="A995" s="34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2" t="str">
        <f aca="false">IF(D995="","",IF(SUM(H995:K995)&gt;0,1,0))</f>
        <v/>
      </c>
      <c r="N995" s="33" t="str">
        <f aca="false">IF(D995="","",IF(OR(COUNTIF('Target &amp; Team Lists'!$J$5:$J$204,D995)&gt;0,ISNUMBER(SEARCH("alpha nodus",F995))),"Yes","No"))</f>
        <v/>
      </c>
      <c r="O995" s="33" t="str">
        <f aca="false">IF(D995="","",IF(N995="Yes","No",IF(OR(AND(F995&lt;&gt;"",COUNTIF('Target &amp; Team Lists'!$A$5:$A$504,F995)&gt;0),COUNTIF('Target &amp; Team Lists'!$E$5:$E$504,D995)&gt;0),"Yes","No")))</f>
        <v/>
      </c>
      <c r="P995" s="31"/>
    </row>
    <row r="996" customFormat="false" ht="15" hidden="false" customHeight="false" outlineLevel="0" collapsed="false">
      <c r="A996" s="34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2" t="str">
        <f aca="false">IF(D996="","",IF(SUM(H996:K996)&gt;0,1,0))</f>
        <v/>
      </c>
      <c r="N996" s="33" t="str">
        <f aca="false">IF(D996="","",IF(OR(COUNTIF('Target &amp; Team Lists'!$J$5:$J$204,D996)&gt;0,ISNUMBER(SEARCH("alpha nodus",F996))),"Yes","No"))</f>
        <v/>
      </c>
      <c r="O996" s="33" t="str">
        <f aca="false">IF(D996="","",IF(N996="Yes","No",IF(OR(AND(F996&lt;&gt;"",COUNTIF('Target &amp; Team Lists'!$A$5:$A$504,F996)&gt;0),COUNTIF('Target &amp; Team Lists'!$E$5:$E$504,D996)&gt;0),"Yes","No")))</f>
        <v/>
      </c>
      <c r="P996" s="31"/>
    </row>
    <row r="997" customFormat="false" ht="15" hidden="false" customHeight="false" outlineLevel="0" collapsed="false">
      <c r="A997" s="34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2" t="str">
        <f aca="false">IF(D997="","",IF(SUM(H997:K997)&gt;0,1,0))</f>
        <v/>
      </c>
      <c r="N997" s="33" t="str">
        <f aca="false">IF(D997="","",IF(OR(COUNTIF('Target &amp; Team Lists'!$J$5:$J$204,D997)&gt;0,ISNUMBER(SEARCH("alpha nodus",F997))),"Yes","No"))</f>
        <v/>
      </c>
      <c r="O997" s="33" t="str">
        <f aca="false">IF(D997="","",IF(N997="Yes","No",IF(OR(AND(F997&lt;&gt;"",COUNTIF('Target &amp; Team Lists'!$A$5:$A$504,F997)&gt;0),COUNTIF('Target &amp; Team Lists'!$E$5:$E$504,D997)&gt;0),"Yes","No")))</f>
        <v/>
      </c>
      <c r="P997" s="31"/>
    </row>
    <row r="998" customFormat="false" ht="15" hidden="false" customHeight="false" outlineLevel="0" collapsed="false">
      <c r="A998" s="34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2" t="str">
        <f aca="false">IF(D998="","",IF(SUM(H998:K998)&gt;0,1,0))</f>
        <v/>
      </c>
      <c r="N998" s="33" t="str">
        <f aca="false">IF(D998="","",IF(OR(COUNTIF('Target &amp; Team Lists'!$J$5:$J$204,D998)&gt;0,ISNUMBER(SEARCH("alpha nodus",F998))),"Yes","No"))</f>
        <v/>
      </c>
      <c r="O998" s="33" t="str">
        <f aca="false">IF(D998="","",IF(N998="Yes","No",IF(OR(AND(F998&lt;&gt;"",COUNTIF('Target &amp; Team Lists'!$A$5:$A$504,F998)&gt;0),COUNTIF('Target &amp; Team Lists'!$E$5:$E$504,D998)&gt;0),"Yes","No")))</f>
        <v/>
      </c>
      <c r="P998" s="31"/>
    </row>
    <row r="999" customFormat="false" ht="15" hidden="false" customHeight="false" outlineLevel="0" collapsed="false">
      <c r="A999" s="34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2" t="str">
        <f aca="false">IF(D999="","",IF(SUM(H999:K999)&gt;0,1,0))</f>
        <v/>
      </c>
      <c r="N999" s="33" t="str">
        <f aca="false">IF(D999="","",IF(OR(COUNTIF('Target &amp; Team Lists'!$J$5:$J$204,D999)&gt;0,ISNUMBER(SEARCH("alpha nodus",F999))),"Yes","No"))</f>
        <v/>
      </c>
      <c r="O999" s="33" t="str">
        <f aca="false">IF(D999="","",IF(N999="Yes","No",IF(OR(AND(F999&lt;&gt;"",COUNTIF('Target &amp; Team Lists'!$A$5:$A$504,F999)&gt;0),COUNTIF('Target &amp; Team Lists'!$E$5:$E$504,D999)&gt;0),"Yes","No")))</f>
        <v/>
      </c>
      <c r="P999" s="31"/>
    </row>
    <row r="1000" customFormat="false" ht="15" hidden="false" customHeight="false" outlineLevel="0" collapsed="false">
      <c r="A1000" s="34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2" t="str">
        <f aca="false">IF(D1000="","",IF(SUM(H1000:K1000)&gt;0,1,0))</f>
        <v/>
      </c>
      <c r="N1000" s="33" t="str">
        <f aca="false">IF(D1000="","",IF(OR(COUNTIF('Target &amp; Team Lists'!$J$5:$J$204,D1000)&gt;0,ISNUMBER(SEARCH("alpha nodus",F1000))),"Yes","No"))</f>
        <v/>
      </c>
      <c r="O1000" s="33" t="str">
        <f aca="false">IF(D1000="","",IF(N1000="Yes","No",IF(OR(AND(F1000&lt;&gt;"",COUNTIF('Target &amp; Team Lists'!$A$5:$A$504,F1000)&gt;0),COUNTIF('Target &amp; Team Lists'!$E$5:$E$504,D1000)&gt;0),"Yes","No")))</f>
        <v/>
      </c>
      <c r="P1000" s="31"/>
    </row>
    <row r="1001" customFormat="false" ht="15" hidden="false" customHeight="false" outlineLevel="0" collapsed="false">
      <c r="A1001" s="34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2" t="str">
        <f aca="false">IF(D1001="","",IF(SUM(H1001:K1001)&gt;0,1,0))</f>
        <v/>
      </c>
      <c r="N1001" s="33" t="str">
        <f aca="false">IF(D1001="","",IF(OR(COUNTIF('Target &amp; Team Lists'!$J$5:$J$204,D1001)&gt;0,ISNUMBER(SEARCH("alpha nodus",F1001))),"Yes","No"))</f>
        <v/>
      </c>
      <c r="O1001" s="33" t="str">
        <f aca="false">IF(D1001="","",IF(N1001="Yes","No",IF(OR(AND(F1001&lt;&gt;"",COUNTIF('Target &amp; Team Lists'!$A$5:$A$504,F1001)&gt;0),COUNTIF('Target &amp; Team Lists'!$E$5:$E$504,D1001)&gt;0),"Yes","No")))</f>
        <v/>
      </c>
      <c r="P1001" s="31"/>
    </row>
    <row r="1002" customFormat="false" ht="15" hidden="false" customHeight="false" outlineLevel="0" collapsed="false">
      <c r="A1002" s="34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2" t="str">
        <f aca="false">IF(D1002="","",IF(SUM(H1002:K1002)&gt;0,1,0))</f>
        <v/>
      </c>
      <c r="N1002" s="33" t="str">
        <f aca="false">IF(D1002="","",IF(OR(COUNTIF('Target &amp; Team Lists'!$J$5:$J$204,D1002)&gt;0,ISNUMBER(SEARCH("alpha nodus",F1002))),"Yes","No"))</f>
        <v/>
      </c>
      <c r="O1002" s="33" t="str">
        <f aca="false">IF(D1002="","",IF(N1002="Yes","No",IF(OR(AND(F1002&lt;&gt;"",COUNTIF('Target &amp; Team Lists'!$A$5:$A$504,F1002)&gt;0),COUNTIF('Target &amp; Team Lists'!$E$5:$E$504,D1002)&gt;0),"Yes","No")))</f>
        <v/>
      </c>
      <c r="P1002" s="31"/>
    </row>
    <row r="1003" customFormat="false" ht="15" hidden="false" customHeight="false" outlineLevel="0" collapsed="false">
      <c r="A1003" s="34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2" t="str">
        <f aca="false">IF(D1003="","",IF(SUM(H1003:K1003)&gt;0,1,0))</f>
        <v/>
      </c>
      <c r="N1003" s="33" t="str">
        <f aca="false">IF(D1003="","",IF(OR(COUNTIF('Target &amp; Team Lists'!$J$5:$J$204,D1003)&gt;0,ISNUMBER(SEARCH("alpha nodus",F1003))),"Yes","No"))</f>
        <v/>
      </c>
      <c r="O1003" s="33" t="str">
        <f aca="false">IF(D1003="","",IF(N1003="Yes","No",IF(OR(AND(F1003&lt;&gt;"",COUNTIF('Target &amp; Team Lists'!$A$5:$A$504,F1003)&gt;0),COUNTIF('Target &amp; Team Lists'!$E$5:$E$504,D1003)&gt;0),"Yes","No")))</f>
        <v/>
      </c>
      <c r="P1003" s="31"/>
    </row>
    <row r="1004" customFormat="false" ht="15" hidden="false" customHeight="false" outlineLevel="0" collapsed="false">
      <c r="A1004" s="34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2" t="str">
        <f aca="false">IF(D1004="","",IF(SUM(H1004:K1004)&gt;0,1,0))</f>
        <v/>
      </c>
      <c r="N1004" s="33" t="str">
        <f aca="false">IF(D1004="","",IF(OR(COUNTIF('Target &amp; Team Lists'!$J$5:$J$204,D1004)&gt;0,ISNUMBER(SEARCH("alpha nodus",F1004))),"Yes","No"))</f>
        <v/>
      </c>
      <c r="O1004" s="33" t="str">
        <f aca="false">IF(D1004="","",IF(N1004="Yes","No",IF(OR(AND(F1004&lt;&gt;"",COUNTIF('Target &amp; Team Lists'!$A$5:$A$504,F1004)&gt;0),COUNTIF('Target &amp; Team Lists'!$E$5:$E$504,D1004)&gt;0),"Yes","No")))</f>
        <v/>
      </c>
      <c r="P1004" s="31"/>
    </row>
  </sheetData>
  <autoFilter ref="A4:P1004"/>
  <conditionalFormatting sqref="O5:O1004">
    <cfRule type="cellIs" priority="2" operator="equal" aboveAverage="0" equalAverage="0" bottom="0" percent="0" rank="0" text="" dxfId="14">
      <formula>"Yes"</formula>
    </cfRule>
  </conditionalFormatting>
  <conditionalFormatting sqref="N5:N1004">
    <cfRule type="cellIs" priority="3" operator="equal" aboveAverage="0" equalAverage="0" bottom="0" percent="0" rank="0" text="" dxfId="17">
      <formula>"Yes"</formula>
    </cfRule>
  </conditionalFormatting>
  <dataValidations count="4">
    <dataValidation allowBlank="true" errorStyle="stop" operator="between" showDropDown="false" showErrorMessage="false" showInputMessage="false" sqref="C5:C1004" type="list">
      <formula1>'Post Tracker'!$C$16:$C$215</formula1>
      <formula2>0</formula2>
    </dataValidation>
    <dataValidation allowBlank="true" errorStyle="stop" operator="between" showDropDown="false" showErrorMessage="false" showInputMessage="false" sqref="B5:B1004" type="list">
      <formula1>"LinkedIn,Instagram,X"</formula1>
      <formula2>0</formula2>
    </dataValidation>
    <dataValidation allowBlank="true" errorStyle="stop" operator="between" showDropDown="false" showErrorMessage="false" showInputMessage="false" sqref="F5:F1004" type="list">
      <formula1>'Target &amp; Team Lists'!$A$5:$A$504</formula1>
      <formula2>0</formula2>
    </dataValidation>
    <dataValidation allowBlank="true" errorStyle="stop" operator="between" showDropDown="false" showErrorMessage="false" showInputMessage="false" sqref="H5:L1004" type="whole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L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7"/>
    <col collapsed="false" customWidth="true" hidden="false" outlineLevel="0" max="6" min="5" style="0" width="22"/>
    <col collapsed="false" customWidth="true" hidden="false" outlineLevel="0" max="7" min="7" style="0" width="26"/>
    <col collapsed="false" customWidth="true" hidden="false" outlineLevel="0" max="8" min="8" style="0" width="24"/>
    <col collapsed="false" customWidth="true" hidden="false" outlineLevel="0" max="9" min="9" style="0" width="3"/>
    <col collapsed="false" customWidth="true" hidden="false" outlineLevel="0" max="10" min="10" style="0" width="22"/>
    <col collapsed="false" customWidth="true" hidden="false" outlineLevel="0" max="11" min="11" style="0" width="18"/>
    <col collapsed="false" customWidth="true" hidden="false" outlineLevel="0" max="12" min="12" style="0" width="26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15" hidden="false" customHeight="false" outlineLevel="0" collapsed="false">
      <c r="A3" s="14" t="s">
        <v>158</v>
      </c>
      <c r="J3" s="14" t="s">
        <v>159</v>
      </c>
    </row>
    <row r="4" customFormat="false" ht="15" hidden="false" customHeight="false" outlineLevel="0" collapsed="false">
      <c r="A4" s="3" t="s">
        <v>140</v>
      </c>
      <c r="B4" s="3" t="s">
        <v>160</v>
      </c>
      <c r="C4" s="3" t="s">
        <v>161</v>
      </c>
      <c r="D4" s="3" t="s">
        <v>162</v>
      </c>
      <c r="E4" s="3" t="s">
        <v>163</v>
      </c>
      <c r="F4" s="3" t="s">
        <v>164</v>
      </c>
      <c r="G4" s="3" t="s">
        <v>165</v>
      </c>
      <c r="H4" s="3" t="s">
        <v>150</v>
      </c>
      <c r="J4" s="3" t="s">
        <v>166</v>
      </c>
      <c r="K4" s="3" t="s">
        <v>167</v>
      </c>
      <c r="L4" s="3" t="s">
        <v>168</v>
      </c>
    </row>
    <row r="5" customFormat="false" ht="15" hidden="false" customHeight="false" outlineLevel="0" collapsed="false">
      <c r="A5" s="30" t="s">
        <v>154</v>
      </c>
      <c r="B5" s="30" t="s">
        <v>169</v>
      </c>
      <c r="C5" s="30" t="s">
        <v>170</v>
      </c>
      <c r="D5" s="30" t="s">
        <v>171</v>
      </c>
      <c r="E5" s="30" t="s">
        <v>152</v>
      </c>
      <c r="F5" s="30" t="s">
        <v>153</v>
      </c>
      <c r="G5" s="30"/>
      <c r="H5" s="30" t="s">
        <v>172</v>
      </c>
      <c r="J5" s="35" t="s">
        <v>173</v>
      </c>
      <c r="K5" s="35" t="s">
        <v>174</v>
      </c>
      <c r="L5" s="35"/>
    </row>
    <row r="6" customFormat="false" ht="15" hidden="false" customHeight="false" outlineLevel="0" collapsed="false">
      <c r="A6" s="31"/>
      <c r="B6" s="31"/>
      <c r="C6" s="31"/>
      <c r="D6" s="31"/>
      <c r="E6" s="31"/>
      <c r="F6" s="31"/>
      <c r="G6" s="31"/>
      <c r="H6" s="31"/>
      <c r="J6" s="31"/>
      <c r="K6" s="31"/>
      <c r="L6" s="31"/>
    </row>
    <row r="7" customFormat="false" ht="15" hidden="false" customHeight="false" outlineLevel="0" collapsed="false">
      <c r="A7" s="31"/>
      <c r="B7" s="31"/>
      <c r="C7" s="31"/>
      <c r="D7" s="31"/>
      <c r="E7" s="31"/>
      <c r="F7" s="31"/>
      <c r="G7" s="31"/>
      <c r="H7" s="31"/>
      <c r="J7" s="31"/>
      <c r="K7" s="31"/>
      <c r="L7" s="31"/>
    </row>
    <row r="8" customFormat="false" ht="15" hidden="false" customHeight="false" outlineLevel="0" collapsed="false">
      <c r="A8" s="31"/>
      <c r="B8" s="31"/>
      <c r="C8" s="31"/>
      <c r="D8" s="31"/>
      <c r="E8" s="31"/>
      <c r="F8" s="31"/>
      <c r="G8" s="31"/>
      <c r="H8" s="31"/>
      <c r="J8" s="31"/>
      <c r="K8" s="31"/>
      <c r="L8" s="31"/>
    </row>
    <row r="9" customFormat="false" ht="15" hidden="false" customHeight="false" outlineLevel="0" collapsed="false">
      <c r="A9" s="31"/>
      <c r="B9" s="31"/>
      <c r="C9" s="31"/>
      <c r="D9" s="31"/>
      <c r="E9" s="31"/>
      <c r="F9" s="31"/>
      <c r="G9" s="31"/>
      <c r="H9" s="31"/>
      <c r="J9" s="31"/>
      <c r="K9" s="31"/>
      <c r="L9" s="31"/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  <c r="G10" s="31"/>
      <c r="H10" s="31"/>
      <c r="J10" s="31"/>
      <c r="K10" s="31"/>
      <c r="L10" s="31"/>
    </row>
    <row r="11" customFormat="false" ht="15" hidden="false" customHeight="false" outlineLevel="0" collapsed="false">
      <c r="A11" s="31"/>
      <c r="B11" s="31"/>
      <c r="C11" s="31"/>
      <c r="D11" s="31"/>
      <c r="E11" s="31"/>
      <c r="F11" s="31"/>
      <c r="G11" s="31"/>
      <c r="H11" s="31"/>
      <c r="J11" s="31"/>
      <c r="K11" s="31"/>
      <c r="L11" s="31"/>
    </row>
    <row r="12" customFormat="false" ht="15" hidden="false" customHeight="false" outlineLevel="0" collapsed="false">
      <c r="A12" s="31"/>
      <c r="B12" s="31"/>
      <c r="C12" s="31"/>
      <c r="D12" s="31"/>
      <c r="E12" s="31"/>
      <c r="F12" s="31"/>
      <c r="G12" s="31"/>
      <c r="H12" s="31"/>
      <c r="J12" s="31"/>
      <c r="K12" s="31"/>
      <c r="L12" s="31"/>
    </row>
    <row r="13" customFormat="false" ht="15" hidden="false" customHeight="false" outlineLevel="0" collapsed="false">
      <c r="A13" s="31"/>
      <c r="B13" s="31"/>
      <c r="C13" s="31"/>
      <c r="D13" s="31"/>
      <c r="E13" s="31"/>
      <c r="F13" s="31"/>
      <c r="G13" s="31"/>
      <c r="H13" s="31"/>
      <c r="J13" s="31"/>
      <c r="K13" s="31"/>
      <c r="L13" s="31"/>
    </row>
    <row r="14" customFormat="false" ht="15" hidden="false" customHeight="false" outlineLevel="0" collapsed="false">
      <c r="A14" s="31"/>
      <c r="B14" s="31"/>
      <c r="C14" s="31"/>
      <c r="D14" s="31"/>
      <c r="E14" s="31"/>
      <c r="F14" s="31"/>
      <c r="G14" s="31"/>
      <c r="H14" s="31"/>
      <c r="J14" s="31"/>
      <c r="K14" s="31"/>
      <c r="L14" s="31"/>
    </row>
    <row r="15" customFormat="false" ht="15" hidden="false" customHeight="false" outlineLevel="0" collapsed="false">
      <c r="A15" s="31"/>
      <c r="B15" s="31"/>
      <c r="C15" s="31"/>
      <c r="D15" s="31"/>
      <c r="E15" s="31"/>
      <c r="F15" s="31"/>
      <c r="G15" s="31"/>
      <c r="H15" s="31"/>
      <c r="J15" s="31"/>
      <c r="K15" s="31"/>
      <c r="L15" s="31"/>
    </row>
    <row r="16" customFormat="false" ht="15" hidden="false" customHeight="false" outlineLevel="0" collapsed="false">
      <c r="A16" s="31"/>
      <c r="B16" s="31"/>
      <c r="C16" s="31"/>
      <c r="D16" s="31"/>
      <c r="E16" s="31"/>
      <c r="F16" s="31"/>
      <c r="G16" s="31"/>
      <c r="H16" s="31"/>
      <c r="J16" s="31"/>
      <c r="K16" s="31"/>
      <c r="L16" s="31"/>
    </row>
    <row r="17" customFormat="false" ht="15" hidden="false" customHeight="false" outlineLevel="0" collapsed="false">
      <c r="A17" s="31"/>
      <c r="B17" s="31"/>
      <c r="C17" s="31"/>
      <c r="D17" s="31"/>
      <c r="E17" s="31"/>
      <c r="F17" s="31"/>
      <c r="G17" s="31"/>
      <c r="H17" s="31"/>
      <c r="J17" s="31"/>
      <c r="K17" s="31"/>
      <c r="L17" s="31"/>
    </row>
    <row r="18" customFormat="false" ht="15" hidden="false" customHeight="false" outlineLevel="0" collapsed="false">
      <c r="A18" s="31"/>
      <c r="B18" s="31"/>
      <c r="C18" s="31"/>
      <c r="D18" s="31"/>
      <c r="E18" s="31"/>
      <c r="F18" s="31"/>
      <c r="G18" s="31"/>
      <c r="H18" s="31"/>
      <c r="J18" s="31"/>
      <c r="K18" s="31"/>
      <c r="L18" s="31"/>
    </row>
    <row r="19" customFormat="false" ht="15" hidden="false" customHeight="false" outlineLevel="0" collapsed="false">
      <c r="A19" s="31"/>
      <c r="B19" s="31"/>
      <c r="C19" s="31"/>
      <c r="D19" s="31"/>
      <c r="E19" s="31"/>
      <c r="F19" s="31"/>
      <c r="G19" s="31"/>
      <c r="H19" s="31"/>
      <c r="J19" s="31"/>
      <c r="K19" s="31"/>
      <c r="L19" s="31"/>
    </row>
    <row r="20" customFormat="false" ht="15" hidden="false" customHeight="false" outlineLevel="0" collapsed="false">
      <c r="A20" s="31"/>
      <c r="B20" s="31"/>
      <c r="C20" s="31"/>
      <c r="D20" s="31"/>
      <c r="E20" s="31"/>
      <c r="F20" s="31"/>
      <c r="G20" s="31"/>
      <c r="H20" s="31"/>
      <c r="J20" s="31"/>
      <c r="K20" s="31"/>
      <c r="L20" s="31"/>
    </row>
    <row r="21" customFormat="false" ht="15" hidden="false" customHeight="false" outlineLevel="0" collapsed="false">
      <c r="A21" s="31"/>
      <c r="B21" s="31"/>
      <c r="C21" s="31"/>
      <c r="D21" s="31"/>
      <c r="E21" s="31"/>
      <c r="F21" s="31"/>
      <c r="G21" s="31"/>
      <c r="H21" s="31"/>
      <c r="J21" s="31"/>
      <c r="K21" s="31"/>
      <c r="L21" s="31"/>
    </row>
    <row r="22" customFormat="false" ht="15" hidden="false" customHeight="false" outlineLevel="0" collapsed="false">
      <c r="A22" s="31"/>
      <c r="B22" s="31"/>
      <c r="C22" s="31"/>
      <c r="D22" s="31"/>
      <c r="E22" s="31"/>
      <c r="F22" s="31"/>
      <c r="G22" s="31"/>
      <c r="H22" s="31"/>
      <c r="J22" s="31"/>
      <c r="K22" s="31"/>
      <c r="L22" s="31"/>
    </row>
    <row r="23" customFormat="false" ht="15" hidden="false" customHeight="false" outlineLevel="0" collapsed="false">
      <c r="A23" s="31"/>
      <c r="B23" s="31"/>
      <c r="C23" s="31"/>
      <c r="D23" s="31"/>
      <c r="E23" s="31"/>
      <c r="F23" s="31"/>
      <c r="G23" s="31"/>
      <c r="H23" s="31"/>
      <c r="J23" s="31"/>
      <c r="K23" s="31"/>
      <c r="L23" s="31"/>
    </row>
    <row r="24" customFormat="false" ht="15" hidden="false" customHeight="false" outlineLevel="0" collapsed="false">
      <c r="A24" s="31"/>
      <c r="B24" s="31"/>
      <c r="C24" s="31"/>
      <c r="D24" s="31"/>
      <c r="E24" s="31"/>
      <c r="F24" s="31"/>
      <c r="G24" s="31"/>
      <c r="H24" s="31"/>
      <c r="J24" s="31"/>
      <c r="K24" s="31"/>
      <c r="L24" s="31"/>
    </row>
    <row r="25" customFormat="false" ht="15" hidden="false" customHeight="false" outlineLevel="0" collapsed="false">
      <c r="A25" s="31"/>
      <c r="B25" s="31"/>
      <c r="C25" s="31"/>
      <c r="D25" s="31"/>
      <c r="E25" s="31"/>
      <c r="F25" s="31"/>
      <c r="G25" s="31"/>
      <c r="H25" s="31"/>
      <c r="J25" s="31"/>
      <c r="K25" s="31"/>
      <c r="L25" s="31"/>
    </row>
    <row r="26" customFormat="false" ht="15" hidden="false" customHeight="false" outlineLevel="0" collapsed="false">
      <c r="A26" s="31"/>
      <c r="B26" s="31"/>
      <c r="C26" s="31"/>
      <c r="D26" s="31"/>
      <c r="E26" s="31"/>
      <c r="F26" s="31"/>
      <c r="G26" s="31"/>
      <c r="H26" s="31"/>
      <c r="J26" s="31"/>
      <c r="K26" s="31"/>
      <c r="L26" s="31"/>
    </row>
    <row r="27" customFormat="false" ht="15" hidden="false" customHeight="false" outlineLevel="0" collapsed="false">
      <c r="A27" s="31"/>
      <c r="B27" s="31"/>
      <c r="C27" s="31"/>
      <c r="D27" s="31"/>
      <c r="E27" s="31"/>
      <c r="F27" s="31"/>
      <c r="G27" s="31"/>
      <c r="H27" s="31"/>
      <c r="J27" s="31"/>
      <c r="K27" s="31"/>
      <c r="L27" s="31"/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/>
      <c r="G28" s="31"/>
      <c r="H28" s="31"/>
      <c r="J28" s="31"/>
      <c r="K28" s="31"/>
      <c r="L28" s="31"/>
    </row>
    <row r="29" customFormat="false" ht="15" hidden="false" customHeight="false" outlineLevel="0" collapsed="false">
      <c r="A29" s="31"/>
      <c r="B29" s="31"/>
      <c r="C29" s="31"/>
      <c r="D29" s="31"/>
      <c r="E29" s="31"/>
      <c r="F29" s="31"/>
      <c r="G29" s="31"/>
      <c r="H29" s="31"/>
      <c r="J29" s="31"/>
      <c r="K29" s="31"/>
      <c r="L29" s="31"/>
    </row>
    <row r="30" customFormat="false" ht="15" hidden="false" customHeight="false" outlineLevel="0" collapsed="false">
      <c r="A30" s="31"/>
      <c r="B30" s="31"/>
      <c r="C30" s="31"/>
      <c r="D30" s="31"/>
      <c r="E30" s="31"/>
      <c r="F30" s="31"/>
      <c r="G30" s="31"/>
      <c r="H30" s="31"/>
      <c r="J30" s="31"/>
      <c r="K30" s="31"/>
      <c r="L30" s="31"/>
    </row>
    <row r="31" customFormat="false" ht="15" hidden="false" customHeight="false" outlineLevel="0" collapsed="false">
      <c r="A31" s="31"/>
      <c r="B31" s="31"/>
      <c r="C31" s="31"/>
      <c r="D31" s="31"/>
      <c r="E31" s="31"/>
      <c r="F31" s="31"/>
      <c r="G31" s="31"/>
      <c r="H31" s="31"/>
      <c r="J31" s="31"/>
      <c r="K31" s="31"/>
      <c r="L31" s="31"/>
    </row>
    <row r="32" customFormat="false" ht="15" hidden="false" customHeight="false" outlineLevel="0" collapsed="false">
      <c r="A32" s="31"/>
      <c r="B32" s="31"/>
      <c r="C32" s="31"/>
      <c r="D32" s="31"/>
      <c r="E32" s="31"/>
      <c r="F32" s="31"/>
      <c r="G32" s="31"/>
      <c r="H32" s="31"/>
      <c r="J32" s="31"/>
      <c r="K32" s="31"/>
      <c r="L32" s="31"/>
    </row>
    <row r="33" customFormat="false" ht="15" hidden="false" customHeight="false" outlineLevel="0" collapsed="false">
      <c r="A33" s="31"/>
      <c r="B33" s="31"/>
      <c r="C33" s="31"/>
      <c r="D33" s="31"/>
      <c r="E33" s="31"/>
      <c r="F33" s="31"/>
      <c r="G33" s="31"/>
      <c r="H33" s="31"/>
      <c r="J33" s="31"/>
      <c r="K33" s="31"/>
      <c r="L33" s="31"/>
    </row>
    <row r="34" customFormat="false" ht="15" hidden="false" customHeight="false" outlineLevel="0" collapsed="false">
      <c r="A34" s="31"/>
      <c r="B34" s="31"/>
      <c r="C34" s="31"/>
      <c r="D34" s="31"/>
      <c r="E34" s="31"/>
      <c r="F34" s="31"/>
      <c r="G34" s="31"/>
      <c r="H34" s="31"/>
      <c r="J34" s="31"/>
      <c r="K34" s="31"/>
      <c r="L34" s="31"/>
    </row>
    <row r="35" customFormat="false" ht="15" hidden="false" customHeight="false" outlineLevel="0" collapsed="false">
      <c r="A35" s="31"/>
      <c r="B35" s="31"/>
      <c r="C35" s="31"/>
      <c r="D35" s="31"/>
      <c r="E35" s="31"/>
      <c r="F35" s="31"/>
      <c r="G35" s="31"/>
      <c r="H35" s="31"/>
      <c r="J35" s="31"/>
      <c r="K35" s="31"/>
      <c r="L35" s="31"/>
    </row>
    <row r="36" customFormat="false" ht="15" hidden="false" customHeight="false" outlineLevel="0" collapsed="false">
      <c r="A36" s="31"/>
      <c r="B36" s="31"/>
      <c r="C36" s="31"/>
      <c r="D36" s="31"/>
      <c r="E36" s="31"/>
      <c r="F36" s="31"/>
      <c r="G36" s="31"/>
      <c r="H36" s="31"/>
      <c r="J36" s="31"/>
      <c r="K36" s="31"/>
      <c r="L36" s="31"/>
    </row>
    <row r="37" customFormat="false" ht="15" hidden="false" customHeight="false" outlineLevel="0" collapsed="false">
      <c r="A37" s="31"/>
      <c r="B37" s="31"/>
      <c r="C37" s="31"/>
      <c r="D37" s="31"/>
      <c r="E37" s="31"/>
      <c r="F37" s="31"/>
      <c r="G37" s="31"/>
      <c r="H37" s="31"/>
      <c r="J37" s="31"/>
      <c r="K37" s="31"/>
      <c r="L37" s="31"/>
    </row>
    <row r="38" customFormat="false" ht="15" hidden="false" customHeight="false" outlineLevel="0" collapsed="false">
      <c r="A38" s="31"/>
      <c r="B38" s="31"/>
      <c r="C38" s="31"/>
      <c r="D38" s="31"/>
      <c r="E38" s="31"/>
      <c r="F38" s="31"/>
      <c r="G38" s="31"/>
      <c r="H38" s="31"/>
      <c r="J38" s="31"/>
      <c r="K38" s="31"/>
      <c r="L38" s="31"/>
    </row>
    <row r="39" customFormat="false" ht="15" hidden="false" customHeight="false" outlineLevel="0" collapsed="false">
      <c r="A39" s="31"/>
      <c r="B39" s="31"/>
      <c r="C39" s="31"/>
      <c r="D39" s="31"/>
      <c r="E39" s="31"/>
      <c r="F39" s="31"/>
      <c r="G39" s="31"/>
      <c r="H39" s="31"/>
      <c r="J39" s="31"/>
      <c r="K39" s="31"/>
      <c r="L39" s="31"/>
    </row>
    <row r="40" customFormat="false" ht="15" hidden="false" customHeight="false" outlineLevel="0" collapsed="false">
      <c r="A40" s="31"/>
      <c r="B40" s="31"/>
      <c r="C40" s="31"/>
      <c r="D40" s="31"/>
      <c r="E40" s="31"/>
      <c r="F40" s="31"/>
      <c r="G40" s="31"/>
      <c r="H40" s="31"/>
      <c r="J40" s="31"/>
      <c r="K40" s="31"/>
      <c r="L40" s="31"/>
    </row>
    <row r="41" customFormat="false" ht="15" hidden="false" customHeight="false" outlineLevel="0" collapsed="false">
      <c r="A41" s="31"/>
      <c r="B41" s="31"/>
      <c r="C41" s="31"/>
      <c r="D41" s="31"/>
      <c r="E41" s="31"/>
      <c r="F41" s="31"/>
      <c r="G41" s="31"/>
      <c r="H41" s="31"/>
      <c r="J41" s="31"/>
      <c r="K41" s="31"/>
      <c r="L41" s="31"/>
    </row>
    <row r="42" customFormat="false" ht="15" hidden="false" customHeight="false" outlineLevel="0" collapsed="false">
      <c r="A42" s="31"/>
      <c r="B42" s="31"/>
      <c r="C42" s="31"/>
      <c r="D42" s="31"/>
      <c r="E42" s="31"/>
      <c r="F42" s="31"/>
      <c r="G42" s="31"/>
      <c r="H42" s="31"/>
      <c r="J42" s="31"/>
      <c r="K42" s="31"/>
      <c r="L42" s="31"/>
    </row>
    <row r="43" customFormat="false" ht="15" hidden="false" customHeight="false" outlineLevel="0" collapsed="false">
      <c r="A43" s="31"/>
      <c r="B43" s="31"/>
      <c r="C43" s="31"/>
      <c r="D43" s="31"/>
      <c r="E43" s="31"/>
      <c r="F43" s="31"/>
      <c r="G43" s="31"/>
      <c r="H43" s="31"/>
      <c r="J43" s="31"/>
      <c r="K43" s="31"/>
      <c r="L43" s="31"/>
    </row>
    <row r="44" customFormat="false" ht="15" hidden="false" customHeight="false" outlineLevel="0" collapsed="false">
      <c r="A44" s="31"/>
      <c r="B44" s="31"/>
      <c r="C44" s="31"/>
      <c r="D44" s="31"/>
      <c r="E44" s="31"/>
      <c r="F44" s="31"/>
      <c r="G44" s="31"/>
      <c r="H44" s="31"/>
      <c r="J44" s="31"/>
      <c r="K44" s="31"/>
      <c r="L44" s="31"/>
    </row>
    <row r="45" customFormat="false" ht="15" hidden="false" customHeight="false" outlineLevel="0" collapsed="false">
      <c r="A45" s="31"/>
      <c r="B45" s="31"/>
      <c r="C45" s="31"/>
      <c r="D45" s="31"/>
      <c r="E45" s="31"/>
      <c r="F45" s="31"/>
      <c r="G45" s="31"/>
      <c r="H45" s="31"/>
      <c r="J45" s="31"/>
      <c r="K45" s="31"/>
      <c r="L45" s="31"/>
    </row>
    <row r="46" customFormat="false" ht="15" hidden="false" customHeight="false" outlineLevel="0" collapsed="false">
      <c r="A46" s="31"/>
      <c r="B46" s="31"/>
      <c r="C46" s="31"/>
      <c r="D46" s="31"/>
      <c r="E46" s="31"/>
      <c r="F46" s="31"/>
      <c r="G46" s="31"/>
      <c r="H46" s="31"/>
      <c r="J46" s="31"/>
      <c r="K46" s="31"/>
      <c r="L46" s="31"/>
    </row>
    <row r="47" customFormat="false" ht="15" hidden="false" customHeight="false" outlineLevel="0" collapsed="false">
      <c r="A47" s="31"/>
      <c r="B47" s="31"/>
      <c r="C47" s="31"/>
      <c r="D47" s="31"/>
      <c r="E47" s="31"/>
      <c r="F47" s="31"/>
      <c r="G47" s="31"/>
      <c r="H47" s="31"/>
      <c r="J47" s="31"/>
      <c r="K47" s="31"/>
      <c r="L47" s="31"/>
    </row>
    <row r="48" customFormat="false" ht="15" hidden="false" customHeight="false" outlineLevel="0" collapsed="false">
      <c r="A48" s="31"/>
      <c r="B48" s="31"/>
      <c r="C48" s="31"/>
      <c r="D48" s="31"/>
      <c r="E48" s="31"/>
      <c r="F48" s="31"/>
      <c r="G48" s="31"/>
      <c r="H48" s="31"/>
      <c r="J48" s="31"/>
      <c r="K48" s="31"/>
      <c r="L48" s="31"/>
    </row>
    <row r="49" customFormat="false" ht="15" hidden="false" customHeight="false" outlineLevel="0" collapsed="false">
      <c r="A49" s="31"/>
      <c r="B49" s="31"/>
      <c r="C49" s="31"/>
      <c r="D49" s="31"/>
      <c r="E49" s="31"/>
      <c r="F49" s="31"/>
      <c r="G49" s="31"/>
      <c r="H49" s="31"/>
      <c r="J49" s="31"/>
      <c r="K49" s="31"/>
      <c r="L49" s="31"/>
    </row>
    <row r="50" customFormat="false" ht="15" hidden="false" customHeight="false" outlineLevel="0" collapsed="false">
      <c r="A50" s="31"/>
      <c r="B50" s="31"/>
      <c r="C50" s="31"/>
      <c r="D50" s="31"/>
      <c r="E50" s="31"/>
      <c r="F50" s="31"/>
      <c r="G50" s="31"/>
      <c r="H50" s="31"/>
      <c r="J50" s="31"/>
      <c r="K50" s="31"/>
      <c r="L50" s="31"/>
    </row>
    <row r="51" customFormat="false" ht="15" hidden="false" customHeight="false" outlineLevel="0" collapsed="false">
      <c r="A51" s="31"/>
      <c r="B51" s="31"/>
      <c r="C51" s="31"/>
      <c r="D51" s="31"/>
      <c r="E51" s="31"/>
      <c r="F51" s="31"/>
      <c r="G51" s="31"/>
      <c r="H51" s="31"/>
      <c r="J51" s="31"/>
      <c r="K51" s="31"/>
      <c r="L51" s="31"/>
    </row>
    <row r="52" customFormat="false" ht="15" hidden="false" customHeight="false" outlineLevel="0" collapsed="false">
      <c r="A52" s="31"/>
      <c r="B52" s="31"/>
      <c r="C52" s="31"/>
      <c r="D52" s="31"/>
      <c r="E52" s="31"/>
      <c r="F52" s="31"/>
      <c r="G52" s="31"/>
      <c r="H52" s="31"/>
      <c r="J52" s="31"/>
      <c r="K52" s="31"/>
      <c r="L52" s="31"/>
    </row>
    <row r="53" customFormat="false" ht="15" hidden="false" customHeight="false" outlineLevel="0" collapsed="false">
      <c r="A53" s="31"/>
      <c r="B53" s="31"/>
      <c r="C53" s="31"/>
      <c r="D53" s="31"/>
      <c r="E53" s="31"/>
      <c r="F53" s="31"/>
      <c r="G53" s="31"/>
      <c r="H53" s="31"/>
      <c r="J53" s="31"/>
      <c r="K53" s="31"/>
      <c r="L53" s="31"/>
    </row>
    <row r="54" customFormat="false" ht="15" hidden="false" customHeight="false" outlineLevel="0" collapsed="false">
      <c r="A54" s="31"/>
      <c r="B54" s="31"/>
      <c r="C54" s="31"/>
      <c r="D54" s="31"/>
      <c r="E54" s="31"/>
      <c r="F54" s="31"/>
      <c r="G54" s="31"/>
      <c r="H54" s="31"/>
      <c r="J54" s="31"/>
      <c r="K54" s="31"/>
      <c r="L54" s="31"/>
    </row>
    <row r="55" customFormat="false" ht="15" hidden="false" customHeight="false" outlineLevel="0" collapsed="false">
      <c r="A55" s="31"/>
      <c r="B55" s="31"/>
      <c r="C55" s="31"/>
      <c r="D55" s="31"/>
      <c r="E55" s="31"/>
      <c r="F55" s="31"/>
      <c r="G55" s="31"/>
      <c r="H55" s="31"/>
      <c r="J55" s="31"/>
      <c r="K55" s="31"/>
      <c r="L55" s="31"/>
    </row>
    <row r="56" customFormat="false" ht="15" hidden="false" customHeight="false" outlineLevel="0" collapsed="false">
      <c r="A56" s="31"/>
      <c r="B56" s="31"/>
      <c r="C56" s="31"/>
      <c r="D56" s="31"/>
      <c r="E56" s="31"/>
      <c r="F56" s="31"/>
      <c r="G56" s="31"/>
      <c r="H56" s="31"/>
      <c r="J56" s="31"/>
      <c r="K56" s="31"/>
      <c r="L56" s="31"/>
    </row>
    <row r="57" customFormat="false" ht="15" hidden="false" customHeight="false" outlineLevel="0" collapsed="false">
      <c r="A57" s="31"/>
      <c r="B57" s="31"/>
      <c r="C57" s="31"/>
      <c r="D57" s="31"/>
      <c r="E57" s="31"/>
      <c r="F57" s="31"/>
      <c r="G57" s="31"/>
      <c r="H57" s="31"/>
      <c r="J57" s="31"/>
      <c r="K57" s="31"/>
      <c r="L57" s="31"/>
    </row>
    <row r="58" customFormat="false" ht="15" hidden="false" customHeight="false" outlineLevel="0" collapsed="false">
      <c r="A58" s="31"/>
      <c r="B58" s="31"/>
      <c r="C58" s="31"/>
      <c r="D58" s="31"/>
      <c r="E58" s="31"/>
      <c r="F58" s="31"/>
      <c r="G58" s="31"/>
      <c r="H58" s="31"/>
      <c r="J58" s="31"/>
      <c r="K58" s="31"/>
      <c r="L58" s="31"/>
    </row>
    <row r="59" customFormat="false" ht="15" hidden="false" customHeight="false" outlineLevel="0" collapsed="false">
      <c r="A59" s="31"/>
      <c r="B59" s="31"/>
      <c r="C59" s="31"/>
      <c r="D59" s="31"/>
      <c r="E59" s="31"/>
      <c r="F59" s="31"/>
      <c r="G59" s="31"/>
      <c r="H59" s="31"/>
      <c r="J59" s="31"/>
      <c r="K59" s="31"/>
      <c r="L59" s="31"/>
    </row>
    <row r="60" customFormat="false" ht="15" hidden="false" customHeight="false" outlineLevel="0" collapsed="false">
      <c r="A60" s="31"/>
      <c r="B60" s="31"/>
      <c r="C60" s="31"/>
      <c r="D60" s="31"/>
      <c r="E60" s="31"/>
      <c r="F60" s="31"/>
      <c r="G60" s="31"/>
      <c r="H60" s="31"/>
      <c r="J60" s="31"/>
      <c r="K60" s="31"/>
      <c r="L60" s="31"/>
    </row>
    <row r="61" customFormat="false" ht="15" hidden="false" customHeight="false" outlineLevel="0" collapsed="false">
      <c r="A61" s="31"/>
      <c r="B61" s="31"/>
      <c r="C61" s="31"/>
      <c r="D61" s="31"/>
      <c r="E61" s="31"/>
      <c r="F61" s="31"/>
      <c r="G61" s="31"/>
      <c r="H61" s="31"/>
      <c r="J61" s="31"/>
      <c r="K61" s="31"/>
      <c r="L61" s="31"/>
    </row>
    <row r="62" customFormat="false" ht="15" hidden="false" customHeight="false" outlineLevel="0" collapsed="false">
      <c r="A62" s="31"/>
      <c r="B62" s="31"/>
      <c r="C62" s="31"/>
      <c r="D62" s="31"/>
      <c r="E62" s="31"/>
      <c r="F62" s="31"/>
      <c r="G62" s="31"/>
      <c r="H62" s="31"/>
      <c r="J62" s="31"/>
      <c r="K62" s="31"/>
      <c r="L62" s="31"/>
    </row>
    <row r="63" customFormat="false" ht="15" hidden="false" customHeight="false" outlineLevel="0" collapsed="false">
      <c r="A63" s="31"/>
      <c r="B63" s="31"/>
      <c r="C63" s="31"/>
      <c r="D63" s="31"/>
      <c r="E63" s="31"/>
      <c r="F63" s="31"/>
      <c r="G63" s="31"/>
      <c r="H63" s="31"/>
      <c r="J63" s="31"/>
      <c r="K63" s="31"/>
      <c r="L63" s="31"/>
    </row>
    <row r="64" customFormat="false" ht="15" hidden="false" customHeight="false" outlineLevel="0" collapsed="false">
      <c r="A64" s="31"/>
      <c r="B64" s="31"/>
      <c r="C64" s="31"/>
      <c r="D64" s="31"/>
      <c r="E64" s="31"/>
      <c r="F64" s="31"/>
      <c r="G64" s="31"/>
      <c r="H64" s="31"/>
      <c r="J64" s="31"/>
      <c r="K64" s="31"/>
      <c r="L64" s="31"/>
    </row>
    <row r="65" customFormat="false" ht="15" hidden="false" customHeight="false" outlineLevel="0" collapsed="false">
      <c r="A65" s="31"/>
      <c r="B65" s="31"/>
      <c r="C65" s="31"/>
      <c r="D65" s="31"/>
      <c r="E65" s="31"/>
      <c r="F65" s="31"/>
      <c r="G65" s="31"/>
      <c r="H65" s="31"/>
      <c r="J65" s="31"/>
      <c r="K65" s="31"/>
      <c r="L65" s="31"/>
    </row>
    <row r="66" customFormat="false" ht="15" hidden="false" customHeight="false" outlineLevel="0" collapsed="false">
      <c r="A66" s="31"/>
      <c r="B66" s="31"/>
      <c r="C66" s="31"/>
      <c r="D66" s="31"/>
      <c r="E66" s="31"/>
      <c r="F66" s="31"/>
      <c r="G66" s="31"/>
      <c r="H66" s="31"/>
      <c r="J66" s="31"/>
      <c r="K66" s="31"/>
      <c r="L66" s="31"/>
    </row>
    <row r="67" customFormat="false" ht="15" hidden="false" customHeight="false" outlineLevel="0" collapsed="false">
      <c r="A67" s="31"/>
      <c r="B67" s="31"/>
      <c r="C67" s="31"/>
      <c r="D67" s="31"/>
      <c r="E67" s="31"/>
      <c r="F67" s="31"/>
      <c r="G67" s="31"/>
      <c r="H67" s="31"/>
      <c r="J67" s="31"/>
      <c r="K67" s="31"/>
      <c r="L67" s="31"/>
    </row>
    <row r="68" customFormat="false" ht="15" hidden="false" customHeight="false" outlineLevel="0" collapsed="false">
      <c r="A68" s="31"/>
      <c r="B68" s="31"/>
      <c r="C68" s="31"/>
      <c r="D68" s="31"/>
      <c r="E68" s="31"/>
      <c r="F68" s="31"/>
      <c r="G68" s="31"/>
      <c r="H68" s="31"/>
      <c r="J68" s="31"/>
      <c r="K68" s="31"/>
      <c r="L68" s="31"/>
    </row>
    <row r="69" customFormat="false" ht="15" hidden="false" customHeight="false" outlineLevel="0" collapsed="false">
      <c r="A69" s="31"/>
      <c r="B69" s="31"/>
      <c r="C69" s="31"/>
      <c r="D69" s="31"/>
      <c r="E69" s="31"/>
      <c r="F69" s="31"/>
      <c r="G69" s="31"/>
      <c r="H69" s="31"/>
      <c r="J69" s="31"/>
      <c r="K69" s="31"/>
      <c r="L69" s="31"/>
    </row>
    <row r="70" customFormat="false" ht="15" hidden="false" customHeight="false" outlineLevel="0" collapsed="false">
      <c r="A70" s="31"/>
      <c r="B70" s="31"/>
      <c r="C70" s="31"/>
      <c r="D70" s="31"/>
      <c r="E70" s="31"/>
      <c r="F70" s="31"/>
      <c r="G70" s="31"/>
      <c r="H70" s="31"/>
      <c r="J70" s="31"/>
      <c r="K70" s="31"/>
      <c r="L70" s="31"/>
    </row>
    <row r="71" customFormat="false" ht="1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J71" s="31"/>
      <c r="K71" s="31"/>
      <c r="L71" s="31"/>
    </row>
    <row r="72" customFormat="false" ht="1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J72" s="31"/>
      <c r="K72" s="31"/>
      <c r="L72" s="31"/>
    </row>
    <row r="73" customFormat="false" ht="1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J73" s="31"/>
      <c r="K73" s="31"/>
      <c r="L73" s="31"/>
    </row>
    <row r="74" customFormat="false" ht="15" hidden="false" customHeight="false" outlineLevel="0" collapsed="false">
      <c r="A74" s="31"/>
      <c r="B74" s="31"/>
      <c r="C74" s="31"/>
      <c r="D74" s="31"/>
      <c r="E74" s="31"/>
      <c r="F74" s="31"/>
      <c r="G74" s="31"/>
      <c r="H74" s="31"/>
      <c r="J74" s="31"/>
      <c r="K74" s="31"/>
      <c r="L74" s="31"/>
    </row>
    <row r="75" customFormat="false" ht="15" hidden="false" customHeight="false" outlineLevel="0" collapsed="false">
      <c r="A75" s="31"/>
      <c r="B75" s="31"/>
      <c r="C75" s="31"/>
      <c r="D75" s="31"/>
      <c r="E75" s="31"/>
      <c r="F75" s="31"/>
      <c r="G75" s="31"/>
      <c r="H75" s="31"/>
      <c r="J75" s="31"/>
      <c r="K75" s="31"/>
      <c r="L75" s="31"/>
    </row>
    <row r="76" customFormat="false" ht="15" hidden="false" customHeight="false" outlineLevel="0" collapsed="false">
      <c r="A76" s="31"/>
      <c r="B76" s="31"/>
      <c r="C76" s="31"/>
      <c r="D76" s="31"/>
      <c r="E76" s="31"/>
      <c r="F76" s="31"/>
      <c r="G76" s="31"/>
      <c r="H76" s="31"/>
      <c r="J76" s="31"/>
      <c r="K76" s="31"/>
      <c r="L76" s="31"/>
    </row>
    <row r="77" customFormat="false" ht="15" hidden="false" customHeight="false" outlineLevel="0" collapsed="false">
      <c r="A77" s="31"/>
      <c r="B77" s="31"/>
      <c r="C77" s="31"/>
      <c r="D77" s="31"/>
      <c r="E77" s="31"/>
      <c r="F77" s="31"/>
      <c r="G77" s="31"/>
      <c r="H77" s="31"/>
      <c r="J77" s="31"/>
      <c r="K77" s="31"/>
      <c r="L77" s="31"/>
    </row>
    <row r="78" customFormat="false" ht="15" hidden="false" customHeight="false" outlineLevel="0" collapsed="false">
      <c r="A78" s="31"/>
      <c r="B78" s="31"/>
      <c r="C78" s="31"/>
      <c r="D78" s="31"/>
      <c r="E78" s="31"/>
      <c r="F78" s="31"/>
      <c r="G78" s="31"/>
      <c r="H78" s="31"/>
      <c r="J78" s="31"/>
      <c r="K78" s="31"/>
      <c r="L78" s="31"/>
    </row>
    <row r="79" customFormat="false" ht="15" hidden="false" customHeight="false" outlineLevel="0" collapsed="false">
      <c r="A79" s="31"/>
      <c r="B79" s="31"/>
      <c r="C79" s="31"/>
      <c r="D79" s="31"/>
      <c r="E79" s="31"/>
      <c r="F79" s="31"/>
      <c r="G79" s="31"/>
      <c r="H79" s="31"/>
      <c r="J79" s="31"/>
      <c r="K79" s="31"/>
      <c r="L79" s="31"/>
    </row>
    <row r="80" customFormat="false" ht="15" hidden="false" customHeight="false" outlineLevel="0" collapsed="false">
      <c r="A80" s="31"/>
      <c r="B80" s="31"/>
      <c r="C80" s="31"/>
      <c r="D80" s="31"/>
      <c r="E80" s="31"/>
      <c r="F80" s="31"/>
      <c r="G80" s="31"/>
      <c r="H80" s="31"/>
      <c r="J80" s="31"/>
      <c r="K80" s="31"/>
      <c r="L80" s="31"/>
    </row>
    <row r="81" customFormat="false" ht="15" hidden="false" customHeight="false" outlineLevel="0" collapsed="false">
      <c r="A81" s="31"/>
      <c r="B81" s="31"/>
      <c r="C81" s="31"/>
      <c r="D81" s="31"/>
      <c r="E81" s="31"/>
      <c r="F81" s="31"/>
      <c r="G81" s="31"/>
      <c r="H81" s="31"/>
      <c r="J81" s="31"/>
      <c r="K81" s="31"/>
      <c r="L81" s="31"/>
    </row>
    <row r="82" customFormat="false" ht="15" hidden="false" customHeight="false" outlineLevel="0" collapsed="false">
      <c r="A82" s="31"/>
      <c r="B82" s="31"/>
      <c r="C82" s="31"/>
      <c r="D82" s="31"/>
      <c r="E82" s="31"/>
      <c r="F82" s="31"/>
      <c r="G82" s="31"/>
      <c r="H82" s="31"/>
      <c r="J82" s="31"/>
      <c r="K82" s="31"/>
      <c r="L82" s="31"/>
    </row>
    <row r="83" customFormat="false" ht="15" hidden="false" customHeight="false" outlineLevel="0" collapsed="false">
      <c r="A83" s="31"/>
      <c r="B83" s="31"/>
      <c r="C83" s="31"/>
      <c r="D83" s="31"/>
      <c r="E83" s="31"/>
      <c r="F83" s="31"/>
      <c r="G83" s="31"/>
      <c r="H83" s="31"/>
      <c r="J83" s="31"/>
      <c r="K83" s="31"/>
      <c r="L83" s="31"/>
    </row>
    <row r="84" customFormat="false" ht="15" hidden="false" customHeight="false" outlineLevel="0" collapsed="false">
      <c r="A84" s="31"/>
      <c r="B84" s="31"/>
      <c r="C84" s="31"/>
      <c r="D84" s="31"/>
      <c r="E84" s="31"/>
      <c r="F84" s="31"/>
      <c r="G84" s="31"/>
      <c r="H84" s="31"/>
      <c r="J84" s="31"/>
      <c r="K84" s="31"/>
      <c r="L84" s="31"/>
    </row>
    <row r="85" customFormat="false" ht="15" hidden="false" customHeight="false" outlineLevel="0" collapsed="false">
      <c r="A85" s="31"/>
      <c r="B85" s="31"/>
      <c r="C85" s="31"/>
      <c r="D85" s="31"/>
      <c r="E85" s="31"/>
      <c r="F85" s="31"/>
      <c r="G85" s="31"/>
      <c r="H85" s="31"/>
      <c r="J85" s="31"/>
      <c r="K85" s="31"/>
      <c r="L85" s="31"/>
    </row>
    <row r="86" customFormat="false" ht="15" hidden="false" customHeight="false" outlineLevel="0" collapsed="false">
      <c r="A86" s="31"/>
      <c r="B86" s="31"/>
      <c r="C86" s="31"/>
      <c r="D86" s="31"/>
      <c r="E86" s="31"/>
      <c r="F86" s="31"/>
      <c r="G86" s="31"/>
      <c r="H86" s="31"/>
      <c r="J86" s="31"/>
      <c r="K86" s="31"/>
      <c r="L86" s="31"/>
    </row>
    <row r="87" customFormat="false" ht="15" hidden="false" customHeight="false" outlineLevel="0" collapsed="false">
      <c r="A87" s="31"/>
      <c r="B87" s="31"/>
      <c r="C87" s="31"/>
      <c r="D87" s="31"/>
      <c r="E87" s="31"/>
      <c r="F87" s="31"/>
      <c r="G87" s="31"/>
      <c r="H87" s="31"/>
      <c r="J87" s="31"/>
      <c r="K87" s="31"/>
      <c r="L87" s="31"/>
    </row>
    <row r="88" customFormat="false" ht="15" hidden="false" customHeight="false" outlineLevel="0" collapsed="false">
      <c r="A88" s="31"/>
      <c r="B88" s="31"/>
      <c r="C88" s="31"/>
      <c r="D88" s="31"/>
      <c r="E88" s="31"/>
      <c r="F88" s="31"/>
      <c r="G88" s="31"/>
      <c r="H88" s="31"/>
      <c r="J88" s="31"/>
      <c r="K88" s="31"/>
      <c r="L88" s="31"/>
    </row>
    <row r="89" customFormat="false" ht="15" hidden="false" customHeight="false" outlineLevel="0" collapsed="false">
      <c r="A89" s="31"/>
      <c r="B89" s="31"/>
      <c r="C89" s="31"/>
      <c r="D89" s="31"/>
      <c r="E89" s="31"/>
      <c r="F89" s="31"/>
      <c r="G89" s="31"/>
      <c r="H89" s="31"/>
      <c r="J89" s="31"/>
      <c r="K89" s="31"/>
      <c r="L89" s="31"/>
    </row>
    <row r="90" customFormat="false" ht="15" hidden="false" customHeight="false" outlineLevel="0" collapsed="false">
      <c r="A90" s="31"/>
      <c r="B90" s="31"/>
      <c r="C90" s="31"/>
      <c r="D90" s="31"/>
      <c r="E90" s="31"/>
      <c r="F90" s="31"/>
      <c r="G90" s="31"/>
      <c r="H90" s="31"/>
      <c r="J90" s="31"/>
      <c r="K90" s="31"/>
      <c r="L90" s="31"/>
    </row>
    <row r="91" customFormat="false" ht="15" hidden="false" customHeight="false" outlineLevel="0" collapsed="false">
      <c r="A91" s="31"/>
      <c r="B91" s="31"/>
      <c r="C91" s="31"/>
      <c r="D91" s="31"/>
      <c r="E91" s="31"/>
      <c r="F91" s="31"/>
      <c r="G91" s="31"/>
      <c r="H91" s="31"/>
      <c r="J91" s="31"/>
      <c r="K91" s="31"/>
      <c r="L91" s="31"/>
    </row>
    <row r="92" customFormat="false" ht="15" hidden="false" customHeight="false" outlineLevel="0" collapsed="false">
      <c r="A92" s="31"/>
      <c r="B92" s="31"/>
      <c r="C92" s="31"/>
      <c r="D92" s="31"/>
      <c r="E92" s="31"/>
      <c r="F92" s="31"/>
      <c r="G92" s="31"/>
      <c r="H92" s="31"/>
      <c r="J92" s="31"/>
      <c r="K92" s="31"/>
      <c r="L92" s="31"/>
    </row>
    <row r="93" customFormat="false" ht="15" hidden="false" customHeight="false" outlineLevel="0" collapsed="false">
      <c r="A93" s="31"/>
      <c r="B93" s="31"/>
      <c r="C93" s="31"/>
      <c r="D93" s="31"/>
      <c r="E93" s="31"/>
      <c r="F93" s="31"/>
      <c r="G93" s="31"/>
      <c r="H93" s="31"/>
      <c r="J93" s="31"/>
      <c r="K93" s="31"/>
      <c r="L93" s="31"/>
    </row>
    <row r="94" customFormat="false" ht="15" hidden="false" customHeight="false" outlineLevel="0" collapsed="false">
      <c r="A94" s="31"/>
      <c r="B94" s="31"/>
      <c r="C94" s="31"/>
      <c r="D94" s="31"/>
      <c r="E94" s="31"/>
      <c r="F94" s="31"/>
      <c r="G94" s="31"/>
      <c r="H94" s="31"/>
      <c r="J94" s="31"/>
      <c r="K94" s="31"/>
      <c r="L94" s="31"/>
    </row>
    <row r="95" customFormat="false" ht="15" hidden="false" customHeight="false" outlineLevel="0" collapsed="false">
      <c r="A95" s="31"/>
      <c r="B95" s="31"/>
      <c r="C95" s="31"/>
      <c r="D95" s="31"/>
      <c r="E95" s="31"/>
      <c r="F95" s="31"/>
      <c r="G95" s="31"/>
      <c r="H95" s="31"/>
      <c r="J95" s="31"/>
      <c r="K95" s="31"/>
      <c r="L95" s="31"/>
    </row>
    <row r="96" customFormat="false" ht="15" hidden="false" customHeight="false" outlineLevel="0" collapsed="false">
      <c r="A96" s="31"/>
      <c r="B96" s="31"/>
      <c r="C96" s="31"/>
      <c r="D96" s="31"/>
      <c r="E96" s="31"/>
      <c r="F96" s="31"/>
      <c r="G96" s="31"/>
      <c r="H96" s="31"/>
      <c r="J96" s="31"/>
      <c r="K96" s="31"/>
      <c r="L96" s="31"/>
    </row>
    <row r="97" customFormat="false" ht="15" hidden="false" customHeight="false" outlineLevel="0" collapsed="false">
      <c r="A97" s="31"/>
      <c r="B97" s="31"/>
      <c r="C97" s="31"/>
      <c r="D97" s="31"/>
      <c r="E97" s="31"/>
      <c r="F97" s="31"/>
      <c r="G97" s="31"/>
      <c r="H97" s="31"/>
      <c r="J97" s="31"/>
      <c r="K97" s="31"/>
      <c r="L97" s="31"/>
    </row>
    <row r="98" customFormat="false" ht="15" hidden="false" customHeight="false" outlineLevel="0" collapsed="false">
      <c r="A98" s="31"/>
      <c r="B98" s="31"/>
      <c r="C98" s="31"/>
      <c r="D98" s="31"/>
      <c r="E98" s="31"/>
      <c r="F98" s="31"/>
      <c r="G98" s="31"/>
      <c r="H98" s="31"/>
      <c r="J98" s="31"/>
      <c r="K98" s="31"/>
      <c r="L98" s="31"/>
    </row>
    <row r="99" customFormat="false" ht="15" hidden="false" customHeight="false" outlineLevel="0" collapsed="false">
      <c r="A99" s="31"/>
      <c r="B99" s="31"/>
      <c r="C99" s="31"/>
      <c r="D99" s="31"/>
      <c r="E99" s="31"/>
      <c r="F99" s="31"/>
      <c r="G99" s="31"/>
      <c r="H99" s="31"/>
      <c r="J99" s="31"/>
      <c r="K99" s="31"/>
      <c r="L99" s="31"/>
    </row>
    <row r="100" customFormat="false" ht="15" hidden="false" customHeight="false" outlineLevel="0" collapsed="false">
      <c r="A100" s="31"/>
      <c r="B100" s="31"/>
      <c r="C100" s="31"/>
      <c r="D100" s="31"/>
      <c r="E100" s="31"/>
      <c r="F100" s="31"/>
      <c r="G100" s="31"/>
      <c r="H100" s="31"/>
      <c r="J100" s="31"/>
      <c r="K100" s="31"/>
      <c r="L100" s="31"/>
    </row>
    <row r="101" customFormat="false" ht="1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J101" s="31"/>
      <c r="K101" s="31"/>
      <c r="L101" s="31"/>
    </row>
    <row r="102" customFormat="false" ht="1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J102" s="31"/>
      <c r="K102" s="31"/>
      <c r="L102" s="31"/>
    </row>
    <row r="103" customFormat="false" ht="1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J103" s="31"/>
      <c r="K103" s="31"/>
      <c r="L103" s="31"/>
    </row>
    <row r="104" customFormat="false" ht="15" hidden="false" customHeight="false" outlineLevel="0" collapsed="false">
      <c r="A104" s="31"/>
      <c r="B104" s="31"/>
      <c r="C104" s="31"/>
      <c r="D104" s="31"/>
      <c r="E104" s="31"/>
      <c r="F104" s="31"/>
      <c r="G104" s="31"/>
      <c r="H104" s="31"/>
      <c r="J104" s="31"/>
      <c r="K104" s="31"/>
      <c r="L104" s="31"/>
    </row>
    <row r="105" customFormat="false" ht="15" hidden="false" customHeight="false" outlineLevel="0" collapsed="false">
      <c r="A105" s="31"/>
      <c r="B105" s="31"/>
      <c r="C105" s="31"/>
      <c r="D105" s="31"/>
      <c r="E105" s="31"/>
      <c r="F105" s="31"/>
      <c r="G105" s="31"/>
      <c r="H105" s="31"/>
      <c r="J105" s="31"/>
      <c r="K105" s="31"/>
      <c r="L105" s="31"/>
    </row>
    <row r="106" customFormat="false" ht="15" hidden="false" customHeight="false" outlineLevel="0" collapsed="false">
      <c r="A106" s="31"/>
      <c r="B106" s="31"/>
      <c r="C106" s="31"/>
      <c r="D106" s="31"/>
      <c r="E106" s="31"/>
      <c r="F106" s="31"/>
      <c r="G106" s="31"/>
      <c r="H106" s="31"/>
      <c r="J106" s="31"/>
      <c r="K106" s="31"/>
      <c r="L106" s="31"/>
    </row>
    <row r="107" customFormat="false" ht="15" hidden="false" customHeight="false" outlineLevel="0" collapsed="false">
      <c r="A107" s="31"/>
      <c r="B107" s="31"/>
      <c r="C107" s="31"/>
      <c r="D107" s="31"/>
      <c r="E107" s="31"/>
      <c r="F107" s="31"/>
      <c r="G107" s="31"/>
      <c r="H107" s="31"/>
      <c r="J107" s="31"/>
      <c r="K107" s="31"/>
      <c r="L107" s="31"/>
    </row>
    <row r="108" customFormat="false" ht="15" hidden="false" customHeight="false" outlineLevel="0" collapsed="false">
      <c r="A108" s="31"/>
      <c r="B108" s="31"/>
      <c r="C108" s="31"/>
      <c r="D108" s="31"/>
      <c r="E108" s="31"/>
      <c r="F108" s="31"/>
      <c r="G108" s="31"/>
      <c r="H108" s="31"/>
      <c r="J108" s="31"/>
      <c r="K108" s="31"/>
      <c r="L108" s="31"/>
    </row>
    <row r="109" customFormat="false" ht="15" hidden="false" customHeight="false" outlineLevel="0" collapsed="false">
      <c r="A109" s="31"/>
      <c r="B109" s="31"/>
      <c r="C109" s="31"/>
      <c r="D109" s="31"/>
      <c r="E109" s="31"/>
      <c r="F109" s="31"/>
      <c r="G109" s="31"/>
      <c r="H109" s="31"/>
      <c r="J109" s="31"/>
      <c r="K109" s="31"/>
      <c r="L109" s="31"/>
    </row>
    <row r="110" customFormat="false" ht="15" hidden="false" customHeight="false" outlineLevel="0" collapsed="false">
      <c r="A110" s="31"/>
      <c r="B110" s="31"/>
      <c r="C110" s="31"/>
      <c r="D110" s="31"/>
      <c r="E110" s="31"/>
      <c r="F110" s="31"/>
      <c r="G110" s="31"/>
      <c r="H110" s="31"/>
      <c r="J110" s="31"/>
      <c r="K110" s="31"/>
      <c r="L110" s="31"/>
    </row>
    <row r="111" customFormat="false" ht="15" hidden="false" customHeight="false" outlineLevel="0" collapsed="false">
      <c r="A111" s="31"/>
      <c r="B111" s="31"/>
      <c r="C111" s="31"/>
      <c r="D111" s="31"/>
      <c r="E111" s="31"/>
      <c r="F111" s="31"/>
      <c r="G111" s="31"/>
      <c r="H111" s="31"/>
      <c r="J111" s="31"/>
      <c r="K111" s="31"/>
      <c r="L111" s="31"/>
    </row>
    <row r="112" customFormat="false" ht="15" hidden="false" customHeight="false" outlineLevel="0" collapsed="false">
      <c r="A112" s="31"/>
      <c r="B112" s="31"/>
      <c r="C112" s="31"/>
      <c r="D112" s="31"/>
      <c r="E112" s="31"/>
      <c r="F112" s="31"/>
      <c r="G112" s="31"/>
      <c r="H112" s="31"/>
      <c r="J112" s="31"/>
      <c r="K112" s="31"/>
      <c r="L112" s="31"/>
    </row>
    <row r="113" customFormat="false" ht="15" hidden="false" customHeight="false" outlineLevel="0" collapsed="false">
      <c r="A113" s="31"/>
      <c r="B113" s="31"/>
      <c r="C113" s="31"/>
      <c r="D113" s="31"/>
      <c r="E113" s="31"/>
      <c r="F113" s="31"/>
      <c r="G113" s="31"/>
      <c r="H113" s="31"/>
      <c r="J113" s="31"/>
      <c r="K113" s="31"/>
      <c r="L113" s="31"/>
    </row>
    <row r="114" customFormat="false" ht="15" hidden="false" customHeight="false" outlineLevel="0" collapsed="false">
      <c r="A114" s="31"/>
      <c r="B114" s="31"/>
      <c r="C114" s="31"/>
      <c r="D114" s="31"/>
      <c r="E114" s="31"/>
      <c r="F114" s="31"/>
      <c r="G114" s="31"/>
      <c r="H114" s="31"/>
      <c r="J114" s="31"/>
      <c r="K114" s="31"/>
      <c r="L114" s="31"/>
    </row>
    <row r="115" customFormat="false" ht="15" hidden="false" customHeight="false" outlineLevel="0" collapsed="false">
      <c r="A115" s="31"/>
      <c r="B115" s="31"/>
      <c r="C115" s="31"/>
      <c r="D115" s="31"/>
      <c r="E115" s="31"/>
      <c r="F115" s="31"/>
      <c r="G115" s="31"/>
      <c r="H115" s="31"/>
      <c r="J115" s="31"/>
      <c r="K115" s="31"/>
      <c r="L115" s="31"/>
    </row>
    <row r="116" customFormat="false" ht="15" hidden="false" customHeight="false" outlineLevel="0" collapsed="false">
      <c r="A116" s="31"/>
      <c r="B116" s="31"/>
      <c r="C116" s="31"/>
      <c r="D116" s="31"/>
      <c r="E116" s="31"/>
      <c r="F116" s="31"/>
      <c r="G116" s="31"/>
      <c r="H116" s="31"/>
      <c r="J116" s="31"/>
      <c r="K116" s="31"/>
      <c r="L116" s="31"/>
    </row>
    <row r="117" customFormat="false" ht="15" hidden="false" customHeight="false" outlineLevel="0" collapsed="false">
      <c r="A117" s="31"/>
      <c r="B117" s="31"/>
      <c r="C117" s="31"/>
      <c r="D117" s="31"/>
      <c r="E117" s="31"/>
      <c r="F117" s="31"/>
      <c r="G117" s="31"/>
      <c r="H117" s="31"/>
      <c r="J117" s="31"/>
      <c r="K117" s="31"/>
      <c r="L117" s="31"/>
    </row>
    <row r="118" customFormat="false" ht="15" hidden="false" customHeight="false" outlineLevel="0" collapsed="false">
      <c r="A118" s="31"/>
      <c r="B118" s="31"/>
      <c r="C118" s="31"/>
      <c r="D118" s="31"/>
      <c r="E118" s="31"/>
      <c r="F118" s="31"/>
      <c r="G118" s="31"/>
      <c r="H118" s="31"/>
      <c r="J118" s="31"/>
      <c r="K118" s="31"/>
      <c r="L118" s="31"/>
    </row>
    <row r="119" customFormat="false" ht="15" hidden="false" customHeight="false" outlineLevel="0" collapsed="false">
      <c r="A119" s="31"/>
      <c r="B119" s="31"/>
      <c r="C119" s="31"/>
      <c r="D119" s="31"/>
      <c r="E119" s="31"/>
      <c r="F119" s="31"/>
      <c r="G119" s="31"/>
      <c r="H119" s="31"/>
      <c r="J119" s="31"/>
      <c r="K119" s="31"/>
      <c r="L119" s="31"/>
    </row>
    <row r="120" customFormat="false" ht="15" hidden="false" customHeight="false" outlineLevel="0" collapsed="false">
      <c r="A120" s="31"/>
      <c r="B120" s="31"/>
      <c r="C120" s="31"/>
      <c r="D120" s="31"/>
      <c r="E120" s="31"/>
      <c r="F120" s="31"/>
      <c r="G120" s="31"/>
      <c r="H120" s="31"/>
      <c r="J120" s="31"/>
      <c r="K120" s="31"/>
      <c r="L120" s="31"/>
    </row>
    <row r="121" customFormat="false" ht="15" hidden="false" customHeight="false" outlineLevel="0" collapsed="false">
      <c r="A121" s="31"/>
      <c r="B121" s="31"/>
      <c r="C121" s="31"/>
      <c r="D121" s="31"/>
      <c r="E121" s="31"/>
      <c r="F121" s="31"/>
      <c r="G121" s="31"/>
      <c r="H121" s="31"/>
      <c r="J121" s="31"/>
      <c r="K121" s="31"/>
      <c r="L121" s="31"/>
    </row>
    <row r="122" customFormat="false" ht="15" hidden="false" customHeight="false" outlineLevel="0" collapsed="false">
      <c r="A122" s="31"/>
      <c r="B122" s="31"/>
      <c r="C122" s="31"/>
      <c r="D122" s="31"/>
      <c r="E122" s="31"/>
      <c r="F122" s="31"/>
      <c r="G122" s="31"/>
      <c r="H122" s="31"/>
      <c r="J122" s="31"/>
      <c r="K122" s="31"/>
      <c r="L122" s="31"/>
    </row>
    <row r="123" customFormat="false" ht="15" hidden="false" customHeight="false" outlineLevel="0" collapsed="false">
      <c r="A123" s="31"/>
      <c r="B123" s="31"/>
      <c r="C123" s="31"/>
      <c r="D123" s="31"/>
      <c r="E123" s="31"/>
      <c r="F123" s="31"/>
      <c r="G123" s="31"/>
      <c r="H123" s="31"/>
      <c r="J123" s="31"/>
      <c r="K123" s="31"/>
      <c r="L123" s="31"/>
    </row>
    <row r="124" customFormat="false" ht="15" hidden="false" customHeight="false" outlineLevel="0" collapsed="false">
      <c r="A124" s="31"/>
      <c r="B124" s="31"/>
      <c r="C124" s="31"/>
      <c r="D124" s="31"/>
      <c r="E124" s="31"/>
      <c r="F124" s="31"/>
      <c r="G124" s="31"/>
      <c r="H124" s="31"/>
      <c r="J124" s="31"/>
      <c r="K124" s="31"/>
      <c r="L124" s="31"/>
    </row>
    <row r="125" customFormat="false" ht="15" hidden="false" customHeight="false" outlineLevel="0" collapsed="false">
      <c r="A125" s="31"/>
      <c r="B125" s="31"/>
      <c r="C125" s="31"/>
      <c r="D125" s="31"/>
      <c r="E125" s="31"/>
      <c r="F125" s="31"/>
      <c r="G125" s="31"/>
      <c r="H125" s="31"/>
      <c r="J125" s="31"/>
      <c r="K125" s="31"/>
      <c r="L125" s="31"/>
    </row>
    <row r="126" customFormat="false" ht="15" hidden="false" customHeight="false" outlineLevel="0" collapsed="false">
      <c r="A126" s="31"/>
      <c r="B126" s="31"/>
      <c r="C126" s="31"/>
      <c r="D126" s="31"/>
      <c r="E126" s="31"/>
      <c r="F126" s="31"/>
      <c r="G126" s="31"/>
      <c r="H126" s="31"/>
      <c r="J126" s="31"/>
      <c r="K126" s="31"/>
      <c r="L126" s="31"/>
    </row>
    <row r="127" customFormat="false" ht="15" hidden="false" customHeight="false" outlineLevel="0" collapsed="false">
      <c r="A127" s="31"/>
      <c r="B127" s="31"/>
      <c r="C127" s="31"/>
      <c r="D127" s="31"/>
      <c r="E127" s="31"/>
      <c r="F127" s="31"/>
      <c r="G127" s="31"/>
      <c r="H127" s="31"/>
      <c r="J127" s="31"/>
      <c r="K127" s="31"/>
      <c r="L127" s="31"/>
    </row>
    <row r="128" customFormat="false" ht="15" hidden="false" customHeight="false" outlineLevel="0" collapsed="false">
      <c r="A128" s="31"/>
      <c r="B128" s="31"/>
      <c r="C128" s="31"/>
      <c r="D128" s="31"/>
      <c r="E128" s="31"/>
      <c r="F128" s="31"/>
      <c r="G128" s="31"/>
      <c r="H128" s="31"/>
      <c r="J128" s="31"/>
      <c r="K128" s="31"/>
      <c r="L128" s="31"/>
    </row>
    <row r="129" customFormat="false" ht="15" hidden="false" customHeight="false" outlineLevel="0" collapsed="false">
      <c r="A129" s="31"/>
      <c r="B129" s="31"/>
      <c r="C129" s="31"/>
      <c r="D129" s="31"/>
      <c r="E129" s="31"/>
      <c r="F129" s="31"/>
      <c r="G129" s="31"/>
      <c r="H129" s="31"/>
      <c r="J129" s="31"/>
      <c r="K129" s="31"/>
      <c r="L129" s="31"/>
    </row>
    <row r="130" customFormat="false" ht="15" hidden="false" customHeight="false" outlineLevel="0" collapsed="false">
      <c r="A130" s="31"/>
      <c r="B130" s="31"/>
      <c r="C130" s="31"/>
      <c r="D130" s="31"/>
      <c r="E130" s="31"/>
      <c r="F130" s="31"/>
      <c r="G130" s="31"/>
      <c r="H130" s="31"/>
      <c r="J130" s="31"/>
      <c r="K130" s="31"/>
      <c r="L130" s="31"/>
    </row>
    <row r="131" customFormat="false" ht="15" hidden="false" customHeight="false" outlineLevel="0" collapsed="false">
      <c r="A131" s="31"/>
      <c r="B131" s="31"/>
      <c r="C131" s="31"/>
      <c r="D131" s="31"/>
      <c r="E131" s="31"/>
      <c r="F131" s="31"/>
      <c r="G131" s="31"/>
      <c r="H131" s="31"/>
      <c r="J131" s="31"/>
      <c r="K131" s="31"/>
      <c r="L131" s="31"/>
    </row>
    <row r="132" customFormat="false" ht="15" hidden="false" customHeight="false" outlineLevel="0" collapsed="false">
      <c r="A132" s="31"/>
      <c r="B132" s="31"/>
      <c r="C132" s="31"/>
      <c r="D132" s="31"/>
      <c r="E132" s="31"/>
      <c r="F132" s="31"/>
      <c r="G132" s="31"/>
      <c r="H132" s="31"/>
      <c r="J132" s="31"/>
      <c r="K132" s="31"/>
      <c r="L132" s="31"/>
    </row>
    <row r="133" customFormat="false" ht="15" hidden="false" customHeight="false" outlineLevel="0" collapsed="false">
      <c r="A133" s="31"/>
      <c r="B133" s="31"/>
      <c r="C133" s="31"/>
      <c r="D133" s="31"/>
      <c r="E133" s="31"/>
      <c r="F133" s="31"/>
      <c r="G133" s="31"/>
      <c r="H133" s="31"/>
      <c r="J133" s="31"/>
      <c r="K133" s="31"/>
      <c r="L133" s="31"/>
    </row>
    <row r="134" customFormat="false" ht="15" hidden="false" customHeight="false" outlineLevel="0" collapsed="false">
      <c r="A134" s="31"/>
      <c r="B134" s="31"/>
      <c r="C134" s="31"/>
      <c r="D134" s="31"/>
      <c r="E134" s="31"/>
      <c r="F134" s="31"/>
      <c r="G134" s="31"/>
      <c r="H134" s="31"/>
      <c r="J134" s="31"/>
      <c r="K134" s="31"/>
      <c r="L134" s="31"/>
    </row>
    <row r="135" customFormat="false" ht="15" hidden="false" customHeight="false" outlineLevel="0" collapsed="false">
      <c r="A135" s="31"/>
      <c r="B135" s="31"/>
      <c r="C135" s="31"/>
      <c r="D135" s="31"/>
      <c r="E135" s="31"/>
      <c r="F135" s="31"/>
      <c r="G135" s="31"/>
      <c r="H135" s="31"/>
      <c r="J135" s="31"/>
      <c r="K135" s="31"/>
      <c r="L135" s="31"/>
    </row>
    <row r="136" customFormat="false" ht="15" hidden="false" customHeight="false" outlineLevel="0" collapsed="false">
      <c r="A136" s="31"/>
      <c r="B136" s="31"/>
      <c r="C136" s="31"/>
      <c r="D136" s="31"/>
      <c r="E136" s="31"/>
      <c r="F136" s="31"/>
      <c r="G136" s="31"/>
      <c r="H136" s="31"/>
      <c r="J136" s="31"/>
      <c r="K136" s="31"/>
      <c r="L136" s="31"/>
    </row>
    <row r="137" customFormat="false" ht="15" hidden="false" customHeight="false" outlineLevel="0" collapsed="false">
      <c r="A137" s="31"/>
      <c r="B137" s="31"/>
      <c r="C137" s="31"/>
      <c r="D137" s="31"/>
      <c r="E137" s="31"/>
      <c r="F137" s="31"/>
      <c r="G137" s="31"/>
      <c r="H137" s="31"/>
      <c r="J137" s="31"/>
      <c r="K137" s="31"/>
      <c r="L137" s="31"/>
    </row>
    <row r="138" customFormat="false" ht="15" hidden="false" customHeight="false" outlineLevel="0" collapsed="false">
      <c r="A138" s="31"/>
      <c r="B138" s="31"/>
      <c r="C138" s="31"/>
      <c r="D138" s="31"/>
      <c r="E138" s="31"/>
      <c r="F138" s="31"/>
      <c r="G138" s="31"/>
      <c r="H138" s="31"/>
      <c r="J138" s="31"/>
      <c r="K138" s="31"/>
      <c r="L138" s="31"/>
    </row>
    <row r="139" customFormat="false" ht="15" hidden="false" customHeight="false" outlineLevel="0" collapsed="false">
      <c r="A139" s="31"/>
      <c r="B139" s="31"/>
      <c r="C139" s="31"/>
      <c r="D139" s="31"/>
      <c r="E139" s="31"/>
      <c r="F139" s="31"/>
      <c r="G139" s="31"/>
      <c r="H139" s="31"/>
      <c r="J139" s="31"/>
      <c r="K139" s="31"/>
      <c r="L139" s="31"/>
    </row>
    <row r="140" customFormat="false" ht="15" hidden="false" customHeight="false" outlineLevel="0" collapsed="false">
      <c r="A140" s="31"/>
      <c r="B140" s="31"/>
      <c r="C140" s="31"/>
      <c r="D140" s="31"/>
      <c r="E140" s="31"/>
      <c r="F140" s="31"/>
      <c r="G140" s="31"/>
      <c r="H140" s="31"/>
      <c r="J140" s="31"/>
      <c r="K140" s="31"/>
      <c r="L140" s="31"/>
    </row>
    <row r="141" customFormat="false" ht="15" hidden="false" customHeight="false" outlineLevel="0" collapsed="false">
      <c r="A141" s="31"/>
      <c r="B141" s="31"/>
      <c r="C141" s="31"/>
      <c r="D141" s="31"/>
      <c r="E141" s="31"/>
      <c r="F141" s="31"/>
      <c r="G141" s="31"/>
      <c r="H141" s="31"/>
      <c r="J141" s="31"/>
      <c r="K141" s="31"/>
      <c r="L141" s="31"/>
    </row>
    <row r="142" customFormat="false" ht="15" hidden="false" customHeight="false" outlineLevel="0" collapsed="false">
      <c r="A142" s="31"/>
      <c r="B142" s="31"/>
      <c r="C142" s="31"/>
      <c r="D142" s="31"/>
      <c r="E142" s="31"/>
      <c r="F142" s="31"/>
      <c r="G142" s="31"/>
      <c r="H142" s="31"/>
      <c r="J142" s="31"/>
      <c r="K142" s="31"/>
      <c r="L142" s="31"/>
    </row>
    <row r="143" customFormat="false" ht="15" hidden="false" customHeight="false" outlineLevel="0" collapsed="false">
      <c r="A143" s="31"/>
      <c r="B143" s="31"/>
      <c r="C143" s="31"/>
      <c r="D143" s="31"/>
      <c r="E143" s="31"/>
      <c r="F143" s="31"/>
      <c r="G143" s="31"/>
      <c r="H143" s="31"/>
      <c r="J143" s="31"/>
      <c r="K143" s="31"/>
      <c r="L143" s="31"/>
    </row>
    <row r="144" customFormat="false" ht="15" hidden="false" customHeight="false" outlineLevel="0" collapsed="false">
      <c r="A144" s="31"/>
      <c r="B144" s="31"/>
      <c r="C144" s="31"/>
      <c r="D144" s="31"/>
      <c r="E144" s="31"/>
      <c r="F144" s="31"/>
      <c r="G144" s="31"/>
      <c r="H144" s="31"/>
      <c r="J144" s="31"/>
      <c r="K144" s="31"/>
      <c r="L144" s="31"/>
    </row>
    <row r="145" customFormat="false" ht="15" hidden="false" customHeight="false" outlineLevel="0" collapsed="false">
      <c r="A145" s="31"/>
      <c r="B145" s="31"/>
      <c r="C145" s="31"/>
      <c r="D145" s="31"/>
      <c r="E145" s="31"/>
      <c r="F145" s="31"/>
      <c r="G145" s="31"/>
      <c r="H145" s="31"/>
      <c r="J145" s="31"/>
      <c r="K145" s="31"/>
      <c r="L145" s="31"/>
    </row>
    <row r="146" customFormat="false" ht="15" hidden="false" customHeight="false" outlineLevel="0" collapsed="false">
      <c r="A146" s="31"/>
      <c r="B146" s="31"/>
      <c r="C146" s="31"/>
      <c r="D146" s="31"/>
      <c r="E146" s="31"/>
      <c r="F146" s="31"/>
      <c r="G146" s="31"/>
      <c r="H146" s="31"/>
      <c r="J146" s="31"/>
      <c r="K146" s="31"/>
      <c r="L146" s="31"/>
    </row>
    <row r="147" customFormat="false" ht="15" hidden="false" customHeight="false" outlineLevel="0" collapsed="false">
      <c r="A147" s="31"/>
      <c r="B147" s="31"/>
      <c r="C147" s="31"/>
      <c r="D147" s="31"/>
      <c r="E147" s="31"/>
      <c r="F147" s="31"/>
      <c r="G147" s="31"/>
      <c r="H147" s="31"/>
      <c r="J147" s="31"/>
      <c r="K147" s="31"/>
      <c r="L147" s="31"/>
    </row>
    <row r="148" customFormat="false" ht="15" hidden="false" customHeight="false" outlineLevel="0" collapsed="false">
      <c r="A148" s="31"/>
      <c r="B148" s="31"/>
      <c r="C148" s="31"/>
      <c r="D148" s="31"/>
      <c r="E148" s="31"/>
      <c r="F148" s="31"/>
      <c r="G148" s="31"/>
      <c r="H148" s="31"/>
      <c r="J148" s="31"/>
      <c r="K148" s="31"/>
      <c r="L148" s="31"/>
    </row>
    <row r="149" customFormat="false" ht="15" hidden="false" customHeight="false" outlineLevel="0" collapsed="false">
      <c r="A149" s="31"/>
      <c r="B149" s="31"/>
      <c r="C149" s="31"/>
      <c r="D149" s="31"/>
      <c r="E149" s="31"/>
      <c r="F149" s="31"/>
      <c r="G149" s="31"/>
      <c r="H149" s="31"/>
      <c r="J149" s="31"/>
      <c r="K149" s="31"/>
      <c r="L149" s="31"/>
    </row>
    <row r="150" customFormat="false" ht="15" hidden="false" customHeight="false" outlineLevel="0" collapsed="false">
      <c r="A150" s="31"/>
      <c r="B150" s="31"/>
      <c r="C150" s="31"/>
      <c r="D150" s="31"/>
      <c r="E150" s="31"/>
      <c r="F150" s="31"/>
      <c r="G150" s="31"/>
      <c r="H150" s="31"/>
      <c r="J150" s="31"/>
      <c r="K150" s="31"/>
      <c r="L150" s="31"/>
    </row>
    <row r="151" customFormat="false" ht="15" hidden="false" customHeight="false" outlineLevel="0" collapsed="false">
      <c r="A151" s="31"/>
      <c r="B151" s="31"/>
      <c r="C151" s="31"/>
      <c r="D151" s="31"/>
      <c r="E151" s="31"/>
      <c r="F151" s="31"/>
      <c r="G151" s="31"/>
      <c r="H151" s="31"/>
      <c r="J151" s="31"/>
      <c r="K151" s="31"/>
      <c r="L151" s="31"/>
    </row>
    <row r="152" customFormat="false" ht="15" hidden="false" customHeight="false" outlineLevel="0" collapsed="false">
      <c r="A152" s="31"/>
      <c r="B152" s="31"/>
      <c r="C152" s="31"/>
      <c r="D152" s="31"/>
      <c r="E152" s="31"/>
      <c r="F152" s="31"/>
      <c r="G152" s="31"/>
      <c r="H152" s="31"/>
      <c r="J152" s="31"/>
      <c r="K152" s="31"/>
      <c r="L152" s="31"/>
    </row>
    <row r="153" customFormat="false" ht="15" hidden="false" customHeight="false" outlineLevel="0" collapsed="false">
      <c r="A153" s="31"/>
      <c r="B153" s="31"/>
      <c r="C153" s="31"/>
      <c r="D153" s="31"/>
      <c r="E153" s="31"/>
      <c r="F153" s="31"/>
      <c r="G153" s="31"/>
      <c r="H153" s="31"/>
      <c r="J153" s="31"/>
      <c r="K153" s="31"/>
      <c r="L153" s="31"/>
    </row>
    <row r="154" customFormat="false" ht="15" hidden="false" customHeight="false" outlineLevel="0" collapsed="false">
      <c r="A154" s="31"/>
      <c r="B154" s="31"/>
      <c r="C154" s="31"/>
      <c r="D154" s="31"/>
      <c r="E154" s="31"/>
      <c r="F154" s="31"/>
      <c r="G154" s="31"/>
      <c r="H154" s="31"/>
      <c r="J154" s="31"/>
      <c r="K154" s="31"/>
      <c r="L154" s="31"/>
    </row>
    <row r="155" customFormat="false" ht="15" hidden="false" customHeight="false" outlineLevel="0" collapsed="false">
      <c r="A155" s="31"/>
      <c r="B155" s="31"/>
      <c r="C155" s="31"/>
      <c r="D155" s="31"/>
      <c r="E155" s="31"/>
      <c r="F155" s="31"/>
      <c r="G155" s="31"/>
      <c r="H155" s="31"/>
      <c r="J155" s="31"/>
      <c r="K155" s="31"/>
      <c r="L155" s="31"/>
    </row>
    <row r="156" customFormat="false" ht="15" hidden="false" customHeight="false" outlineLevel="0" collapsed="false">
      <c r="A156" s="31"/>
      <c r="B156" s="31"/>
      <c r="C156" s="31"/>
      <c r="D156" s="31"/>
      <c r="E156" s="31"/>
      <c r="F156" s="31"/>
      <c r="G156" s="31"/>
      <c r="H156" s="31"/>
      <c r="J156" s="31"/>
      <c r="K156" s="31"/>
      <c r="L156" s="31"/>
    </row>
    <row r="157" customFormat="false" ht="15" hidden="false" customHeight="false" outlineLevel="0" collapsed="false">
      <c r="A157" s="31"/>
      <c r="B157" s="31"/>
      <c r="C157" s="31"/>
      <c r="D157" s="31"/>
      <c r="E157" s="31"/>
      <c r="F157" s="31"/>
      <c r="G157" s="31"/>
      <c r="H157" s="31"/>
      <c r="J157" s="31"/>
      <c r="K157" s="31"/>
      <c r="L157" s="31"/>
    </row>
    <row r="158" customFormat="false" ht="15" hidden="false" customHeight="false" outlineLevel="0" collapsed="false">
      <c r="A158" s="31"/>
      <c r="B158" s="31"/>
      <c r="C158" s="31"/>
      <c r="D158" s="31"/>
      <c r="E158" s="31"/>
      <c r="F158" s="31"/>
      <c r="G158" s="31"/>
      <c r="H158" s="31"/>
      <c r="J158" s="31"/>
      <c r="K158" s="31"/>
      <c r="L158" s="31"/>
    </row>
    <row r="159" customFormat="false" ht="15" hidden="false" customHeight="false" outlineLevel="0" collapsed="false">
      <c r="A159" s="31"/>
      <c r="B159" s="31"/>
      <c r="C159" s="31"/>
      <c r="D159" s="31"/>
      <c r="E159" s="31"/>
      <c r="F159" s="31"/>
      <c r="G159" s="31"/>
      <c r="H159" s="31"/>
      <c r="J159" s="31"/>
      <c r="K159" s="31"/>
      <c r="L159" s="31"/>
    </row>
    <row r="160" customFormat="false" ht="15" hidden="false" customHeight="false" outlineLevel="0" collapsed="false">
      <c r="A160" s="31"/>
      <c r="B160" s="31"/>
      <c r="C160" s="31"/>
      <c r="D160" s="31"/>
      <c r="E160" s="31"/>
      <c r="F160" s="31"/>
      <c r="G160" s="31"/>
      <c r="H160" s="31"/>
      <c r="J160" s="31"/>
      <c r="K160" s="31"/>
      <c r="L160" s="31"/>
    </row>
    <row r="161" customFormat="false" ht="15" hidden="false" customHeight="false" outlineLevel="0" collapsed="false">
      <c r="A161" s="31"/>
      <c r="B161" s="31"/>
      <c r="C161" s="31"/>
      <c r="D161" s="31"/>
      <c r="E161" s="31"/>
      <c r="F161" s="31"/>
      <c r="G161" s="31"/>
      <c r="H161" s="31"/>
      <c r="J161" s="31"/>
      <c r="K161" s="31"/>
      <c r="L161" s="31"/>
    </row>
    <row r="162" customFormat="false" ht="15" hidden="false" customHeight="false" outlineLevel="0" collapsed="false">
      <c r="A162" s="31"/>
      <c r="B162" s="31"/>
      <c r="C162" s="31"/>
      <c r="D162" s="31"/>
      <c r="E162" s="31"/>
      <c r="F162" s="31"/>
      <c r="G162" s="31"/>
      <c r="H162" s="31"/>
      <c r="J162" s="31"/>
      <c r="K162" s="31"/>
      <c r="L162" s="31"/>
    </row>
    <row r="163" customFormat="false" ht="15" hidden="false" customHeight="false" outlineLevel="0" collapsed="false">
      <c r="A163" s="31"/>
      <c r="B163" s="31"/>
      <c r="C163" s="31"/>
      <c r="D163" s="31"/>
      <c r="E163" s="31"/>
      <c r="F163" s="31"/>
      <c r="G163" s="31"/>
      <c r="H163" s="31"/>
      <c r="J163" s="31"/>
      <c r="K163" s="31"/>
      <c r="L163" s="31"/>
    </row>
    <row r="164" customFormat="false" ht="15" hidden="false" customHeight="false" outlineLevel="0" collapsed="false">
      <c r="A164" s="31"/>
      <c r="B164" s="31"/>
      <c r="C164" s="31"/>
      <c r="D164" s="31"/>
      <c r="E164" s="31"/>
      <c r="F164" s="31"/>
      <c r="G164" s="31"/>
      <c r="H164" s="31"/>
      <c r="J164" s="31"/>
      <c r="K164" s="31"/>
      <c r="L164" s="31"/>
    </row>
    <row r="165" customFormat="false" ht="15" hidden="false" customHeight="false" outlineLevel="0" collapsed="false">
      <c r="A165" s="31"/>
      <c r="B165" s="31"/>
      <c r="C165" s="31"/>
      <c r="D165" s="31"/>
      <c r="E165" s="31"/>
      <c r="F165" s="31"/>
      <c r="G165" s="31"/>
      <c r="H165" s="31"/>
      <c r="J165" s="31"/>
      <c r="K165" s="31"/>
      <c r="L165" s="31"/>
    </row>
    <row r="166" customFormat="false" ht="15" hidden="false" customHeight="false" outlineLevel="0" collapsed="false">
      <c r="A166" s="31"/>
      <c r="B166" s="31"/>
      <c r="C166" s="31"/>
      <c r="D166" s="31"/>
      <c r="E166" s="31"/>
      <c r="F166" s="31"/>
      <c r="G166" s="31"/>
      <c r="H166" s="31"/>
      <c r="J166" s="31"/>
      <c r="K166" s="31"/>
      <c r="L166" s="31"/>
    </row>
    <row r="167" customFormat="false" ht="15" hidden="false" customHeight="false" outlineLevel="0" collapsed="false">
      <c r="A167" s="31"/>
      <c r="B167" s="31"/>
      <c r="C167" s="31"/>
      <c r="D167" s="31"/>
      <c r="E167" s="31"/>
      <c r="F167" s="31"/>
      <c r="G167" s="31"/>
      <c r="H167" s="31"/>
      <c r="J167" s="31"/>
      <c r="K167" s="31"/>
      <c r="L167" s="31"/>
    </row>
    <row r="168" customFormat="false" ht="15" hidden="false" customHeight="false" outlineLevel="0" collapsed="false">
      <c r="A168" s="31"/>
      <c r="B168" s="31"/>
      <c r="C168" s="31"/>
      <c r="D168" s="31"/>
      <c r="E168" s="31"/>
      <c r="F168" s="31"/>
      <c r="G168" s="31"/>
      <c r="H168" s="31"/>
      <c r="J168" s="31"/>
      <c r="K168" s="31"/>
      <c r="L168" s="31"/>
    </row>
    <row r="169" customFormat="false" ht="15" hidden="false" customHeight="false" outlineLevel="0" collapsed="false">
      <c r="A169" s="31"/>
      <c r="B169" s="31"/>
      <c r="C169" s="31"/>
      <c r="D169" s="31"/>
      <c r="E169" s="31"/>
      <c r="F169" s="31"/>
      <c r="G169" s="31"/>
      <c r="H169" s="31"/>
      <c r="J169" s="31"/>
      <c r="K169" s="31"/>
      <c r="L169" s="31"/>
    </row>
    <row r="170" customFormat="false" ht="15" hidden="false" customHeight="false" outlineLevel="0" collapsed="false">
      <c r="A170" s="31"/>
      <c r="B170" s="31"/>
      <c r="C170" s="31"/>
      <c r="D170" s="31"/>
      <c r="E170" s="31"/>
      <c r="F170" s="31"/>
      <c r="G170" s="31"/>
      <c r="H170" s="31"/>
      <c r="J170" s="31"/>
      <c r="K170" s="31"/>
      <c r="L170" s="31"/>
    </row>
    <row r="171" customFormat="false" ht="15" hidden="false" customHeight="false" outlineLevel="0" collapsed="false">
      <c r="A171" s="31"/>
      <c r="B171" s="31"/>
      <c r="C171" s="31"/>
      <c r="D171" s="31"/>
      <c r="E171" s="31"/>
      <c r="F171" s="31"/>
      <c r="G171" s="31"/>
      <c r="H171" s="31"/>
      <c r="J171" s="31"/>
      <c r="K171" s="31"/>
      <c r="L171" s="31"/>
    </row>
    <row r="172" customFormat="false" ht="15" hidden="false" customHeight="false" outlineLevel="0" collapsed="false">
      <c r="A172" s="31"/>
      <c r="B172" s="31"/>
      <c r="C172" s="31"/>
      <c r="D172" s="31"/>
      <c r="E172" s="31"/>
      <c r="F172" s="31"/>
      <c r="G172" s="31"/>
      <c r="H172" s="31"/>
      <c r="J172" s="31"/>
      <c r="K172" s="31"/>
      <c r="L172" s="31"/>
    </row>
    <row r="173" customFormat="false" ht="15" hidden="false" customHeight="false" outlineLevel="0" collapsed="false">
      <c r="A173" s="31"/>
      <c r="B173" s="31"/>
      <c r="C173" s="31"/>
      <c r="D173" s="31"/>
      <c r="E173" s="31"/>
      <c r="F173" s="31"/>
      <c r="G173" s="31"/>
      <c r="H173" s="31"/>
      <c r="J173" s="31"/>
      <c r="K173" s="31"/>
      <c r="L173" s="31"/>
    </row>
    <row r="174" customFormat="false" ht="15" hidden="false" customHeight="false" outlineLevel="0" collapsed="false">
      <c r="A174" s="31"/>
      <c r="B174" s="31"/>
      <c r="C174" s="31"/>
      <c r="D174" s="31"/>
      <c r="E174" s="31"/>
      <c r="F174" s="31"/>
      <c r="G174" s="31"/>
      <c r="H174" s="31"/>
      <c r="J174" s="31"/>
      <c r="K174" s="31"/>
      <c r="L174" s="31"/>
    </row>
    <row r="175" customFormat="false" ht="15" hidden="false" customHeight="false" outlineLevel="0" collapsed="false">
      <c r="A175" s="31"/>
      <c r="B175" s="31"/>
      <c r="C175" s="31"/>
      <c r="D175" s="31"/>
      <c r="E175" s="31"/>
      <c r="F175" s="31"/>
      <c r="G175" s="31"/>
      <c r="H175" s="31"/>
      <c r="J175" s="31"/>
      <c r="K175" s="31"/>
      <c r="L175" s="31"/>
    </row>
    <row r="176" customFormat="false" ht="15" hidden="false" customHeight="false" outlineLevel="0" collapsed="false">
      <c r="A176" s="31"/>
      <c r="B176" s="31"/>
      <c r="C176" s="31"/>
      <c r="D176" s="31"/>
      <c r="E176" s="31"/>
      <c r="F176" s="31"/>
      <c r="G176" s="31"/>
      <c r="H176" s="31"/>
      <c r="J176" s="31"/>
      <c r="K176" s="31"/>
      <c r="L176" s="31"/>
    </row>
    <row r="177" customFormat="false" ht="15" hidden="false" customHeight="false" outlineLevel="0" collapsed="false">
      <c r="A177" s="31"/>
      <c r="B177" s="31"/>
      <c r="C177" s="31"/>
      <c r="D177" s="31"/>
      <c r="E177" s="31"/>
      <c r="F177" s="31"/>
      <c r="G177" s="31"/>
      <c r="H177" s="31"/>
      <c r="J177" s="31"/>
      <c r="K177" s="31"/>
      <c r="L177" s="31"/>
    </row>
    <row r="178" customFormat="false" ht="15" hidden="false" customHeight="false" outlineLevel="0" collapsed="false">
      <c r="A178" s="31"/>
      <c r="B178" s="31"/>
      <c r="C178" s="31"/>
      <c r="D178" s="31"/>
      <c r="E178" s="31"/>
      <c r="F178" s="31"/>
      <c r="G178" s="31"/>
      <c r="H178" s="31"/>
      <c r="J178" s="31"/>
      <c r="K178" s="31"/>
      <c r="L178" s="31"/>
    </row>
    <row r="179" customFormat="false" ht="15" hidden="false" customHeight="false" outlineLevel="0" collapsed="false">
      <c r="A179" s="31"/>
      <c r="B179" s="31"/>
      <c r="C179" s="31"/>
      <c r="D179" s="31"/>
      <c r="E179" s="31"/>
      <c r="F179" s="31"/>
      <c r="G179" s="31"/>
      <c r="H179" s="31"/>
      <c r="J179" s="31"/>
      <c r="K179" s="31"/>
      <c r="L179" s="31"/>
    </row>
    <row r="180" customFormat="false" ht="15" hidden="false" customHeight="false" outlineLevel="0" collapsed="false">
      <c r="A180" s="31"/>
      <c r="B180" s="31"/>
      <c r="C180" s="31"/>
      <c r="D180" s="31"/>
      <c r="E180" s="31"/>
      <c r="F180" s="31"/>
      <c r="G180" s="31"/>
      <c r="H180" s="31"/>
      <c r="J180" s="31"/>
      <c r="K180" s="31"/>
      <c r="L180" s="31"/>
    </row>
    <row r="181" customFormat="false" ht="15" hidden="false" customHeight="false" outlineLevel="0" collapsed="false">
      <c r="A181" s="31"/>
      <c r="B181" s="31"/>
      <c r="C181" s="31"/>
      <c r="D181" s="31"/>
      <c r="E181" s="31"/>
      <c r="F181" s="31"/>
      <c r="G181" s="31"/>
      <c r="H181" s="31"/>
      <c r="J181" s="31"/>
      <c r="K181" s="31"/>
      <c r="L181" s="31"/>
    </row>
    <row r="182" customFormat="false" ht="15" hidden="false" customHeight="false" outlineLevel="0" collapsed="false">
      <c r="A182" s="31"/>
      <c r="B182" s="31"/>
      <c r="C182" s="31"/>
      <c r="D182" s="31"/>
      <c r="E182" s="31"/>
      <c r="F182" s="31"/>
      <c r="G182" s="31"/>
      <c r="H182" s="31"/>
      <c r="J182" s="31"/>
      <c r="K182" s="31"/>
      <c r="L182" s="31"/>
    </row>
    <row r="183" customFormat="false" ht="15" hidden="false" customHeight="false" outlineLevel="0" collapsed="false">
      <c r="A183" s="31"/>
      <c r="B183" s="31"/>
      <c r="C183" s="31"/>
      <c r="D183" s="31"/>
      <c r="E183" s="31"/>
      <c r="F183" s="31"/>
      <c r="G183" s="31"/>
      <c r="H183" s="31"/>
      <c r="J183" s="31"/>
      <c r="K183" s="31"/>
      <c r="L183" s="31"/>
    </row>
    <row r="184" customFormat="false" ht="15" hidden="false" customHeight="false" outlineLevel="0" collapsed="false">
      <c r="A184" s="31"/>
      <c r="B184" s="31"/>
      <c r="C184" s="31"/>
      <c r="D184" s="31"/>
      <c r="E184" s="31"/>
      <c r="F184" s="31"/>
      <c r="G184" s="31"/>
      <c r="H184" s="31"/>
      <c r="J184" s="31"/>
      <c r="K184" s="31"/>
      <c r="L184" s="31"/>
    </row>
    <row r="185" customFormat="false" ht="15" hidden="false" customHeight="false" outlineLevel="0" collapsed="false">
      <c r="A185" s="31"/>
      <c r="B185" s="31"/>
      <c r="C185" s="31"/>
      <c r="D185" s="31"/>
      <c r="E185" s="31"/>
      <c r="F185" s="31"/>
      <c r="G185" s="31"/>
      <c r="H185" s="31"/>
      <c r="J185" s="31"/>
      <c r="K185" s="31"/>
      <c r="L185" s="31"/>
    </row>
    <row r="186" customFormat="false" ht="15" hidden="false" customHeight="false" outlineLevel="0" collapsed="false">
      <c r="A186" s="31"/>
      <c r="B186" s="31"/>
      <c r="C186" s="31"/>
      <c r="D186" s="31"/>
      <c r="E186" s="31"/>
      <c r="F186" s="31"/>
      <c r="G186" s="31"/>
      <c r="H186" s="31"/>
      <c r="J186" s="31"/>
      <c r="K186" s="31"/>
      <c r="L186" s="31"/>
    </row>
    <row r="187" customFormat="false" ht="15" hidden="false" customHeight="false" outlineLevel="0" collapsed="false">
      <c r="A187" s="31"/>
      <c r="B187" s="31"/>
      <c r="C187" s="31"/>
      <c r="D187" s="31"/>
      <c r="E187" s="31"/>
      <c r="F187" s="31"/>
      <c r="G187" s="31"/>
      <c r="H187" s="31"/>
      <c r="J187" s="31"/>
      <c r="K187" s="31"/>
      <c r="L187" s="31"/>
    </row>
    <row r="188" customFormat="false" ht="15" hidden="false" customHeight="false" outlineLevel="0" collapsed="false">
      <c r="A188" s="31"/>
      <c r="B188" s="31"/>
      <c r="C188" s="31"/>
      <c r="D188" s="31"/>
      <c r="E188" s="31"/>
      <c r="F188" s="31"/>
      <c r="G188" s="31"/>
      <c r="H188" s="31"/>
      <c r="J188" s="31"/>
      <c r="K188" s="31"/>
      <c r="L188" s="31"/>
    </row>
    <row r="189" customFormat="false" ht="15" hidden="false" customHeight="false" outlineLevel="0" collapsed="false">
      <c r="A189" s="31"/>
      <c r="B189" s="31"/>
      <c r="C189" s="31"/>
      <c r="D189" s="31"/>
      <c r="E189" s="31"/>
      <c r="F189" s="31"/>
      <c r="G189" s="31"/>
      <c r="H189" s="31"/>
      <c r="J189" s="31"/>
      <c r="K189" s="31"/>
      <c r="L189" s="31"/>
    </row>
    <row r="190" customFormat="false" ht="15" hidden="false" customHeight="false" outlineLevel="0" collapsed="false">
      <c r="A190" s="31"/>
      <c r="B190" s="31"/>
      <c r="C190" s="31"/>
      <c r="D190" s="31"/>
      <c r="E190" s="31"/>
      <c r="F190" s="31"/>
      <c r="G190" s="31"/>
      <c r="H190" s="31"/>
      <c r="J190" s="31"/>
      <c r="K190" s="31"/>
      <c r="L190" s="31"/>
    </row>
    <row r="191" customFormat="false" ht="15" hidden="false" customHeight="false" outlineLevel="0" collapsed="false">
      <c r="A191" s="31"/>
      <c r="B191" s="31"/>
      <c r="C191" s="31"/>
      <c r="D191" s="31"/>
      <c r="E191" s="31"/>
      <c r="F191" s="31"/>
      <c r="G191" s="31"/>
      <c r="H191" s="31"/>
      <c r="J191" s="31"/>
      <c r="K191" s="31"/>
      <c r="L191" s="31"/>
    </row>
    <row r="192" customFormat="false" ht="15" hidden="false" customHeight="false" outlineLevel="0" collapsed="false">
      <c r="A192" s="31"/>
      <c r="B192" s="31"/>
      <c r="C192" s="31"/>
      <c r="D192" s="31"/>
      <c r="E192" s="31"/>
      <c r="F192" s="31"/>
      <c r="G192" s="31"/>
      <c r="H192" s="31"/>
      <c r="J192" s="31"/>
      <c r="K192" s="31"/>
      <c r="L192" s="31"/>
    </row>
    <row r="193" customFormat="false" ht="15" hidden="false" customHeight="false" outlineLevel="0" collapsed="false">
      <c r="A193" s="31"/>
      <c r="B193" s="31"/>
      <c r="C193" s="31"/>
      <c r="D193" s="31"/>
      <c r="E193" s="31"/>
      <c r="F193" s="31"/>
      <c r="G193" s="31"/>
      <c r="H193" s="31"/>
      <c r="J193" s="31"/>
      <c r="K193" s="31"/>
      <c r="L193" s="31"/>
    </row>
    <row r="194" customFormat="false" ht="15" hidden="false" customHeight="false" outlineLevel="0" collapsed="false">
      <c r="A194" s="31"/>
      <c r="B194" s="31"/>
      <c r="C194" s="31"/>
      <c r="D194" s="31"/>
      <c r="E194" s="31"/>
      <c r="F194" s="31"/>
      <c r="G194" s="31"/>
      <c r="H194" s="31"/>
      <c r="J194" s="31"/>
      <c r="K194" s="31"/>
      <c r="L194" s="31"/>
    </row>
    <row r="195" customFormat="false" ht="15" hidden="false" customHeight="false" outlineLevel="0" collapsed="false">
      <c r="A195" s="31"/>
      <c r="B195" s="31"/>
      <c r="C195" s="31"/>
      <c r="D195" s="31"/>
      <c r="E195" s="31"/>
      <c r="F195" s="31"/>
      <c r="G195" s="31"/>
      <c r="H195" s="31"/>
      <c r="J195" s="31"/>
      <c r="K195" s="31"/>
      <c r="L195" s="31"/>
    </row>
    <row r="196" customFormat="false" ht="15" hidden="false" customHeight="false" outlineLevel="0" collapsed="false">
      <c r="A196" s="31"/>
      <c r="B196" s="31"/>
      <c r="C196" s="31"/>
      <c r="D196" s="31"/>
      <c r="E196" s="31"/>
      <c r="F196" s="31"/>
      <c r="G196" s="31"/>
      <c r="H196" s="31"/>
      <c r="J196" s="31"/>
      <c r="K196" s="31"/>
      <c r="L196" s="31"/>
    </row>
    <row r="197" customFormat="false" ht="15" hidden="false" customHeight="false" outlineLevel="0" collapsed="false">
      <c r="A197" s="31"/>
      <c r="B197" s="31"/>
      <c r="C197" s="31"/>
      <c r="D197" s="31"/>
      <c r="E197" s="31"/>
      <c r="F197" s="31"/>
      <c r="G197" s="31"/>
      <c r="H197" s="31"/>
      <c r="J197" s="31"/>
      <c r="K197" s="31"/>
      <c r="L197" s="31"/>
    </row>
    <row r="198" customFormat="false" ht="15" hidden="false" customHeight="false" outlineLevel="0" collapsed="false">
      <c r="A198" s="31"/>
      <c r="B198" s="31"/>
      <c r="C198" s="31"/>
      <c r="D198" s="31"/>
      <c r="E198" s="31"/>
      <c r="F198" s="31"/>
      <c r="G198" s="31"/>
      <c r="H198" s="31"/>
      <c r="J198" s="31"/>
      <c r="K198" s="31"/>
      <c r="L198" s="31"/>
    </row>
    <row r="199" customFormat="false" ht="15" hidden="false" customHeight="false" outlineLevel="0" collapsed="false">
      <c r="A199" s="31"/>
      <c r="B199" s="31"/>
      <c r="C199" s="31"/>
      <c r="D199" s="31"/>
      <c r="E199" s="31"/>
      <c r="F199" s="31"/>
      <c r="G199" s="31"/>
      <c r="H199" s="31"/>
      <c r="J199" s="31"/>
      <c r="K199" s="31"/>
      <c r="L199" s="31"/>
    </row>
    <row r="200" customFormat="false" ht="15" hidden="false" customHeight="false" outlineLevel="0" collapsed="false">
      <c r="A200" s="31"/>
      <c r="B200" s="31"/>
      <c r="C200" s="31"/>
      <c r="D200" s="31"/>
      <c r="E200" s="31"/>
      <c r="F200" s="31"/>
      <c r="G200" s="31"/>
      <c r="H200" s="31"/>
      <c r="J200" s="31"/>
      <c r="K200" s="31"/>
      <c r="L200" s="31"/>
    </row>
    <row r="201" customFormat="false" ht="15" hidden="false" customHeight="false" outlineLevel="0" collapsed="false">
      <c r="A201" s="31"/>
      <c r="B201" s="31"/>
      <c r="C201" s="31"/>
      <c r="D201" s="31"/>
      <c r="E201" s="31"/>
      <c r="F201" s="31"/>
      <c r="G201" s="31"/>
      <c r="H201" s="31"/>
      <c r="J201" s="31"/>
      <c r="K201" s="31"/>
      <c r="L201" s="31"/>
    </row>
    <row r="202" customFormat="false" ht="15" hidden="false" customHeight="false" outlineLevel="0" collapsed="false">
      <c r="A202" s="31"/>
      <c r="B202" s="31"/>
      <c r="C202" s="31"/>
      <c r="D202" s="31"/>
      <c r="E202" s="31"/>
      <c r="F202" s="31"/>
      <c r="G202" s="31"/>
      <c r="H202" s="31"/>
      <c r="J202" s="31"/>
      <c r="K202" s="31"/>
      <c r="L202" s="31"/>
    </row>
    <row r="203" customFormat="false" ht="15" hidden="false" customHeight="false" outlineLevel="0" collapsed="false">
      <c r="A203" s="31"/>
      <c r="B203" s="31"/>
      <c r="C203" s="31"/>
      <c r="D203" s="31"/>
      <c r="E203" s="31"/>
      <c r="F203" s="31"/>
      <c r="G203" s="31"/>
      <c r="H203" s="31"/>
      <c r="J203" s="31"/>
      <c r="K203" s="31"/>
      <c r="L203" s="31"/>
    </row>
    <row r="204" customFormat="false" ht="15" hidden="false" customHeight="false" outlineLevel="0" collapsed="false">
      <c r="A204" s="31"/>
      <c r="B204" s="31"/>
      <c r="C204" s="31"/>
      <c r="D204" s="31"/>
      <c r="E204" s="31"/>
      <c r="F204" s="31"/>
      <c r="G204" s="31"/>
      <c r="H204" s="31"/>
      <c r="J204" s="31"/>
      <c r="K204" s="31"/>
      <c r="L204" s="31"/>
    </row>
    <row r="205" customFormat="false" ht="15" hidden="false" customHeight="false" outlineLevel="0" collapsed="false">
      <c r="A205" s="31"/>
      <c r="B205" s="31"/>
      <c r="C205" s="31"/>
      <c r="D205" s="31"/>
      <c r="E205" s="31"/>
      <c r="F205" s="31"/>
      <c r="G205" s="31"/>
      <c r="H205" s="31"/>
    </row>
    <row r="206" customFormat="false" ht="15" hidden="false" customHeight="false" outlineLevel="0" collapsed="false">
      <c r="A206" s="31"/>
      <c r="B206" s="31"/>
      <c r="C206" s="31"/>
      <c r="D206" s="31"/>
      <c r="E206" s="31"/>
      <c r="F206" s="31"/>
      <c r="G206" s="31"/>
      <c r="H206" s="31"/>
    </row>
    <row r="207" customFormat="false" ht="15" hidden="false" customHeight="false" outlineLevel="0" collapsed="false">
      <c r="A207" s="31"/>
      <c r="B207" s="31"/>
      <c r="C207" s="31"/>
      <c r="D207" s="31"/>
      <c r="E207" s="31"/>
      <c r="F207" s="31"/>
      <c r="G207" s="31"/>
      <c r="H207" s="31"/>
    </row>
    <row r="208" customFormat="false" ht="15" hidden="false" customHeight="false" outlineLevel="0" collapsed="false">
      <c r="A208" s="31"/>
      <c r="B208" s="31"/>
      <c r="C208" s="31"/>
      <c r="D208" s="31"/>
      <c r="E208" s="31"/>
      <c r="F208" s="31"/>
      <c r="G208" s="31"/>
      <c r="H208" s="31"/>
    </row>
    <row r="209" customFormat="false" ht="15" hidden="false" customHeight="false" outlineLevel="0" collapsed="false">
      <c r="A209" s="31"/>
      <c r="B209" s="31"/>
      <c r="C209" s="31"/>
      <c r="D209" s="31"/>
      <c r="E209" s="31"/>
      <c r="F209" s="31"/>
      <c r="G209" s="31"/>
      <c r="H209" s="31"/>
    </row>
    <row r="210" customFormat="false" ht="15" hidden="false" customHeight="false" outlineLevel="0" collapsed="false">
      <c r="A210" s="31"/>
      <c r="B210" s="31"/>
      <c r="C210" s="31"/>
      <c r="D210" s="31"/>
      <c r="E210" s="31"/>
      <c r="F210" s="31"/>
      <c r="G210" s="31"/>
      <c r="H210" s="31"/>
    </row>
    <row r="211" customFormat="false" ht="15" hidden="false" customHeight="false" outlineLevel="0" collapsed="false">
      <c r="A211" s="31"/>
      <c r="B211" s="31"/>
      <c r="C211" s="31"/>
      <c r="D211" s="31"/>
      <c r="E211" s="31"/>
      <c r="F211" s="31"/>
      <c r="G211" s="31"/>
      <c r="H211" s="31"/>
    </row>
    <row r="212" customFormat="false" ht="15" hidden="false" customHeight="false" outlineLevel="0" collapsed="false">
      <c r="A212" s="31"/>
      <c r="B212" s="31"/>
      <c r="C212" s="31"/>
      <c r="D212" s="31"/>
      <c r="E212" s="31"/>
      <c r="F212" s="31"/>
      <c r="G212" s="31"/>
      <c r="H212" s="31"/>
    </row>
    <row r="213" customFormat="false" ht="15" hidden="false" customHeight="false" outlineLevel="0" collapsed="false">
      <c r="A213" s="31"/>
      <c r="B213" s="31"/>
      <c r="C213" s="31"/>
      <c r="D213" s="31"/>
      <c r="E213" s="31"/>
      <c r="F213" s="31"/>
      <c r="G213" s="31"/>
      <c r="H213" s="31"/>
    </row>
    <row r="214" customFormat="false" ht="15" hidden="false" customHeight="false" outlineLevel="0" collapsed="false">
      <c r="A214" s="31"/>
      <c r="B214" s="31"/>
      <c r="C214" s="31"/>
      <c r="D214" s="31"/>
      <c r="E214" s="31"/>
      <c r="F214" s="31"/>
      <c r="G214" s="31"/>
      <c r="H214" s="31"/>
    </row>
    <row r="215" customFormat="false" ht="15" hidden="false" customHeight="false" outlineLevel="0" collapsed="false">
      <c r="A215" s="31"/>
      <c r="B215" s="31"/>
      <c r="C215" s="31"/>
      <c r="D215" s="31"/>
      <c r="E215" s="31"/>
      <c r="F215" s="31"/>
      <c r="G215" s="31"/>
      <c r="H215" s="31"/>
    </row>
    <row r="216" customFormat="false" ht="15" hidden="false" customHeight="false" outlineLevel="0" collapsed="false">
      <c r="A216" s="31"/>
      <c r="B216" s="31"/>
      <c r="C216" s="31"/>
      <c r="D216" s="31"/>
      <c r="E216" s="31"/>
      <c r="F216" s="31"/>
      <c r="G216" s="31"/>
      <c r="H216" s="31"/>
    </row>
    <row r="217" customFormat="false" ht="15" hidden="false" customHeight="false" outlineLevel="0" collapsed="false">
      <c r="A217" s="31"/>
      <c r="B217" s="31"/>
      <c r="C217" s="31"/>
      <c r="D217" s="31"/>
      <c r="E217" s="31"/>
      <c r="F217" s="31"/>
      <c r="G217" s="31"/>
      <c r="H217" s="31"/>
    </row>
    <row r="218" customFormat="false" ht="15" hidden="false" customHeight="false" outlineLevel="0" collapsed="false">
      <c r="A218" s="31"/>
      <c r="B218" s="31"/>
      <c r="C218" s="31"/>
      <c r="D218" s="31"/>
      <c r="E218" s="31"/>
      <c r="F218" s="31"/>
      <c r="G218" s="31"/>
      <c r="H218" s="31"/>
    </row>
    <row r="219" customFormat="false" ht="15" hidden="false" customHeight="false" outlineLevel="0" collapsed="false">
      <c r="A219" s="31"/>
      <c r="B219" s="31"/>
      <c r="C219" s="31"/>
      <c r="D219" s="31"/>
      <c r="E219" s="31"/>
      <c r="F219" s="31"/>
      <c r="G219" s="31"/>
      <c r="H219" s="31"/>
    </row>
    <row r="220" customFormat="false" ht="15" hidden="false" customHeight="false" outlineLevel="0" collapsed="false">
      <c r="A220" s="31"/>
      <c r="B220" s="31"/>
      <c r="C220" s="31"/>
      <c r="D220" s="31"/>
      <c r="E220" s="31"/>
      <c r="F220" s="31"/>
      <c r="G220" s="31"/>
      <c r="H220" s="31"/>
    </row>
    <row r="221" customFormat="false" ht="15" hidden="false" customHeight="false" outlineLevel="0" collapsed="false">
      <c r="A221" s="31"/>
      <c r="B221" s="31"/>
      <c r="C221" s="31"/>
      <c r="D221" s="31"/>
      <c r="E221" s="31"/>
      <c r="F221" s="31"/>
      <c r="G221" s="31"/>
      <c r="H221" s="31"/>
    </row>
    <row r="222" customFormat="false" ht="15" hidden="false" customHeight="false" outlineLevel="0" collapsed="false">
      <c r="A222" s="31"/>
      <c r="B222" s="31"/>
      <c r="C222" s="31"/>
      <c r="D222" s="31"/>
      <c r="E222" s="31"/>
      <c r="F222" s="31"/>
      <c r="G222" s="31"/>
      <c r="H222" s="31"/>
    </row>
    <row r="223" customFormat="false" ht="15" hidden="false" customHeight="false" outlineLevel="0" collapsed="false">
      <c r="A223" s="31"/>
      <c r="B223" s="31"/>
      <c r="C223" s="31"/>
      <c r="D223" s="31"/>
      <c r="E223" s="31"/>
      <c r="F223" s="31"/>
      <c r="G223" s="31"/>
      <c r="H223" s="31"/>
    </row>
    <row r="224" customFormat="false" ht="15" hidden="false" customHeight="false" outlineLevel="0" collapsed="false">
      <c r="A224" s="31"/>
      <c r="B224" s="31"/>
      <c r="C224" s="31"/>
      <c r="D224" s="31"/>
      <c r="E224" s="31"/>
      <c r="F224" s="31"/>
      <c r="G224" s="31"/>
      <c r="H224" s="31"/>
    </row>
    <row r="225" customFormat="false" ht="15" hidden="false" customHeight="false" outlineLevel="0" collapsed="false">
      <c r="A225" s="31"/>
      <c r="B225" s="31"/>
      <c r="C225" s="31"/>
      <c r="D225" s="31"/>
      <c r="E225" s="31"/>
      <c r="F225" s="31"/>
      <c r="G225" s="31"/>
      <c r="H225" s="31"/>
    </row>
    <row r="226" customFormat="false" ht="15" hidden="false" customHeight="false" outlineLevel="0" collapsed="false">
      <c r="A226" s="31"/>
      <c r="B226" s="31"/>
      <c r="C226" s="31"/>
      <c r="D226" s="31"/>
      <c r="E226" s="31"/>
      <c r="F226" s="31"/>
      <c r="G226" s="31"/>
      <c r="H226" s="31"/>
    </row>
    <row r="227" customFormat="false" ht="15" hidden="false" customHeight="false" outlineLevel="0" collapsed="false">
      <c r="A227" s="31"/>
      <c r="B227" s="31"/>
      <c r="C227" s="31"/>
      <c r="D227" s="31"/>
      <c r="E227" s="31"/>
      <c r="F227" s="31"/>
      <c r="G227" s="31"/>
      <c r="H227" s="31"/>
    </row>
    <row r="228" customFormat="false" ht="15" hidden="false" customHeight="false" outlineLevel="0" collapsed="false">
      <c r="A228" s="31"/>
      <c r="B228" s="31"/>
      <c r="C228" s="31"/>
      <c r="D228" s="31"/>
      <c r="E228" s="31"/>
      <c r="F228" s="31"/>
      <c r="G228" s="31"/>
      <c r="H228" s="31"/>
    </row>
    <row r="229" customFormat="false" ht="15" hidden="false" customHeight="false" outlineLevel="0" collapsed="false">
      <c r="A229" s="31"/>
      <c r="B229" s="31"/>
      <c r="C229" s="31"/>
      <c r="D229" s="31"/>
      <c r="E229" s="31"/>
      <c r="F229" s="31"/>
      <c r="G229" s="31"/>
      <c r="H229" s="31"/>
    </row>
    <row r="230" customFormat="false" ht="15" hidden="false" customHeight="false" outlineLevel="0" collapsed="false">
      <c r="A230" s="31"/>
      <c r="B230" s="31"/>
      <c r="C230" s="31"/>
      <c r="D230" s="31"/>
      <c r="E230" s="31"/>
      <c r="F230" s="31"/>
      <c r="G230" s="31"/>
      <c r="H230" s="31"/>
    </row>
    <row r="231" customFormat="false" ht="15" hidden="false" customHeight="false" outlineLevel="0" collapsed="false">
      <c r="A231" s="31"/>
      <c r="B231" s="31"/>
      <c r="C231" s="31"/>
      <c r="D231" s="31"/>
      <c r="E231" s="31"/>
      <c r="F231" s="31"/>
      <c r="G231" s="31"/>
      <c r="H231" s="31"/>
    </row>
    <row r="232" customFormat="false" ht="15" hidden="false" customHeight="false" outlineLevel="0" collapsed="false">
      <c r="A232" s="31"/>
      <c r="B232" s="31"/>
      <c r="C232" s="31"/>
      <c r="D232" s="31"/>
      <c r="E232" s="31"/>
      <c r="F232" s="31"/>
      <c r="G232" s="31"/>
      <c r="H232" s="31"/>
    </row>
    <row r="233" customFormat="false" ht="15" hidden="false" customHeight="false" outlineLevel="0" collapsed="false">
      <c r="A233" s="31"/>
      <c r="B233" s="31"/>
      <c r="C233" s="31"/>
      <c r="D233" s="31"/>
      <c r="E233" s="31"/>
      <c r="F233" s="31"/>
      <c r="G233" s="31"/>
      <c r="H233" s="31"/>
    </row>
    <row r="234" customFormat="false" ht="15" hidden="false" customHeight="false" outlineLevel="0" collapsed="false">
      <c r="A234" s="31"/>
      <c r="B234" s="31"/>
      <c r="C234" s="31"/>
      <c r="D234" s="31"/>
      <c r="E234" s="31"/>
      <c r="F234" s="31"/>
      <c r="G234" s="31"/>
      <c r="H234" s="31"/>
    </row>
    <row r="235" customFormat="false" ht="15" hidden="false" customHeight="false" outlineLevel="0" collapsed="false">
      <c r="A235" s="31"/>
      <c r="B235" s="31"/>
      <c r="C235" s="31"/>
      <c r="D235" s="31"/>
      <c r="E235" s="31"/>
      <c r="F235" s="31"/>
      <c r="G235" s="31"/>
      <c r="H235" s="31"/>
    </row>
    <row r="236" customFormat="false" ht="15" hidden="false" customHeight="false" outlineLevel="0" collapsed="false">
      <c r="A236" s="31"/>
      <c r="B236" s="31"/>
      <c r="C236" s="31"/>
      <c r="D236" s="31"/>
      <c r="E236" s="31"/>
      <c r="F236" s="31"/>
      <c r="G236" s="31"/>
      <c r="H236" s="31"/>
    </row>
    <row r="237" customFormat="false" ht="15" hidden="false" customHeight="false" outlineLevel="0" collapsed="false">
      <c r="A237" s="31"/>
      <c r="B237" s="31"/>
      <c r="C237" s="31"/>
      <c r="D237" s="31"/>
      <c r="E237" s="31"/>
      <c r="F237" s="31"/>
      <c r="G237" s="31"/>
      <c r="H237" s="31"/>
    </row>
    <row r="238" customFormat="false" ht="15" hidden="false" customHeight="false" outlineLevel="0" collapsed="false">
      <c r="A238" s="31"/>
      <c r="B238" s="31"/>
      <c r="C238" s="31"/>
      <c r="D238" s="31"/>
      <c r="E238" s="31"/>
      <c r="F238" s="31"/>
      <c r="G238" s="31"/>
      <c r="H238" s="31"/>
    </row>
    <row r="239" customFormat="false" ht="15" hidden="false" customHeight="false" outlineLevel="0" collapsed="false">
      <c r="A239" s="31"/>
      <c r="B239" s="31"/>
      <c r="C239" s="31"/>
      <c r="D239" s="31"/>
      <c r="E239" s="31"/>
      <c r="F239" s="31"/>
      <c r="G239" s="31"/>
      <c r="H239" s="31"/>
    </row>
    <row r="240" customFormat="false" ht="15" hidden="false" customHeight="false" outlineLevel="0" collapsed="false">
      <c r="A240" s="31"/>
      <c r="B240" s="31"/>
      <c r="C240" s="31"/>
      <c r="D240" s="31"/>
      <c r="E240" s="31"/>
      <c r="F240" s="31"/>
      <c r="G240" s="31"/>
      <c r="H240" s="31"/>
    </row>
    <row r="241" customFormat="false" ht="15" hidden="false" customHeight="false" outlineLevel="0" collapsed="false">
      <c r="A241" s="31"/>
      <c r="B241" s="31"/>
      <c r="C241" s="31"/>
      <c r="D241" s="31"/>
      <c r="E241" s="31"/>
      <c r="F241" s="31"/>
      <c r="G241" s="31"/>
      <c r="H241" s="31"/>
    </row>
    <row r="242" customFormat="false" ht="15" hidden="false" customHeight="false" outlineLevel="0" collapsed="false">
      <c r="A242" s="31"/>
      <c r="B242" s="31"/>
      <c r="C242" s="31"/>
      <c r="D242" s="31"/>
      <c r="E242" s="31"/>
      <c r="F242" s="31"/>
      <c r="G242" s="31"/>
      <c r="H242" s="31"/>
    </row>
    <row r="243" customFormat="false" ht="15" hidden="false" customHeight="false" outlineLevel="0" collapsed="false">
      <c r="A243" s="31"/>
      <c r="B243" s="31"/>
      <c r="C243" s="31"/>
      <c r="D243" s="31"/>
      <c r="E243" s="31"/>
      <c r="F243" s="31"/>
      <c r="G243" s="31"/>
      <c r="H243" s="31"/>
    </row>
    <row r="244" customFormat="false" ht="15" hidden="false" customHeight="false" outlineLevel="0" collapsed="false">
      <c r="A244" s="31"/>
      <c r="B244" s="31"/>
      <c r="C244" s="31"/>
      <c r="D244" s="31"/>
      <c r="E244" s="31"/>
      <c r="F244" s="31"/>
      <c r="G244" s="31"/>
      <c r="H244" s="31"/>
    </row>
    <row r="245" customFormat="false" ht="15" hidden="false" customHeight="false" outlineLevel="0" collapsed="false">
      <c r="A245" s="31"/>
      <c r="B245" s="31"/>
      <c r="C245" s="31"/>
      <c r="D245" s="31"/>
      <c r="E245" s="31"/>
      <c r="F245" s="31"/>
      <c r="G245" s="31"/>
      <c r="H245" s="31"/>
    </row>
    <row r="246" customFormat="false" ht="15" hidden="false" customHeight="false" outlineLevel="0" collapsed="false">
      <c r="A246" s="31"/>
      <c r="B246" s="31"/>
      <c r="C246" s="31"/>
      <c r="D246" s="31"/>
      <c r="E246" s="31"/>
      <c r="F246" s="31"/>
      <c r="G246" s="31"/>
      <c r="H246" s="31"/>
    </row>
    <row r="247" customFormat="false" ht="15" hidden="false" customHeight="false" outlineLevel="0" collapsed="false">
      <c r="A247" s="31"/>
      <c r="B247" s="31"/>
      <c r="C247" s="31"/>
      <c r="D247" s="31"/>
      <c r="E247" s="31"/>
      <c r="F247" s="31"/>
      <c r="G247" s="31"/>
      <c r="H247" s="31"/>
    </row>
    <row r="248" customFormat="false" ht="15" hidden="false" customHeight="false" outlineLevel="0" collapsed="false">
      <c r="A248" s="31"/>
      <c r="B248" s="31"/>
      <c r="C248" s="31"/>
      <c r="D248" s="31"/>
      <c r="E248" s="31"/>
      <c r="F248" s="31"/>
      <c r="G248" s="31"/>
      <c r="H248" s="31"/>
    </row>
    <row r="249" customFormat="false" ht="15" hidden="false" customHeight="false" outlineLevel="0" collapsed="false">
      <c r="A249" s="31"/>
      <c r="B249" s="31"/>
      <c r="C249" s="31"/>
      <c r="D249" s="31"/>
      <c r="E249" s="31"/>
      <c r="F249" s="31"/>
      <c r="G249" s="31"/>
      <c r="H249" s="31"/>
    </row>
    <row r="250" customFormat="false" ht="15" hidden="false" customHeight="false" outlineLevel="0" collapsed="false">
      <c r="A250" s="31"/>
      <c r="B250" s="31"/>
      <c r="C250" s="31"/>
      <c r="D250" s="31"/>
      <c r="E250" s="31"/>
      <c r="F250" s="31"/>
      <c r="G250" s="31"/>
      <c r="H250" s="31"/>
    </row>
    <row r="251" customFormat="false" ht="15" hidden="false" customHeight="false" outlineLevel="0" collapsed="false">
      <c r="A251" s="31"/>
      <c r="B251" s="31"/>
      <c r="C251" s="31"/>
      <c r="D251" s="31"/>
      <c r="E251" s="31"/>
      <c r="F251" s="31"/>
      <c r="G251" s="31"/>
      <c r="H251" s="31"/>
    </row>
    <row r="252" customFormat="false" ht="15" hidden="false" customHeight="false" outlineLevel="0" collapsed="false">
      <c r="A252" s="31"/>
      <c r="B252" s="31"/>
      <c r="C252" s="31"/>
      <c r="D252" s="31"/>
      <c r="E252" s="31"/>
      <c r="F252" s="31"/>
      <c r="G252" s="31"/>
      <c r="H252" s="31"/>
    </row>
    <row r="253" customFormat="false" ht="15" hidden="false" customHeight="false" outlineLevel="0" collapsed="false">
      <c r="A253" s="31"/>
      <c r="B253" s="31"/>
      <c r="C253" s="31"/>
      <c r="D253" s="31"/>
      <c r="E253" s="31"/>
      <c r="F253" s="31"/>
      <c r="G253" s="31"/>
      <c r="H253" s="31"/>
    </row>
    <row r="254" customFormat="false" ht="15" hidden="false" customHeight="false" outlineLevel="0" collapsed="false">
      <c r="A254" s="31"/>
      <c r="B254" s="31"/>
      <c r="C254" s="31"/>
      <c r="D254" s="31"/>
      <c r="E254" s="31"/>
      <c r="F254" s="31"/>
      <c r="G254" s="31"/>
      <c r="H254" s="31"/>
    </row>
    <row r="255" customFormat="false" ht="15" hidden="false" customHeight="false" outlineLevel="0" collapsed="false">
      <c r="A255" s="31"/>
      <c r="B255" s="31"/>
      <c r="C255" s="31"/>
      <c r="D255" s="31"/>
      <c r="E255" s="31"/>
      <c r="F255" s="31"/>
      <c r="G255" s="31"/>
      <c r="H255" s="31"/>
    </row>
    <row r="256" customFormat="false" ht="15" hidden="false" customHeight="false" outlineLevel="0" collapsed="false">
      <c r="A256" s="31"/>
      <c r="B256" s="31"/>
      <c r="C256" s="31"/>
      <c r="D256" s="31"/>
      <c r="E256" s="31"/>
      <c r="F256" s="31"/>
      <c r="G256" s="31"/>
      <c r="H256" s="31"/>
    </row>
    <row r="257" customFormat="false" ht="15" hidden="false" customHeight="false" outlineLevel="0" collapsed="false">
      <c r="A257" s="31"/>
      <c r="B257" s="31"/>
      <c r="C257" s="31"/>
      <c r="D257" s="31"/>
      <c r="E257" s="31"/>
      <c r="F257" s="31"/>
      <c r="G257" s="31"/>
      <c r="H257" s="31"/>
    </row>
    <row r="258" customFormat="false" ht="15" hidden="false" customHeight="false" outlineLevel="0" collapsed="false">
      <c r="A258" s="31"/>
      <c r="B258" s="31"/>
      <c r="C258" s="31"/>
      <c r="D258" s="31"/>
      <c r="E258" s="31"/>
      <c r="F258" s="31"/>
      <c r="G258" s="31"/>
      <c r="H258" s="31"/>
    </row>
    <row r="259" customFormat="false" ht="15" hidden="false" customHeight="false" outlineLevel="0" collapsed="false">
      <c r="A259" s="31"/>
      <c r="B259" s="31"/>
      <c r="C259" s="31"/>
      <c r="D259" s="31"/>
      <c r="E259" s="31"/>
      <c r="F259" s="31"/>
      <c r="G259" s="31"/>
      <c r="H259" s="31"/>
    </row>
    <row r="260" customFormat="false" ht="15" hidden="false" customHeight="false" outlineLevel="0" collapsed="false">
      <c r="A260" s="31"/>
      <c r="B260" s="31"/>
      <c r="C260" s="31"/>
      <c r="D260" s="31"/>
      <c r="E260" s="31"/>
      <c r="F260" s="31"/>
      <c r="G260" s="31"/>
      <c r="H260" s="31"/>
    </row>
    <row r="261" customFormat="false" ht="15" hidden="false" customHeight="false" outlineLevel="0" collapsed="false">
      <c r="A261" s="31"/>
      <c r="B261" s="31"/>
      <c r="C261" s="31"/>
      <c r="D261" s="31"/>
      <c r="E261" s="31"/>
      <c r="F261" s="31"/>
      <c r="G261" s="31"/>
      <c r="H261" s="31"/>
    </row>
    <row r="262" customFormat="false" ht="15" hidden="false" customHeight="false" outlineLevel="0" collapsed="false">
      <c r="A262" s="31"/>
      <c r="B262" s="31"/>
      <c r="C262" s="31"/>
      <c r="D262" s="31"/>
      <c r="E262" s="31"/>
      <c r="F262" s="31"/>
      <c r="G262" s="31"/>
      <c r="H262" s="31"/>
    </row>
    <row r="263" customFormat="false" ht="15" hidden="false" customHeight="false" outlineLevel="0" collapsed="false">
      <c r="A263" s="31"/>
      <c r="B263" s="31"/>
      <c r="C263" s="31"/>
      <c r="D263" s="31"/>
      <c r="E263" s="31"/>
      <c r="F263" s="31"/>
      <c r="G263" s="31"/>
      <c r="H263" s="31"/>
    </row>
    <row r="264" customFormat="false" ht="15" hidden="false" customHeight="false" outlineLevel="0" collapsed="false">
      <c r="A264" s="31"/>
      <c r="B264" s="31"/>
      <c r="C264" s="31"/>
      <c r="D264" s="31"/>
      <c r="E264" s="31"/>
      <c r="F264" s="31"/>
      <c r="G264" s="31"/>
      <c r="H264" s="31"/>
    </row>
    <row r="265" customFormat="false" ht="15" hidden="false" customHeight="false" outlineLevel="0" collapsed="false">
      <c r="A265" s="31"/>
      <c r="B265" s="31"/>
      <c r="C265" s="31"/>
      <c r="D265" s="31"/>
      <c r="E265" s="31"/>
      <c r="F265" s="31"/>
      <c r="G265" s="31"/>
      <c r="H265" s="31"/>
    </row>
    <row r="266" customFormat="false" ht="15" hidden="false" customHeight="false" outlineLevel="0" collapsed="false">
      <c r="A266" s="31"/>
      <c r="B266" s="31"/>
      <c r="C266" s="31"/>
      <c r="D266" s="31"/>
      <c r="E266" s="31"/>
      <c r="F266" s="31"/>
      <c r="G266" s="31"/>
      <c r="H266" s="31"/>
    </row>
    <row r="267" customFormat="false" ht="15" hidden="false" customHeight="false" outlineLevel="0" collapsed="false">
      <c r="A267" s="31"/>
      <c r="B267" s="31"/>
      <c r="C267" s="31"/>
      <c r="D267" s="31"/>
      <c r="E267" s="31"/>
      <c r="F267" s="31"/>
      <c r="G267" s="31"/>
      <c r="H267" s="31"/>
    </row>
    <row r="268" customFormat="false" ht="15" hidden="false" customHeight="false" outlineLevel="0" collapsed="false">
      <c r="A268" s="31"/>
      <c r="B268" s="31"/>
      <c r="C268" s="31"/>
      <c r="D268" s="31"/>
      <c r="E268" s="31"/>
      <c r="F268" s="31"/>
      <c r="G268" s="31"/>
      <c r="H268" s="31"/>
    </row>
    <row r="269" customFormat="false" ht="15" hidden="false" customHeight="false" outlineLevel="0" collapsed="false">
      <c r="A269" s="31"/>
      <c r="B269" s="31"/>
      <c r="C269" s="31"/>
      <c r="D269" s="31"/>
      <c r="E269" s="31"/>
      <c r="F269" s="31"/>
      <c r="G269" s="31"/>
      <c r="H269" s="31"/>
    </row>
    <row r="270" customFormat="false" ht="15" hidden="false" customHeight="false" outlineLevel="0" collapsed="false">
      <c r="A270" s="31"/>
      <c r="B270" s="31"/>
      <c r="C270" s="31"/>
      <c r="D270" s="31"/>
      <c r="E270" s="31"/>
      <c r="F270" s="31"/>
      <c r="G270" s="31"/>
      <c r="H270" s="31"/>
    </row>
    <row r="271" customFormat="false" ht="15" hidden="false" customHeight="false" outlineLevel="0" collapsed="false">
      <c r="A271" s="31"/>
      <c r="B271" s="31"/>
      <c r="C271" s="31"/>
      <c r="D271" s="31"/>
      <c r="E271" s="31"/>
      <c r="F271" s="31"/>
      <c r="G271" s="31"/>
      <c r="H271" s="31"/>
    </row>
    <row r="272" customFormat="false" ht="15" hidden="false" customHeight="false" outlineLevel="0" collapsed="false">
      <c r="A272" s="31"/>
      <c r="B272" s="31"/>
      <c r="C272" s="31"/>
      <c r="D272" s="31"/>
      <c r="E272" s="31"/>
      <c r="F272" s="31"/>
      <c r="G272" s="31"/>
      <c r="H272" s="31"/>
    </row>
    <row r="273" customFormat="false" ht="15" hidden="false" customHeight="false" outlineLevel="0" collapsed="false">
      <c r="A273" s="31"/>
      <c r="B273" s="31"/>
      <c r="C273" s="31"/>
      <c r="D273" s="31"/>
      <c r="E273" s="31"/>
      <c r="F273" s="31"/>
      <c r="G273" s="31"/>
      <c r="H273" s="31"/>
    </row>
    <row r="274" customFormat="false" ht="15" hidden="false" customHeight="false" outlineLevel="0" collapsed="false">
      <c r="A274" s="31"/>
      <c r="B274" s="31"/>
      <c r="C274" s="31"/>
      <c r="D274" s="31"/>
      <c r="E274" s="31"/>
      <c r="F274" s="31"/>
      <c r="G274" s="31"/>
      <c r="H274" s="31"/>
    </row>
    <row r="275" customFormat="false" ht="15" hidden="false" customHeight="false" outlineLevel="0" collapsed="false">
      <c r="A275" s="31"/>
      <c r="B275" s="31"/>
      <c r="C275" s="31"/>
      <c r="D275" s="31"/>
      <c r="E275" s="31"/>
      <c r="F275" s="31"/>
      <c r="G275" s="31"/>
      <c r="H275" s="31"/>
    </row>
    <row r="276" customFormat="false" ht="15" hidden="false" customHeight="false" outlineLevel="0" collapsed="false">
      <c r="A276" s="31"/>
      <c r="B276" s="31"/>
      <c r="C276" s="31"/>
      <c r="D276" s="31"/>
      <c r="E276" s="31"/>
      <c r="F276" s="31"/>
      <c r="G276" s="31"/>
      <c r="H276" s="31"/>
    </row>
    <row r="277" customFormat="false" ht="15" hidden="false" customHeight="false" outlineLevel="0" collapsed="false">
      <c r="A277" s="31"/>
      <c r="B277" s="31"/>
      <c r="C277" s="31"/>
      <c r="D277" s="31"/>
      <c r="E277" s="31"/>
      <c r="F277" s="31"/>
      <c r="G277" s="31"/>
      <c r="H277" s="31"/>
    </row>
    <row r="278" customFormat="false" ht="15" hidden="false" customHeight="false" outlineLevel="0" collapsed="false">
      <c r="A278" s="31"/>
      <c r="B278" s="31"/>
      <c r="C278" s="31"/>
      <c r="D278" s="31"/>
      <c r="E278" s="31"/>
      <c r="F278" s="31"/>
      <c r="G278" s="31"/>
      <c r="H278" s="31"/>
    </row>
    <row r="279" customFormat="false" ht="15" hidden="false" customHeight="false" outlineLevel="0" collapsed="false">
      <c r="A279" s="31"/>
      <c r="B279" s="31"/>
      <c r="C279" s="31"/>
      <c r="D279" s="31"/>
      <c r="E279" s="31"/>
      <c r="F279" s="31"/>
      <c r="G279" s="31"/>
      <c r="H279" s="31"/>
    </row>
    <row r="280" customFormat="false" ht="15" hidden="false" customHeight="false" outlineLevel="0" collapsed="false">
      <c r="A280" s="31"/>
      <c r="B280" s="31"/>
      <c r="C280" s="31"/>
      <c r="D280" s="31"/>
      <c r="E280" s="31"/>
      <c r="F280" s="31"/>
      <c r="G280" s="31"/>
      <c r="H280" s="31"/>
    </row>
    <row r="281" customFormat="false" ht="15" hidden="false" customHeight="false" outlineLevel="0" collapsed="false">
      <c r="A281" s="31"/>
      <c r="B281" s="31"/>
      <c r="C281" s="31"/>
      <c r="D281" s="31"/>
      <c r="E281" s="31"/>
      <c r="F281" s="31"/>
      <c r="G281" s="31"/>
      <c r="H281" s="31"/>
    </row>
    <row r="282" customFormat="false" ht="15" hidden="false" customHeight="false" outlineLevel="0" collapsed="false">
      <c r="A282" s="31"/>
      <c r="B282" s="31"/>
      <c r="C282" s="31"/>
      <c r="D282" s="31"/>
      <c r="E282" s="31"/>
      <c r="F282" s="31"/>
      <c r="G282" s="31"/>
      <c r="H282" s="31"/>
    </row>
    <row r="283" customFormat="false" ht="15" hidden="false" customHeight="false" outlineLevel="0" collapsed="false">
      <c r="A283" s="31"/>
      <c r="B283" s="31"/>
      <c r="C283" s="31"/>
      <c r="D283" s="31"/>
      <c r="E283" s="31"/>
      <c r="F283" s="31"/>
      <c r="G283" s="31"/>
      <c r="H283" s="31"/>
    </row>
    <row r="284" customFormat="false" ht="15" hidden="false" customHeight="false" outlineLevel="0" collapsed="false">
      <c r="A284" s="31"/>
      <c r="B284" s="31"/>
      <c r="C284" s="31"/>
      <c r="D284" s="31"/>
      <c r="E284" s="31"/>
      <c r="F284" s="31"/>
      <c r="G284" s="31"/>
      <c r="H284" s="31"/>
    </row>
    <row r="285" customFormat="false" ht="15" hidden="false" customHeight="false" outlineLevel="0" collapsed="false">
      <c r="A285" s="31"/>
      <c r="B285" s="31"/>
      <c r="C285" s="31"/>
      <c r="D285" s="31"/>
      <c r="E285" s="31"/>
      <c r="F285" s="31"/>
      <c r="G285" s="31"/>
      <c r="H285" s="31"/>
    </row>
    <row r="286" customFormat="false" ht="15" hidden="false" customHeight="false" outlineLevel="0" collapsed="false">
      <c r="A286" s="31"/>
      <c r="B286" s="31"/>
      <c r="C286" s="31"/>
      <c r="D286" s="31"/>
      <c r="E286" s="31"/>
      <c r="F286" s="31"/>
      <c r="G286" s="31"/>
      <c r="H286" s="31"/>
    </row>
    <row r="287" customFormat="false" ht="15" hidden="false" customHeight="false" outlineLevel="0" collapsed="false">
      <c r="A287" s="31"/>
      <c r="B287" s="31"/>
      <c r="C287" s="31"/>
      <c r="D287" s="31"/>
      <c r="E287" s="31"/>
      <c r="F287" s="31"/>
      <c r="G287" s="31"/>
      <c r="H287" s="31"/>
    </row>
    <row r="288" customFormat="false" ht="15" hidden="false" customHeight="false" outlineLevel="0" collapsed="false">
      <c r="A288" s="31"/>
      <c r="B288" s="31"/>
      <c r="C288" s="31"/>
      <c r="D288" s="31"/>
      <c r="E288" s="31"/>
      <c r="F288" s="31"/>
      <c r="G288" s="31"/>
      <c r="H288" s="31"/>
    </row>
    <row r="289" customFormat="false" ht="15" hidden="false" customHeight="false" outlineLevel="0" collapsed="false">
      <c r="A289" s="31"/>
      <c r="B289" s="31"/>
      <c r="C289" s="31"/>
      <c r="D289" s="31"/>
      <c r="E289" s="31"/>
      <c r="F289" s="31"/>
      <c r="G289" s="31"/>
      <c r="H289" s="31"/>
    </row>
    <row r="290" customFormat="false" ht="15" hidden="false" customHeight="false" outlineLevel="0" collapsed="false">
      <c r="A290" s="31"/>
      <c r="B290" s="31"/>
      <c r="C290" s="31"/>
      <c r="D290" s="31"/>
      <c r="E290" s="31"/>
      <c r="F290" s="31"/>
      <c r="G290" s="31"/>
      <c r="H290" s="31"/>
    </row>
    <row r="291" customFormat="false" ht="15" hidden="false" customHeight="false" outlineLevel="0" collapsed="false">
      <c r="A291" s="31"/>
      <c r="B291" s="31"/>
      <c r="C291" s="31"/>
      <c r="D291" s="31"/>
      <c r="E291" s="31"/>
      <c r="F291" s="31"/>
      <c r="G291" s="31"/>
      <c r="H291" s="31"/>
    </row>
    <row r="292" customFormat="false" ht="15" hidden="false" customHeight="false" outlineLevel="0" collapsed="false">
      <c r="A292" s="31"/>
      <c r="B292" s="31"/>
      <c r="C292" s="31"/>
      <c r="D292" s="31"/>
      <c r="E292" s="31"/>
      <c r="F292" s="31"/>
      <c r="G292" s="31"/>
      <c r="H292" s="31"/>
    </row>
    <row r="293" customFormat="false" ht="15" hidden="false" customHeight="false" outlineLevel="0" collapsed="false">
      <c r="A293" s="31"/>
      <c r="B293" s="31"/>
      <c r="C293" s="31"/>
      <c r="D293" s="31"/>
      <c r="E293" s="31"/>
      <c r="F293" s="31"/>
      <c r="G293" s="31"/>
      <c r="H293" s="31"/>
    </row>
    <row r="294" customFormat="false" ht="15" hidden="false" customHeight="false" outlineLevel="0" collapsed="false">
      <c r="A294" s="31"/>
      <c r="B294" s="31"/>
      <c r="C294" s="31"/>
      <c r="D294" s="31"/>
      <c r="E294" s="31"/>
      <c r="F294" s="31"/>
      <c r="G294" s="31"/>
      <c r="H294" s="31"/>
    </row>
    <row r="295" customFormat="false" ht="15" hidden="false" customHeight="false" outlineLevel="0" collapsed="false">
      <c r="A295" s="31"/>
      <c r="B295" s="31"/>
      <c r="C295" s="31"/>
      <c r="D295" s="31"/>
      <c r="E295" s="31"/>
      <c r="F295" s="31"/>
      <c r="G295" s="31"/>
      <c r="H295" s="31"/>
    </row>
    <row r="296" customFormat="false" ht="15" hidden="false" customHeight="false" outlineLevel="0" collapsed="false">
      <c r="A296" s="31"/>
      <c r="B296" s="31"/>
      <c r="C296" s="31"/>
      <c r="D296" s="31"/>
      <c r="E296" s="31"/>
      <c r="F296" s="31"/>
      <c r="G296" s="31"/>
      <c r="H296" s="31"/>
    </row>
    <row r="297" customFormat="false" ht="15" hidden="false" customHeight="false" outlineLevel="0" collapsed="false">
      <c r="A297" s="31"/>
      <c r="B297" s="31"/>
      <c r="C297" s="31"/>
      <c r="D297" s="31"/>
      <c r="E297" s="31"/>
      <c r="F297" s="31"/>
      <c r="G297" s="31"/>
      <c r="H297" s="31"/>
    </row>
    <row r="298" customFormat="false" ht="15" hidden="false" customHeight="false" outlineLevel="0" collapsed="false">
      <c r="A298" s="31"/>
      <c r="B298" s="31"/>
      <c r="C298" s="31"/>
      <c r="D298" s="31"/>
      <c r="E298" s="31"/>
      <c r="F298" s="31"/>
      <c r="G298" s="31"/>
      <c r="H298" s="31"/>
    </row>
    <row r="299" customFormat="false" ht="15" hidden="false" customHeight="false" outlineLevel="0" collapsed="false">
      <c r="A299" s="31"/>
      <c r="B299" s="31"/>
      <c r="C299" s="31"/>
      <c r="D299" s="31"/>
      <c r="E299" s="31"/>
      <c r="F299" s="31"/>
      <c r="G299" s="31"/>
      <c r="H299" s="31"/>
    </row>
    <row r="300" customFormat="false" ht="15" hidden="false" customHeight="false" outlineLevel="0" collapsed="false">
      <c r="A300" s="31"/>
      <c r="B300" s="31"/>
      <c r="C300" s="31"/>
      <c r="D300" s="31"/>
      <c r="E300" s="31"/>
      <c r="F300" s="31"/>
      <c r="G300" s="31"/>
      <c r="H300" s="31"/>
    </row>
    <row r="301" customFormat="false" ht="15" hidden="false" customHeight="false" outlineLevel="0" collapsed="false">
      <c r="A301" s="31"/>
      <c r="B301" s="31"/>
      <c r="C301" s="31"/>
      <c r="D301" s="31"/>
      <c r="E301" s="31"/>
      <c r="F301" s="31"/>
      <c r="G301" s="31"/>
      <c r="H301" s="31"/>
    </row>
    <row r="302" customFormat="false" ht="15" hidden="false" customHeight="false" outlineLevel="0" collapsed="false">
      <c r="A302" s="31"/>
      <c r="B302" s="31"/>
      <c r="C302" s="31"/>
      <c r="D302" s="31"/>
      <c r="E302" s="31"/>
      <c r="F302" s="31"/>
      <c r="G302" s="31"/>
      <c r="H302" s="31"/>
    </row>
    <row r="303" customFormat="false" ht="15" hidden="false" customHeight="false" outlineLevel="0" collapsed="false">
      <c r="A303" s="31"/>
      <c r="B303" s="31"/>
      <c r="C303" s="31"/>
      <c r="D303" s="31"/>
      <c r="E303" s="31"/>
      <c r="F303" s="31"/>
      <c r="G303" s="31"/>
      <c r="H303" s="31"/>
    </row>
    <row r="304" customFormat="false" ht="15" hidden="false" customHeight="false" outlineLevel="0" collapsed="false">
      <c r="A304" s="31"/>
      <c r="B304" s="31"/>
      <c r="C304" s="31"/>
      <c r="D304" s="31"/>
      <c r="E304" s="31"/>
      <c r="F304" s="31"/>
      <c r="G304" s="31"/>
      <c r="H304" s="31"/>
    </row>
    <row r="305" customFormat="false" ht="15" hidden="false" customHeight="false" outlineLevel="0" collapsed="false">
      <c r="A305" s="31"/>
      <c r="B305" s="31"/>
      <c r="C305" s="31"/>
      <c r="D305" s="31"/>
      <c r="E305" s="31"/>
      <c r="F305" s="31"/>
      <c r="G305" s="31"/>
      <c r="H305" s="31"/>
    </row>
    <row r="306" customFormat="false" ht="15" hidden="false" customHeight="false" outlineLevel="0" collapsed="false">
      <c r="A306" s="31"/>
      <c r="B306" s="31"/>
      <c r="C306" s="31"/>
      <c r="D306" s="31"/>
      <c r="E306" s="31"/>
      <c r="F306" s="31"/>
      <c r="G306" s="31"/>
      <c r="H306" s="31"/>
    </row>
    <row r="307" customFormat="false" ht="15" hidden="false" customHeight="false" outlineLevel="0" collapsed="false">
      <c r="A307" s="31"/>
      <c r="B307" s="31"/>
      <c r="C307" s="31"/>
      <c r="D307" s="31"/>
      <c r="E307" s="31"/>
      <c r="F307" s="31"/>
      <c r="G307" s="31"/>
      <c r="H307" s="31"/>
    </row>
    <row r="308" customFormat="false" ht="15" hidden="false" customHeight="false" outlineLevel="0" collapsed="false">
      <c r="A308" s="31"/>
      <c r="B308" s="31"/>
      <c r="C308" s="31"/>
      <c r="D308" s="31"/>
      <c r="E308" s="31"/>
      <c r="F308" s="31"/>
      <c r="G308" s="31"/>
      <c r="H308" s="31"/>
    </row>
    <row r="309" customFormat="false" ht="15" hidden="false" customHeight="false" outlineLevel="0" collapsed="false">
      <c r="A309" s="31"/>
      <c r="B309" s="31"/>
      <c r="C309" s="31"/>
      <c r="D309" s="31"/>
      <c r="E309" s="31"/>
      <c r="F309" s="31"/>
      <c r="G309" s="31"/>
      <c r="H309" s="31"/>
    </row>
    <row r="310" customFormat="false" ht="15" hidden="false" customHeight="false" outlineLevel="0" collapsed="false">
      <c r="A310" s="31"/>
      <c r="B310" s="31"/>
      <c r="C310" s="31"/>
      <c r="D310" s="31"/>
      <c r="E310" s="31"/>
      <c r="F310" s="31"/>
      <c r="G310" s="31"/>
      <c r="H310" s="31"/>
    </row>
    <row r="311" customFormat="false" ht="15" hidden="false" customHeight="false" outlineLevel="0" collapsed="false">
      <c r="A311" s="31"/>
      <c r="B311" s="31"/>
      <c r="C311" s="31"/>
      <c r="D311" s="31"/>
      <c r="E311" s="31"/>
      <c r="F311" s="31"/>
      <c r="G311" s="31"/>
      <c r="H311" s="31"/>
    </row>
    <row r="312" customFormat="false" ht="15" hidden="false" customHeight="false" outlineLevel="0" collapsed="false">
      <c r="A312" s="31"/>
      <c r="B312" s="31"/>
      <c r="C312" s="31"/>
      <c r="D312" s="31"/>
      <c r="E312" s="31"/>
      <c r="F312" s="31"/>
      <c r="G312" s="31"/>
      <c r="H312" s="31"/>
    </row>
    <row r="313" customFormat="false" ht="15" hidden="false" customHeight="false" outlineLevel="0" collapsed="false">
      <c r="A313" s="31"/>
      <c r="B313" s="31"/>
      <c r="C313" s="31"/>
      <c r="D313" s="31"/>
      <c r="E313" s="31"/>
      <c r="F313" s="31"/>
      <c r="G313" s="31"/>
      <c r="H313" s="31"/>
    </row>
    <row r="314" customFormat="false" ht="15" hidden="false" customHeight="false" outlineLevel="0" collapsed="false">
      <c r="A314" s="31"/>
      <c r="B314" s="31"/>
      <c r="C314" s="31"/>
      <c r="D314" s="31"/>
      <c r="E314" s="31"/>
      <c r="F314" s="31"/>
      <c r="G314" s="31"/>
      <c r="H314" s="31"/>
    </row>
    <row r="315" customFormat="false" ht="15" hidden="false" customHeight="false" outlineLevel="0" collapsed="false">
      <c r="A315" s="31"/>
      <c r="B315" s="31"/>
      <c r="C315" s="31"/>
      <c r="D315" s="31"/>
      <c r="E315" s="31"/>
      <c r="F315" s="31"/>
      <c r="G315" s="31"/>
      <c r="H315" s="31"/>
    </row>
    <row r="316" customFormat="false" ht="15" hidden="false" customHeight="false" outlineLevel="0" collapsed="false">
      <c r="A316" s="31"/>
      <c r="B316" s="31"/>
      <c r="C316" s="31"/>
      <c r="D316" s="31"/>
      <c r="E316" s="31"/>
      <c r="F316" s="31"/>
      <c r="G316" s="31"/>
      <c r="H316" s="31"/>
    </row>
    <row r="317" customFormat="false" ht="15" hidden="false" customHeight="false" outlineLevel="0" collapsed="false">
      <c r="A317" s="31"/>
      <c r="B317" s="31"/>
      <c r="C317" s="31"/>
      <c r="D317" s="31"/>
      <c r="E317" s="31"/>
      <c r="F317" s="31"/>
      <c r="G317" s="31"/>
      <c r="H317" s="31"/>
    </row>
    <row r="318" customFormat="false" ht="15" hidden="false" customHeight="false" outlineLevel="0" collapsed="false">
      <c r="A318" s="31"/>
      <c r="B318" s="31"/>
      <c r="C318" s="31"/>
      <c r="D318" s="31"/>
      <c r="E318" s="31"/>
      <c r="F318" s="31"/>
      <c r="G318" s="31"/>
      <c r="H318" s="31"/>
    </row>
    <row r="319" customFormat="false" ht="15" hidden="false" customHeight="false" outlineLevel="0" collapsed="false">
      <c r="A319" s="31"/>
      <c r="B319" s="31"/>
      <c r="C319" s="31"/>
      <c r="D319" s="31"/>
      <c r="E319" s="31"/>
      <c r="F319" s="31"/>
      <c r="G319" s="31"/>
      <c r="H319" s="31"/>
    </row>
    <row r="320" customFormat="false" ht="15" hidden="false" customHeight="false" outlineLevel="0" collapsed="false">
      <c r="A320" s="31"/>
      <c r="B320" s="31"/>
      <c r="C320" s="31"/>
      <c r="D320" s="31"/>
      <c r="E320" s="31"/>
      <c r="F320" s="31"/>
      <c r="G320" s="31"/>
      <c r="H320" s="31"/>
    </row>
    <row r="321" customFormat="false" ht="15" hidden="false" customHeight="false" outlineLevel="0" collapsed="false">
      <c r="A321" s="31"/>
      <c r="B321" s="31"/>
      <c r="C321" s="31"/>
      <c r="D321" s="31"/>
      <c r="E321" s="31"/>
      <c r="F321" s="31"/>
      <c r="G321" s="31"/>
      <c r="H321" s="31"/>
    </row>
    <row r="322" customFormat="false" ht="15" hidden="false" customHeight="false" outlineLevel="0" collapsed="false">
      <c r="A322" s="31"/>
      <c r="B322" s="31"/>
      <c r="C322" s="31"/>
      <c r="D322" s="31"/>
      <c r="E322" s="31"/>
      <c r="F322" s="31"/>
      <c r="G322" s="31"/>
      <c r="H322" s="31"/>
    </row>
    <row r="323" customFormat="false" ht="15" hidden="false" customHeight="false" outlineLevel="0" collapsed="false">
      <c r="A323" s="31"/>
      <c r="B323" s="31"/>
      <c r="C323" s="31"/>
      <c r="D323" s="31"/>
      <c r="E323" s="31"/>
      <c r="F323" s="31"/>
      <c r="G323" s="31"/>
      <c r="H323" s="31"/>
    </row>
    <row r="324" customFormat="false" ht="15" hidden="false" customHeight="false" outlineLevel="0" collapsed="false">
      <c r="A324" s="31"/>
      <c r="B324" s="31"/>
      <c r="C324" s="31"/>
      <c r="D324" s="31"/>
      <c r="E324" s="31"/>
      <c r="F324" s="31"/>
      <c r="G324" s="31"/>
      <c r="H324" s="31"/>
    </row>
    <row r="325" customFormat="false" ht="15" hidden="false" customHeight="false" outlineLevel="0" collapsed="false">
      <c r="A325" s="31"/>
      <c r="B325" s="31"/>
      <c r="C325" s="31"/>
      <c r="D325" s="31"/>
      <c r="E325" s="31"/>
      <c r="F325" s="31"/>
      <c r="G325" s="31"/>
      <c r="H325" s="31"/>
    </row>
    <row r="326" customFormat="false" ht="15" hidden="false" customHeight="false" outlineLevel="0" collapsed="false">
      <c r="A326" s="31"/>
      <c r="B326" s="31"/>
      <c r="C326" s="31"/>
      <c r="D326" s="31"/>
      <c r="E326" s="31"/>
      <c r="F326" s="31"/>
      <c r="G326" s="31"/>
      <c r="H326" s="31"/>
    </row>
    <row r="327" customFormat="false" ht="15" hidden="false" customHeight="false" outlineLevel="0" collapsed="false">
      <c r="A327" s="31"/>
      <c r="B327" s="31"/>
      <c r="C327" s="31"/>
      <c r="D327" s="31"/>
      <c r="E327" s="31"/>
      <c r="F327" s="31"/>
      <c r="G327" s="31"/>
      <c r="H327" s="31"/>
    </row>
    <row r="328" customFormat="false" ht="15" hidden="false" customHeight="false" outlineLevel="0" collapsed="false">
      <c r="A328" s="31"/>
      <c r="B328" s="31"/>
      <c r="C328" s="31"/>
      <c r="D328" s="31"/>
      <c r="E328" s="31"/>
      <c r="F328" s="31"/>
      <c r="G328" s="31"/>
      <c r="H328" s="31"/>
    </row>
    <row r="329" customFormat="false" ht="15" hidden="false" customHeight="false" outlineLevel="0" collapsed="false">
      <c r="A329" s="31"/>
      <c r="B329" s="31"/>
      <c r="C329" s="31"/>
      <c r="D329" s="31"/>
      <c r="E329" s="31"/>
      <c r="F329" s="31"/>
      <c r="G329" s="31"/>
      <c r="H329" s="31"/>
    </row>
    <row r="330" customFormat="false" ht="15" hidden="false" customHeight="false" outlineLevel="0" collapsed="false">
      <c r="A330" s="31"/>
      <c r="B330" s="31"/>
      <c r="C330" s="31"/>
      <c r="D330" s="31"/>
      <c r="E330" s="31"/>
      <c r="F330" s="31"/>
      <c r="G330" s="31"/>
      <c r="H330" s="31"/>
    </row>
    <row r="331" customFormat="false" ht="15" hidden="false" customHeight="false" outlineLevel="0" collapsed="false">
      <c r="A331" s="31"/>
      <c r="B331" s="31"/>
      <c r="C331" s="31"/>
      <c r="D331" s="31"/>
      <c r="E331" s="31"/>
      <c r="F331" s="31"/>
      <c r="G331" s="31"/>
      <c r="H331" s="31"/>
    </row>
    <row r="332" customFormat="false" ht="15" hidden="false" customHeight="false" outlineLevel="0" collapsed="false">
      <c r="A332" s="31"/>
      <c r="B332" s="31"/>
      <c r="C332" s="31"/>
      <c r="D332" s="31"/>
      <c r="E332" s="31"/>
      <c r="F332" s="31"/>
      <c r="G332" s="31"/>
      <c r="H332" s="31"/>
    </row>
    <row r="333" customFormat="false" ht="15" hidden="false" customHeight="false" outlineLevel="0" collapsed="false">
      <c r="A333" s="31"/>
      <c r="B333" s="31"/>
      <c r="C333" s="31"/>
      <c r="D333" s="31"/>
      <c r="E333" s="31"/>
      <c r="F333" s="31"/>
      <c r="G333" s="31"/>
      <c r="H333" s="31"/>
    </row>
    <row r="334" customFormat="false" ht="15" hidden="false" customHeight="false" outlineLevel="0" collapsed="false">
      <c r="A334" s="31"/>
      <c r="B334" s="31"/>
      <c r="C334" s="31"/>
      <c r="D334" s="31"/>
      <c r="E334" s="31"/>
      <c r="F334" s="31"/>
      <c r="G334" s="31"/>
      <c r="H334" s="31"/>
    </row>
    <row r="335" customFormat="false" ht="15" hidden="false" customHeight="false" outlineLevel="0" collapsed="false">
      <c r="A335" s="31"/>
      <c r="B335" s="31"/>
      <c r="C335" s="31"/>
      <c r="D335" s="31"/>
      <c r="E335" s="31"/>
      <c r="F335" s="31"/>
      <c r="G335" s="31"/>
      <c r="H335" s="31"/>
    </row>
    <row r="336" customFormat="false" ht="15" hidden="false" customHeight="false" outlineLevel="0" collapsed="false">
      <c r="A336" s="31"/>
      <c r="B336" s="31"/>
      <c r="C336" s="31"/>
      <c r="D336" s="31"/>
      <c r="E336" s="31"/>
      <c r="F336" s="31"/>
      <c r="G336" s="31"/>
      <c r="H336" s="31"/>
    </row>
    <row r="337" customFormat="false" ht="15" hidden="false" customHeight="false" outlineLevel="0" collapsed="false">
      <c r="A337" s="31"/>
      <c r="B337" s="31"/>
      <c r="C337" s="31"/>
      <c r="D337" s="31"/>
      <c r="E337" s="31"/>
      <c r="F337" s="31"/>
      <c r="G337" s="31"/>
      <c r="H337" s="31"/>
    </row>
    <row r="338" customFormat="false" ht="15" hidden="false" customHeight="false" outlineLevel="0" collapsed="false">
      <c r="A338" s="31"/>
      <c r="B338" s="31"/>
      <c r="C338" s="31"/>
      <c r="D338" s="31"/>
      <c r="E338" s="31"/>
      <c r="F338" s="31"/>
      <c r="G338" s="31"/>
      <c r="H338" s="31"/>
    </row>
    <row r="339" customFormat="false" ht="15" hidden="false" customHeight="false" outlineLevel="0" collapsed="false">
      <c r="A339" s="31"/>
      <c r="B339" s="31"/>
      <c r="C339" s="31"/>
      <c r="D339" s="31"/>
      <c r="E339" s="31"/>
      <c r="F339" s="31"/>
      <c r="G339" s="31"/>
      <c r="H339" s="31"/>
    </row>
    <row r="340" customFormat="false" ht="15" hidden="false" customHeight="false" outlineLevel="0" collapsed="false">
      <c r="A340" s="31"/>
      <c r="B340" s="31"/>
      <c r="C340" s="31"/>
      <c r="D340" s="31"/>
      <c r="E340" s="31"/>
      <c r="F340" s="31"/>
      <c r="G340" s="31"/>
      <c r="H340" s="31"/>
    </row>
    <row r="341" customFormat="false" ht="15" hidden="false" customHeight="false" outlineLevel="0" collapsed="false">
      <c r="A341" s="31"/>
      <c r="B341" s="31"/>
      <c r="C341" s="31"/>
      <c r="D341" s="31"/>
      <c r="E341" s="31"/>
      <c r="F341" s="31"/>
      <c r="G341" s="31"/>
      <c r="H341" s="31"/>
    </row>
    <row r="342" customFormat="false" ht="15" hidden="false" customHeight="false" outlineLevel="0" collapsed="false">
      <c r="A342" s="31"/>
      <c r="B342" s="31"/>
      <c r="C342" s="31"/>
      <c r="D342" s="31"/>
      <c r="E342" s="31"/>
      <c r="F342" s="31"/>
      <c r="G342" s="31"/>
      <c r="H342" s="31"/>
    </row>
    <row r="343" customFormat="false" ht="15" hidden="false" customHeight="false" outlineLevel="0" collapsed="false">
      <c r="A343" s="31"/>
      <c r="B343" s="31"/>
      <c r="C343" s="31"/>
      <c r="D343" s="31"/>
      <c r="E343" s="31"/>
      <c r="F343" s="31"/>
      <c r="G343" s="31"/>
      <c r="H343" s="31"/>
    </row>
    <row r="344" customFormat="false" ht="15" hidden="false" customHeight="false" outlineLevel="0" collapsed="false">
      <c r="A344" s="31"/>
      <c r="B344" s="31"/>
      <c r="C344" s="31"/>
      <c r="D344" s="31"/>
      <c r="E344" s="31"/>
      <c r="F344" s="31"/>
      <c r="G344" s="31"/>
      <c r="H344" s="31"/>
    </row>
    <row r="345" customFormat="false" ht="15" hidden="false" customHeight="false" outlineLevel="0" collapsed="false">
      <c r="A345" s="31"/>
      <c r="B345" s="31"/>
      <c r="C345" s="31"/>
      <c r="D345" s="31"/>
      <c r="E345" s="31"/>
      <c r="F345" s="31"/>
      <c r="G345" s="31"/>
      <c r="H345" s="31"/>
    </row>
    <row r="346" customFormat="false" ht="15" hidden="false" customHeight="false" outlineLevel="0" collapsed="false">
      <c r="A346" s="31"/>
      <c r="B346" s="31"/>
      <c r="C346" s="31"/>
      <c r="D346" s="31"/>
      <c r="E346" s="31"/>
      <c r="F346" s="31"/>
      <c r="G346" s="31"/>
      <c r="H346" s="31"/>
    </row>
    <row r="347" customFormat="false" ht="15" hidden="false" customHeight="false" outlineLevel="0" collapsed="false">
      <c r="A347" s="31"/>
      <c r="B347" s="31"/>
      <c r="C347" s="31"/>
      <c r="D347" s="31"/>
      <c r="E347" s="31"/>
      <c r="F347" s="31"/>
      <c r="G347" s="31"/>
      <c r="H347" s="31"/>
    </row>
    <row r="348" customFormat="false" ht="15" hidden="false" customHeight="false" outlineLevel="0" collapsed="false">
      <c r="A348" s="31"/>
      <c r="B348" s="31"/>
      <c r="C348" s="31"/>
      <c r="D348" s="31"/>
      <c r="E348" s="31"/>
      <c r="F348" s="31"/>
      <c r="G348" s="31"/>
      <c r="H348" s="31"/>
    </row>
    <row r="349" customFormat="false" ht="15" hidden="false" customHeight="false" outlineLevel="0" collapsed="false">
      <c r="A349" s="31"/>
      <c r="B349" s="31"/>
      <c r="C349" s="31"/>
      <c r="D349" s="31"/>
      <c r="E349" s="31"/>
      <c r="F349" s="31"/>
      <c r="G349" s="31"/>
      <c r="H349" s="31"/>
    </row>
    <row r="350" customFormat="false" ht="15" hidden="false" customHeight="false" outlineLevel="0" collapsed="false">
      <c r="A350" s="31"/>
      <c r="B350" s="31"/>
      <c r="C350" s="31"/>
      <c r="D350" s="31"/>
      <c r="E350" s="31"/>
      <c r="F350" s="31"/>
      <c r="G350" s="31"/>
      <c r="H350" s="31"/>
    </row>
    <row r="351" customFormat="false" ht="15" hidden="false" customHeight="false" outlineLevel="0" collapsed="false">
      <c r="A351" s="31"/>
      <c r="B351" s="31"/>
      <c r="C351" s="31"/>
      <c r="D351" s="31"/>
      <c r="E351" s="31"/>
      <c r="F351" s="31"/>
      <c r="G351" s="31"/>
      <c r="H351" s="31"/>
    </row>
    <row r="352" customFormat="false" ht="15" hidden="false" customHeight="false" outlineLevel="0" collapsed="false">
      <c r="A352" s="31"/>
      <c r="B352" s="31"/>
      <c r="C352" s="31"/>
      <c r="D352" s="31"/>
      <c r="E352" s="31"/>
      <c r="F352" s="31"/>
      <c r="G352" s="31"/>
      <c r="H352" s="31"/>
    </row>
    <row r="353" customFormat="false" ht="15" hidden="false" customHeight="false" outlineLevel="0" collapsed="false">
      <c r="A353" s="31"/>
      <c r="B353" s="31"/>
      <c r="C353" s="31"/>
      <c r="D353" s="31"/>
      <c r="E353" s="31"/>
      <c r="F353" s="31"/>
      <c r="G353" s="31"/>
      <c r="H353" s="31"/>
    </row>
    <row r="354" customFormat="false" ht="15" hidden="false" customHeight="false" outlineLevel="0" collapsed="false">
      <c r="A354" s="31"/>
      <c r="B354" s="31"/>
      <c r="C354" s="31"/>
      <c r="D354" s="31"/>
      <c r="E354" s="31"/>
      <c r="F354" s="31"/>
      <c r="G354" s="31"/>
      <c r="H354" s="31"/>
    </row>
    <row r="355" customFormat="false" ht="15" hidden="false" customHeight="false" outlineLevel="0" collapsed="false">
      <c r="A355" s="31"/>
      <c r="B355" s="31"/>
      <c r="C355" s="31"/>
      <c r="D355" s="31"/>
      <c r="E355" s="31"/>
      <c r="F355" s="31"/>
      <c r="G355" s="31"/>
      <c r="H355" s="31"/>
    </row>
    <row r="356" customFormat="false" ht="15" hidden="false" customHeight="false" outlineLevel="0" collapsed="false">
      <c r="A356" s="31"/>
      <c r="B356" s="31"/>
      <c r="C356" s="31"/>
      <c r="D356" s="31"/>
      <c r="E356" s="31"/>
      <c r="F356" s="31"/>
      <c r="G356" s="31"/>
      <c r="H356" s="31"/>
    </row>
    <row r="357" customFormat="false" ht="15" hidden="false" customHeight="false" outlineLevel="0" collapsed="false">
      <c r="A357" s="31"/>
      <c r="B357" s="31"/>
      <c r="C357" s="31"/>
      <c r="D357" s="31"/>
      <c r="E357" s="31"/>
      <c r="F357" s="31"/>
      <c r="G357" s="31"/>
      <c r="H357" s="31"/>
    </row>
    <row r="358" customFormat="false" ht="15" hidden="false" customHeight="false" outlineLevel="0" collapsed="false">
      <c r="A358" s="31"/>
      <c r="B358" s="31"/>
      <c r="C358" s="31"/>
      <c r="D358" s="31"/>
      <c r="E358" s="31"/>
      <c r="F358" s="31"/>
      <c r="G358" s="31"/>
      <c r="H358" s="31"/>
    </row>
    <row r="359" customFormat="false" ht="15" hidden="false" customHeight="false" outlineLevel="0" collapsed="false">
      <c r="A359" s="31"/>
      <c r="B359" s="31"/>
      <c r="C359" s="31"/>
      <c r="D359" s="31"/>
      <c r="E359" s="31"/>
      <c r="F359" s="31"/>
      <c r="G359" s="31"/>
      <c r="H359" s="31"/>
    </row>
    <row r="360" customFormat="false" ht="15" hidden="false" customHeight="false" outlineLevel="0" collapsed="false">
      <c r="A360" s="31"/>
      <c r="B360" s="31"/>
      <c r="C360" s="31"/>
      <c r="D360" s="31"/>
      <c r="E360" s="31"/>
      <c r="F360" s="31"/>
      <c r="G360" s="31"/>
      <c r="H360" s="31"/>
    </row>
    <row r="361" customFormat="false" ht="15" hidden="false" customHeight="false" outlineLevel="0" collapsed="false">
      <c r="A361" s="31"/>
      <c r="B361" s="31"/>
      <c r="C361" s="31"/>
      <c r="D361" s="31"/>
      <c r="E361" s="31"/>
      <c r="F361" s="31"/>
      <c r="G361" s="31"/>
      <c r="H361" s="31"/>
    </row>
    <row r="362" customFormat="false" ht="15" hidden="false" customHeight="false" outlineLevel="0" collapsed="false">
      <c r="A362" s="31"/>
      <c r="B362" s="31"/>
      <c r="C362" s="31"/>
      <c r="D362" s="31"/>
      <c r="E362" s="31"/>
      <c r="F362" s="31"/>
      <c r="G362" s="31"/>
      <c r="H362" s="31"/>
    </row>
    <row r="363" customFormat="false" ht="15" hidden="false" customHeight="false" outlineLevel="0" collapsed="false">
      <c r="A363" s="31"/>
      <c r="B363" s="31"/>
      <c r="C363" s="31"/>
      <c r="D363" s="31"/>
      <c r="E363" s="31"/>
      <c r="F363" s="31"/>
      <c r="G363" s="31"/>
      <c r="H363" s="31"/>
    </row>
    <row r="364" customFormat="false" ht="15" hidden="false" customHeight="false" outlineLevel="0" collapsed="false">
      <c r="A364" s="31"/>
      <c r="B364" s="31"/>
      <c r="C364" s="31"/>
      <c r="D364" s="31"/>
      <c r="E364" s="31"/>
      <c r="F364" s="31"/>
      <c r="G364" s="31"/>
      <c r="H364" s="31"/>
    </row>
    <row r="365" customFormat="false" ht="15" hidden="false" customHeight="false" outlineLevel="0" collapsed="false">
      <c r="A365" s="31"/>
      <c r="B365" s="31"/>
      <c r="C365" s="31"/>
      <c r="D365" s="31"/>
      <c r="E365" s="31"/>
      <c r="F365" s="31"/>
      <c r="G365" s="31"/>
      <c r="H365" s="31"/>
    </row>
    <row r="366" customFormat="false" ht="15" hidden="false" customHeight="false" outlineLevel="0" collapsed="false">
      <c r="A366" s="31"/>
      <c r="B366" s="31"/>
      <c r="C366" s="31"/>
      <c r="D366" s="31"/>
      <c r="E366" s="31"/>
      <c r="F366" s="31"/>
      <c r="G366" s="31"/>
      <c r="H366" s="31"/>
    </row>
    <row r="367" customFormat="false" ht="15" hidden="false" customHeight="false" outlineLevel="0" collapsed="false">
      <c r="A367" s="31"/>
      <c r="B367" s="31"/>
      <c r="C367" s="31"/>
      <c r="D367" s="31"/>
      <c r="E367" s="31"/>
      <c r="F367" s="31"/>
      <c r="G367" s="31"/>
      <c r="H367" s="31"/>
    </row>
    <row r="368" customFormat="false" ht="15" hidden="false" customHeight="false" outlineLevel="0" collapsed="false">
      <c r="A368" s="31"/>
      <c r="B368" s="31"/>
      <c r="C368" s="31"/>
      <c r="D368" s="31"/>
      <c r="E368" s="31"/>
      <c r="F368" s="31"/>
      <c r="G368" s="31"/>
      <c r="H368" s="31"/>
    </row>
    <row r="369" customFormat="false" ht="15" hidden="false" customHeight="false" outlineLevel="0" collapsed="false">
      <c r="A369" s="31"/>
      <c r="B369" s="31"/>
      <c r="C369" s="31"/>
      <c r="D369" s="31"/>
      <c r="E369" s="31"/>
      <c r="F369" s="31"/>
      <c r="G369" s="31"/>
      <c r="H369" s="31"/>
    </row>
    <row r="370" customFormat="false" ht="15" hidden="false" customHeight="false" outlineLevel="0" collapsed="false">
      <c r="A370" s="31"/>
      <c r="B370" s="31"/>
      <c r="C370" s="31"/>
      <c r="D370" s="31"/>
      <c r="E370" s="31"/>
      <c r="F370" s="31"/>
      <c r="G370" s="31"/>
      <c r="H370" s="31"/>
    </row>
    <row r="371" customFormat="false" ht="15" hidden="false" customHeight="false" outlineLevel="0" collapsed="false">
      <c r="A371" s="31"/>
      <c r="B371" s="31"/>
      <c r="C371" s="31"/>
      <c r="D371" s="31"/>
      <c r="E371" s="31"/>
      <c r="F371" s="31"/>
      <c r="G371" s="31"/>
      <c r="H371" s="31"/>
    </row>
    <row r="372" customFormat="false" ht="15" hidden="false" customHeight="false" outlineLevel="0" collapsed="false">
      <c r="A372" s="31"/>
      <c r="B372" s="31"/>
      <c r="C372" s="31"/>
      <c r="D372" s="31"/>
      <c r="E372" s="31"/>
      <c r="F372" s="31"/>
      <c r="G372" s="31"/>
      <c r="H372" s="31"/>
    </row>
    <row r="373" customFormat="false" ht="15" hidden="false" customHeight="false" outlineLevel="0" collapsed="false">
      <c r="A373" s="31"/>
      <c r="B373" s="31"/>
      <c r="C373" s="31"/>
      <c r="D373" s="31"/>
      <c r="E373" s="31"/>
      <c r="F373" s="31"/>
      <c r="G373" s="31"/>
      <c r="H373" s="31"/>
    </row>
    <row r="374" customFormat="false" ht="15" hidden="false" customHeight="false" outlineLevel="0" collapsed="false">
      <c r="A374" s="31"/>
      <c r="B374" s="31"/>
      <c r="C374" s="31"/>
      <c r="D374" s="31"/>
      <c r="E374" s="31"/>
      <c r="F374" s="31"/>
      <c r="G374" s="31"/>
      <c r="H374" s="31"/>
    </row>
    <row r="375" customFormat="false" ht="15" hidden="false" customHeight="false" outlineLevel="0" collapsed="false">
      <c r="A375" s="31"/>
      <c r="B375" s="31"/>
      <c r="C375" s="31"/>
      <c r="D375" s="31"/>
      <c r="E375" s="31"/>
      <c r="F375" s="31"/>
      <c r="G375" s="31"/>
      <c r="H375" s="31"/>
    </row>
    <row r="376" customFormat="false" ht="15" hidden="false" customHeight="false" outlineLevel="0" collapsed="false">
      <c r="A376" s="31"/>
      <c r="B376" s="31"/>
      <c r="C376" s="31"/>
      <c r="D376" s="31"/>
      <c r="E376" s="31"/>
      <c r="F376" s="31"/>
      <c r="G376" s="31"/>
      <c r="H376" s="31"/>
    </row>
    <row r="377" customFormat="false" ht="15" hidden="false" customHeight="false" outlineLevel="0" collapsed="false">
      <c r="A377" s="31"/>
      <c r="B377" s="31"/>
      <c r="C377" s="31"/>
      <c r="D377" s="31"/>
      <c r="E377" s="31"/>
      <c r="F377" s="31"/>
      <c r="G377" s="31"/>
      <c r="H377" s="31"/>
    </row>
    <row r="378" customFormat="false" ht="15" hidden="false" customHeight="false" outlineLevel="0" collapsed="false">
      <c r="A378" s="31"/>
      <c r="B378" s="31"/>
      <c r="C378" s="31"/>
      <c r="D378" s="31"/>
      <c r="E378" s="31"/>
      <c r="F378" s="31"/>
      <c r="G378" s="31"/>
      <c r="H378" s="31"/>
    </row>
    <row r="379" customFormat="false" ht="15" hidden="false" customHeight="false" outlineLevel="0" collapsed="false">
      <c r="A379" s="31"/>
      <c r="B379" s="31"/>
      <c r="C379" s="31"/>
      <c r="D379" s="31"/>
      <c r="E379" s="31"/>
      <c r="F379" s="31"/>
      <c r="G379" s="31"/>
      <c r="H379" s="31"/>
    </row>
    <row r="380" customFormat="false" ht="15" hidden="false" customHeight="false" outlineLevel="0" collapsed="false">
      <c r="A380" s="31"/>
      <c r="B380" s="31"/>
      <c r="C380" s="31"/>
      <c r="D380" s="31"/>
      <c r="E380" s="31"/>
      <c r="F380" s="31"/>
      <c r="G380" s="31"/>
      <c r="H380" s="31"/>
    </row>
    <row r="381" customFormat="false" ht="15" hidden="false" customHeight="false" outlineLevel="0" collapsed="false">
      <c r="A381" s="31"/>
      <c r="B381" s="31"/>
      <c r="C381" s="31"/>
      <c r="D381" s="31"/>
      <c r="E381" s="31"/>
      <c r="F381" s="31"/>
      <c r="G381" s="31"/>
      <c r="H381" s="31"/>
    </row>
    <row r="382" customFormat="false" ht="15" hidden="false" customHeight="false" outlineLevel="0" collapsed="false">
      <c r="A382" s="31"/>
      <c r="B382" s="31"/>
      <c r="C382" s="31"/>
      <c r="D382" s="31"/>
      <c r="E382" s="31"/>
      <c r="F382" s="31"/>
      <c r="G382" s="31"/>
      <c r="H382" s="31"/>
    </row>
    <row r="383" customFormat="false" ht="15" hidden="false" customHeight="false" outlineLevel="0" collapsed="false">
      <c r="A383" s="31"/>
      <c r="B383" s="31"/>
      <c r="C383" s="31"/>
      <c r="D383" s="31"/>
      <c r="E383" s="31"/>
      <c r="F383" s="31"/>
      <c r="G383" s="31"/>
      <c r="H383" s="31"/>
    </row>
    <row r="384" customFormat="false" ht="15" hidden="false" customHeight="false" outlineLevel="0" collapsed="false">
      <c r="A384" s="31"/>
      <c r="B384" s="31"/>
      <c r="C384" s="31"/>
      <c r="D384" s="31"/>
      <c r="E384" s="31"/>
      <c r="F384" s="31"/>
      <c r="G384" s="31"/>
      <c r="H384" s="31"/>
    </row>
    <row r="385" customFormat="false" ht="15" hidden="false" customHeight="false" outlineLevel="0" collapsed="false">
      <c r="A385" s="31"/>
      <c r="B385" s="31"/>
      <c r="C385" s="31"/>
      <c r="D385" s="31"/>
      <c r="E385" s="31"/>
      <c r="F385" s="31"/>
      <c r="G385" s="31"/>
      <c r="H385" s="31"/>
    </row>
    <row r="386" customFormat="false" ht="15" hidden="false" customHeight="false" outlineLevel="0" collapsed="false">
      <c r="A386" s="31"/>
      <c r="B386" s="31"/>
      <c r="C386" s="31"/>
      <c r="D386" s="31"/>
      <c r="E386" s="31"/>
      <c r="F386" s="31"/>
      <c r="G386" s="31"/>
      <c r="H386" s="31"/>
    </row>
    <row r="387" customFormat="false" ht="15" hidden="false" customHeight="false" outlineLevel="0" collapsed="false">
      <c r="A387" s="31"/>
      <c r="B387" s="31"/>
      <c r="C387" s="31"/>
      <c r="D387" s="31"/>
      <c r="E387" s="31"/>
      <c r="F387" s="31"/>
      <c r="G387" s="31"/>
      <c r="H387" s="31"/>
    </row>
    <row r="388" customFormat="false" ht="15" hidden="false" customHeight="false" outlineLevel="0" collapsed="false">
      <c r="A388" s="31"/>
      <c r="B388" s="31"/>
      <c r="C388" s="31"/>
      <c r="D388" s="31"/>
      <c r="E388" s="31"/>
      <c r="F388" s="31"/>
      <c r="G388" s="31"/>
      <c r="H388" s="31"/>
    </row>
    <row r="389" customFormat="false" ht="15" hidden="false" customHeight="false" outlineLevel="0" collapsed="false">
      <c r="A389" s="31"/>
      <c r="B389" s="31"/>
      <c r="C389" s="31"/>
      <c r="D389" s="31"/>
      <c r="E389" s="31"/>
      <c r="F389" s="31"/>
      <c r="G389" s="31"/>
      <c r="H389" s="31"/>
    </row>
    <row r="390" customFormat="false" ht="15" hidden="false" customHeight="false" outlineLevel="0" collapsed="false">
      <c r="A390" s="31"/>
      <c r="B390" s="31"/>
      <c r="C390" s="31"/>
      <c r="D390" s="31"/>
      <c r="E390" s="31"/>
      <c r="F390" s="31"/>
      <c r="G390" s="31"/>
      <c r="H390" s="31"/>
    </row>
    <row r="391" customFormat="false" ht="15" hidden="false" customHeight="false" outlineLevel="0" collapsed="false">
      <c r="A391" s="31"/>
      <c r="B391" s="31"/>
      <c r="C391" s="31"/>
      <c r="D391" s="31"/>
      <c r="E391" s="31"/>
      <c r="F391" s="31"/>
      <c r="G391" s="31"/>
      <c r="H391" s="31"/>
    </row>
    <row r="392" customFormat="false" ht="15" hidden="false" customHeight="false" outlineLevel="0" collapsed="false">
      <c r="A392" s="31"/>
      <c r="B392" s="31"/>
      <c r="C392" s="31"/>
      <c r="D392" s="31"/>
      <c r="E392" s="31"/>
      <c r="F392" s="31"/>
      <c r="G392" s="31"/>
      <c r="H392" s="31"/>
    </row>
    <row r="393" customFormat="false" ht="15" hidden="false" customHeight="false" outlineLevel="0" collapsed="false">
      <c r="A393" s="31"/>
      <c r="B393" s="31"/>
      <c r="C393" s="31"/>
      <c r="D393" s="31"/>
      <c r="E393" s="31"/>
      <c r="F393" s="31"/>
      <c r="G393" s="31"/>
      <c r="H393" s="31"/>
    </row>
    <row r="394" customFormat="false" ht="15" hidden="false" customHeight="false" outlineLevel="0" collapsed="false">
      <c r="A394" s="31"/>
      <c r="B394" s="31"/>
      <c r="C394" s="31"/>
      <c r="D394" s="31"/>
      <c r="E394" s="31"/>
      <c r="F394" s="31"/>
      <c r="G394" s="31"/>
      <c r="H394" s="31"/>
    </row>
    <row r="395" customFormat="false" ht="15" hidden="false" customHeight="false" outlineLevel="0" collapsed="false">
      <c r="A395" s="31"/>
      <c r="B395" s="31"/>
      <c r="C395" s="31"/>
      <c r="D395" s="31"/>
      <c r="E395" s="31"/>
      <c r="F395" s="31"/>
      <c r="G395" s="31"/>
      <c r="H395" s="31"/>
    </row>
    <row r="396" customFormat="false" ht="15" hidden="false" customHeight="false" outlineLevel="0" collapsed="false">
      <c r="A396" s="31"/>
      <c r="B396" s="31"/>
      <c r="C396" s="31"/>
      <c r="D396" s="31"/>
      <c r="E396" s="31"/>
      <c r="F396" s="31"/>
      <c r="G396" s="31"/>
      <c r="H396" s="31"/>
    </row>
    <row r="397" customFormat="false" ht="15" hidden="false" customHeight="false" outlineLevel="0" collapsed="false">
      <c r="A397" s="31"/>
      <c r="B397" s="31"/>
      <c r="C397" s="31"/>
      <c r="D397" s="31"/>
      <c r="E397" s="31"/>
      <c r="F397" s="31"/>
      <c r="G397" s="31"/>
      <c r="H397" s="31"/>
    </row>
    <row r="398" customFormat="false" ht="15" hidden="false" customHeight="false" outlineLevel="0" collapsed="false">
      <c r="A398" s="31"/>
      <c r="B398" s="31"/>
      <c r="C398" s="31"/>
      <c r="D398" s="31"/>
      <c r="E398" s="31"/>
      <c r="F398" s="31"/>
      <c r="G398" s="31"/>
      <c r="H398" s="31"/>
    </row>
    <row r="399" customFormat="false" ht="15" hidden="false" customHeight="false" outlineLevel="0" collapsed="false">
      <c r="A399" s="31"/>
      <c r="B399" s="31"/>
      <c r="C399" s="31"/>
      <c r="D399" s="31"/>
      <c r="E399" s="31"/>
      <c r="F399" s="31"/>
      <c r="G399" s="31"/>
      <c r="H399" s="31"/>
    </row>
    <row r="400" customFormat="false" ht="15" hidden="false" customHeight="false" outlineLevel="0" collapsed="false">
      <c r="A400" s="31"/>
      <c r="B400" s="31"/>
      <c r="C400" s="31"/>
      <c r="D400" s="31"/>
      <c r="E400" s="31"/>
      <c r="F400" s="31"/>
      <c r="G400" s="31"/>
      <c r="H400" s="31"/>
    </row>
    <row r="401" customFormat="false" ht="15" hidden="false" customHeight="false" outlineLevel="0" collapsed="false">
      <c r="A401" s="31"/>
      <c r="B401" s="31"/>
      <c r="C401" s="31"/>
      <c r="D401" s="31"/>
      <c r="E401" s="31"/>
      <c r="F401" s="31"/>
      <c r="G401" s="31"/>
      <c r="H401" s="31"/>
    </row>
    <row r="402" customFormat="false" ht="15" hidden="false" customHeight="false" outlineLevel="0" collapsed="false">
      <c r="A402" s="31"/>
      <c r="B402" s="31"/>
      <c r="C402" s="31"/>
      <c r="D402" s="31"/>
      <c r="E402" s="31"/>
      <c r="F402" s="31"/>
      <c r="G402" s="31"/>
      <c r="H402" s="31"/>
    </row>
    <row r="403" customFormat="false" ht="15" hidden="false" customHeight="false" outlineLevel="0" collapsed="false">
      <c r="A403" s="31"/>
      <c r="B403" s="31"/>
      <c r="C403" s="31"/>
      <c r="D403" s="31"/>
      <c r="E403" s="31"/>
      <c r="F403" s="31"/>
      <c r="G403" s="31"/>
      <c r="H403" s="31"/>
    </row>
    <row r="404" customFormat="false" ht="15" hidden="false" customHeight="false" outlineLevel="0" collapsed="false">
      <c r="A404" s="31"/>
      <c r="B404" s="31"/>
      <c r="C404" s="31"/>
      <c r="D404" s="31"/>
      <c r="E404" s="31"/>
      <c r="F404" s="31"/>
      <c r="G404" s="31"/>
      <c r="H404" s="31"/>
    </row>
    <row r="405" customFormat="false" ht="15" hidden="false" customHeight="false" outlineLevel="0" collapsed="false">
      <c r="A405" s="31"/>
      <c r="B405" s="31"/>
      <c r="C405" s="31"/>
      <c r="D405" s="31"/>
      <c r="E405" s="31"/>
      <c r="F405" s="31"/>
      <c r="G405" s="31"/>
      <c r="H405" s="31"/>
    </row>
    <row r="406" customFormat="false" ht="15" hidden="false" customHeight="false" outlineLevel="0" collapsed="false">
      <c r="A406" s="31"/>
      <c r="B406" s="31"/>
      <c r="C406" s="31"/>
      <c r="D406" s="31"/>
      <c r="E406" s="31"/>
      <c r="F406" s="31"/>
      <c r="G406" s="31"/>
      <c r="H406" s="31"/>
    </row>
    <row r="407" customFormat="false" ht="15" hidden="false" customHeight="false" outlineLevel="0" collapsed="false">
      <c r="A407" s="31"/>
      <c r="B407" s="31"/>
      <c r="C407" s="31"/>
      <c r="D407" s="31"/>
      <c r="E407" s="31"/>
      <c r="F407" s="31"/>
      <c r="G407" s="31"/>
      <c r="H407" s="31"/>
    </row>
    <row r="408" customFormat="false" ht="15" hidden="false" customHeight="false" outlineLevel="0" collapsed="false">
      <c r="A408" s="31"/>
      <c r="B408" s="31"/>
      <c r="C408" s="31"/>
      <c r="D408" s="31"/>
      <c r="E408" s="31"/>
      <c r="F408" s="31"/>
      <c r="G408" s="31"/>
      <c r="H408" s="31"/>
    </row>
    <row r="409" customFormat="false" ht="15" hidden="false" customHeight="false" outlineLevel="0" collapsed="false">
      <c r="A409" s="31"/>
      <c r="B409" s="31"/>
      <c r="C409" s="31"/>
      <c r="D409" s="31"/>
      <c r="E409" s="31"/>
      <c r="F409" s="31"/>
      <c r="G409" s="31"/>
      <c r="H409" s="31"/>
    </row>
    <row r="410" customFormat="false" ht="15" hidden="false" customHeight="false" outlineLevel="0" collapsed="false">
      <c r="A410" s="31"/>
      <c r="B410" s="31"/>
      <c r="C410" s="31"/>
      <c r="D410" s="31"/>
      <c r="E410" s="31"/>
      <c r="F410" s="31"/>
      <c r="G410" s="31"/>
      <c r="H410" s="31"/>
    </row>
    <row r="411" customFormat="false" ht="15" hidden="false" customHeight="false" outlineLevel="0" collapsed="false">
      <c r="A411" s="31"/>
      <c r="B411" s="31"/>
      <c r="C411" s="31"/>
      <c r="D411" s="31"/>
      <c r="E411" s="31"/>
      <c r="F411" s="31"/>
      <c r="G411" s="31"/>
      <c r="H411" s="31"/>
    </row>
    <row r="412" customFormat="false" ht="15" hidden="false" customHeight="false" outlineLevel="0" collapsed="false">
      <c r="A412" s="31"/>
      <c r="B412" s="31"/>
      <c r="C412" s="31"/>
      <c r="D412" s="31"/>
      <c r="E412" s="31"/>
      <c r="F412" s="31"/>
      <c r="G412" s="31"/>
      <c r="H412" s="31"/>
    </row>
    <row r="413" customFormat="false" ht="15" hidden="false" customHeight="false" outlineLevel="0" collapsed="false">
      <c r="A413" s="31"/>
      <c r="B413" s="31"/>
      <c r="C413" s="31"/>
      <c r="D413" s="31"/>
      <c r="E413" s="31"/>
      <c r="F413" s="31"/>
      <c r="G413" s="31"/>
      <c r="H413" s="31"/>
    </row>
    <row r="414" customFormat="false" ht="15" hidden="false" customHeight="false" outlineLevel="0" collapsed="false">
      <c r="A414" s="31"/>
      <c r="B414" s="31"/>
      <c r="C414" s="31"/>
      <c r="D414" s="31"/>
      <c r="E414" s="31"/>
      <c r="F414" s="31"/>
      <c r="G414" s="31"/>
      <c r="H414" s="31"/>
    </row>
    <row r="415" customFormat="false" ht="15" hidden="false" customHeight="false" outlineLevel="0" collapsed="false">
      <c r="A415" s="31"/>
      <c r="B415" s="31"/>
      <c r="C415" s="31"/>
      <c r="D415" s="31"/>
      <c r="E415" s="31"/>
      <c r="F415" s="31"/>
      <c r="G415" s="31"/>
      <c r="H415" s="31"/>
    </row>
    <row r="416" customFormat="false" ht="15" hidden="false" customHeight="false" outlineLevel="0" collapsed="false">
      <c r="A416" s="31"/>
      <c r="B416" s="31"/>
      <c r="C416" s="31"/>
      <c r="D416" s="31"/>
      <c r="E416" s="31"/>
      <c r="F416" s="31"/>
      <c r="G416" s="31"/>
      <c r="H416" s="31"/>
    </row>
    <row r="417" customFormat="false" ht="15" hidden="false" customHeight="false" outlineLevel="0" collapsed="false">
      <c r="A417" s="31"/>
      <c r="B417" s="31"/>
      <c r="C417" s="31"/>
      <c r="D417" s="31"/>
      <c r="E417" s="31"/>
      <c r="F417" s="31"/>
      <c r="G417" s="31"/>
      <c r="H417" s="31"/>
    </row>
    <row r="418" customFormat="false" ht="15" hidden="false" customHeight="false" outlineLevel="0" collapsed="false">
      <c r="A418" s="31"/>
      <c r="B418" s="31"/>
      <c r="C418" s="31"/>
      <c r="D418" s="31"/>
      <c r="E418" s="31"/>
      <c r="F418" s="31"/>
      <c r="G418" s="31"/>
      <c r="H418" s="31"/>
    </row>
    <row r="419" customFormat="false" ht="15" hidden="false" customHeight="false" outlineLevel="0" collapsed="false">
      <c r="A419" s="31"/>
      <c r="B419" s="31"/>
      <c r="C419" s="31"/>
      <c r="D419" s="31"/>
      <c r="E419" s="31"/>
      <c r="F419" s="31"/>
      <c r="G419" s="31"/>
      <c r="H419" s="31"/>
    </row>
    <row r="420" customFormat="false" ht="15" hidden="false" customHeight="false" outlineLevel="0" collapsed="false">
      <c r="A420" s="31"/>
      <c r="B420" s="31"/>
      <c r="C420" s="31"/>
      <c r="D420" s="31"/>
      <c r="E420" s="31"/>
      <c r="F420" s="31"/>
      <c r="G420" s="31"/>
      <c r="H420" s="31"/>
    </row>
    <row r="421" customFormat="false" ht="15" hidden="false" customHeight="false" outlineLevel="0" collapsed="false">
      <c r="A421" s="31"/>
      <c r="B421" s="31"/>
      <c r="C421" s="31"/>
      <c r="D421" s="31"/>
      <c r="E421" s="31"/>
      <c r="F421" s="31"/>
      <c r="G421" s="31"/>
      <c r="H421" s="31"/>
    </row>
    <row r="422" customFormat="false" ht="15" hidden="false" customHeight="false" outlineLevel="0" collapsed="false">
      <c r="A422" s="31"/>
      <c r="B422" s="31"/>
      <c r="C422" s="31"/>
      <c r="D422" s="31"/>
      <c r="E422" s="31"/>
      <c r="F422" s="31"/>
      <c r="G422" s="31"/>
      <c r="H422" s="31"/>
    </row>
    <row r="423" customFormat="false" ht="15" hidden="false" customHeight="false" outlineLevel="0" collapsed="false">
      <c r="A423" s="31"/>
      <c r="B423" s="31"/>
      <c r="C423" s="31"/>
      <c r="D423" s="31"/>
      <c r="E423" s="31"/>
      <c r="F423" s="31"/>
      <c r="G423" s="31"/>
      <c r="H423" s="31"/>
    </row>
    <row r="424" customFormat="false" ht="15" hidden="false" customHeight="false" outlineLevel="0" collapsed="false">
      <c r="A424" s="31"/>
      <c r="B424" s="31"/>
      <c r="C424" s="31"/>
      <c r="D424" s="31"/>
      <c r="E424" s="31"/>
      <c r="F424" s="31"/>
      <c r="G424" s="31"/>
      <c r="H424" s="31"/>
    </row>
    <row r="425" customFormat="false" ht="15" hidden="false" customHeight="false" outlineLevel="0" collapsed="false">
      <c r="A425" s="31"/>
      <c r="B425" s="31"/>
      <c r="C425" s="31"/>
      <c r="D425" s="31"/>
      <c r="E425" s="31"/>
      <c r="F425" s="31"/>
      <c r="G425" s="31"/>
      <c r="H425" s="31"/>
    </row>
    <row r="426" customFormat="false" ht="15" hidden="false" customHeight="false" outlineLevel="0" collapsed="false">
      <c r="A426" s="31"/>
      <c r="B426" s="31"/>
      <c r="C426" s="31"/>
      <c r="D426" s="31"/>
      <c r="E426" s="31"/>
      <c r="F426" s="31"/>
      <c r="G426" s="31"/>
      <c r="H426" s="31"/>
    </row>
    <row r="427" customFormat="false" ht="15" hidden="false" customHeight="false" outlineLevel="0" collapsed="false">
      <c r="A427" s="31"/>
      <c r="B427" s="31"/>
      <c r="C427" s="31"/>
      <c r="D427" s="31"/>
      <c r="E427" s="31"/>
      <c r="F427" s="31"/>
      <c r="G427" s="31"/>
      <c r="H427" s="31"/>
    </row>
    <row r="428" customFormat="false" ht="15" hidden="false" customHeight="false" outlineLevel="0" collapsed="false">
      <c r="A428" s="31"/>
      <c r="B428" s="31"/>
      <c r="C428" s="31"/>
      <c r="D428" s="31"/>
      <c r="E428" s="31"/>
      <c r="F428" s="31"/>
      <c r="G428" s="31"/>
      <c r="H428" s="31"/>
    </row>
    <row r="429" customFormat="false" ht="15" hidden="false" customHeight="false" outlineLevel="0" collapsed="false">
      <c r="A429" s="31"/>
      <c r="B429" s="31"/>
      <c r="C429" s="31"/>
      <c r="D429" s="31"/>
      <c r="E429" s="31"/>
      <c r="F429" s="31"/>
      <c r="G429" s="31"/>
      <c r="H429" s="31"/>
    </row>
    <row r="430" customFormat="false" ht="15" hidden="false" customHeight="false" outlineLevel="0" collapsed="false">
      <c r="A430" s="31"/>
      <c r="B430" s="31"/>
      <c r="C430" s="31"/>
      <c r="D430" s="31"/>
      <c r="E430" s="31"/>
      <c r="F430" s="31"/>
      <c r="G430" s="31"/>
      <c r="H430" s="31"/>
    </row>
    <row r="431" customFormat="false" ht="15" hidden="false" customHeight="false" outlineLevel="0" collapsed="false">
      <c r="A431" s="31"/>
      <c r="B431" s="31"/>
      <c r="C431" s="31"/>
      <c r="D431" s="31"/>
      <c r="E431" s="31"/>
      <c r="F431" s="31"/>
      <c r="G431" s="31"/>
      <c r="H431" s="31"/>
    </row>
    <row r="432" customFormat="false" ht="15" hidden="false" customHeight="false" outlineLevel="0" collapsed="false">
      <c r="A432" s="31"/>
      <c r="B432" s="31"/>
      <c r="C432" s="31"/>
      <c r="D432" s="31"/>
      <c r="E432" s="31"/>
      <c r="F432" s="31"/>
      <c r="G432" s="31"/>
      <c r="H432" s="31"/>
    </row>
    <row r="433" customFormat="false" ht="15" hidden="false" customHeight="false" outlineLevel="0" collapsed="false">
      <c r="A433" s="31"/>
      <c r="B433" s="31"/>
      <c r="C433" s="31"/>
      <c r="D433" s="31"/>
      <c r="E433" s="31"/>
      <c r="F433" s="31"/>
      <c r="G433" s="31"/>
      <c r="H433" s="31"/>
    </row>
    <row r="434" customFormat="false" ht="15" hidden="false" customHeight="false" outlineLevel="0" collapsed="false">
      <c r="A434" s="31"/>
      <c r="B434" s="31"/>
      <c r="C434" s="31"/>
      <c r="D434" s="31"/>
      <c r="E434" s="31"/>
      <c r="F434" s="31"/>
      <c r="G434" s="31"/>
      <c r="H434" s="31"/>
    </row>
    <row r="435" customFormat="false" ht="15" hidden="false" customHeight="false" outlineLevel="0" collapsed="false">
      <c r="A435" s="31"/>
      <c r="B435" s="31"/>
      <c r="C435" s="31"/>
      <c r="D435" s="31"/>
      <c r="E435" s="31"/>
      <c r="F435" s="31"/>
      <c r="G435" s="31"/>
      <c r="H435" s="31"/>
    </row>
    <row r="436" customFormat="false" ht="15" hidden="false" customHeight="false" outlineLevel="0" collapsed="false">
      <c r="A436" s="31"/>
      <c r="B436" s="31"/>
      <c r="C436" s="31"/>
      <c r="D436" s="31"/>
      <c r="E436" s="31"/>
      <c r="F436" s="31"/>
      <c r="G436" s="31"/>
      <c r="H436" s="31"/>
    </row>
    <row r="437" customFormat="false" ht="15" hidden="false" customHeight="false" outlineLevel="0" collapsed="false">
      <c r="A437" s="31"/>
      <c r="B437" s="31"/>
      <c r="C437" s="31"/>
      <c r="D437" s="31"/>
      <c r="E437" s="31"/>
      <c r="F437" s="31"/>
      <c r="G437" s="31"/>
      <c r="H437" s="31"/>
    </row>
    <row r="438" customFormat="false" ht="15" hidden="false" customHeight="false" outlineLevel="0" collapsed="false">
      <c r="A438" s="31"/>
      <c r="B438" s="31"/>
      <c r="C438" s="31"/>
      <c r="D438" s="31"/>
      <c r="E438" s="31"/>
      <c r="F438" s="31"/>
      <c r="G438" s="31"/>
      <c r="H438" s="31"/>
    </row>
    <row r="439" customFormat="false" ht="15" hidden="false" customHeight="false" outlineLevel="0" collapsed="false">
      <c r="A439" s="31"/>
      <c r="B439" s="31"/>
      <c r="C439" s="31"/>
      <c r="D439" s="31"/>
      <c r="E439" s="31"/>
      <c r="F439" s="31"/>
      <c r="G439" s="31"/>
      <c r="H439" s="31"/>
    </row>
    <row r="440" customFormat="false" ht="15" hidden="false" customHeight="false" outlineLevel="0" collapsed="false">
      <c r="A440" s="31"/>
      <c r="B440" s="31"/>
      <c r="C440" s="31"/>
      <c r="D440" s="31"/>
      <c r="E440" s="31"/>
      <c r="F440" s="31"/>
      <c r="G440" s="31"/>
      <c r="H440" s="31"/>
    </row>
    <row r="441" customFormat="false" ht="15" hidden="false" customHeight="false" outlineLevel="0" collapsed="false">
      <c r="A441" s="31"/>
      <c r="B441" s="31"/>
      <c r="C441" s="31"/>
      <c r="D441" s="31"/>
      <c r="E441" s="31"/>
      <c r="F441" s="31"/>
      <c r="G441" s="31"/>
      <c r="H441" s="31"/>
    </row>
    <row r="442" customFormat="false" ht="15" hidden="false" customHeight="false" outlineLevel="0" collapsed="false">
      <c r="A442" s="31"/>
      <c r="B442" s="31"/>
      <c r="C442" s="31"/>
      <c r="D442" s="31"/>
      <c r="E442" s="31"/>
      <c r="F442" s="31"/>
      <c r="G442" s="31"/>
      <c r="H442" s="31"/>
    </row>
    <row r="443" customFormat="false" ht="15" hidden="false" customHeight="false" outlineLevel="0" collapsed="false">
      <c r="A443" s="31"/>
      <c r="B443" s="31"/>
      <c r="C443" s="31"/>
      <c r="D443" s="31"/>
      <c r="E443" s="31"/>
      <c r="F443" s="31"/>
      <c r="G443" s="31"/>
      <c r="H443" s="31"/>
    </row>
    <row r="444" customFormat="false" ht="15" hidden="false" customHeight="false" outlineLevel="0" collapsed="false">
      <c r="A444" s="31"/>
      <c r="B444" s="31"/>
      <c r="C444" s="31"/>
      <c r="D444" s="31"/>
      <c r="E444" s="31"/>
      <c r="F444" s="31"/>
      <c r="G444" s="31"/>
      <c r="H444" s="31"/>
    </row>
    <row r="445" customFormat="false" ht="15" hidden="false" customHeight="false" outlineLevel="0" collapsed="false">
      <c r="A445" s="31"/>
      <c r="B445" s="31"/>
      <c r="C445" s="31"/>
      <c r="D445" s="31"/>
      <c r="E445" s="31"/>
      <c r="F445" s="31"/>
      <c r="G445" s="31"/>
      <c r="H445" s="31"/>
    </row>
    <row r="446" customFormat="false" ht="15" hidden="false" customHeight="false" outlineLevel="0" collapsed="false">
      <c r="A446" s="31"/>
      <c r="B446" s="31"/>
      <c r="C446" s="31"/>
      <c r="D446" s="31"/>
      <c r="E446" s="31"/>
      <c r="F446" s="31"/>
      <c r="G446" s="31"/>
      <c r="H446" s="31"/>
    </row>
    <row r="447" customFormat="false" ht="15" hidden="false" customHeight="false" outlineLevel="0" collapsed="false">
      <c r="A447" s="31"/>
      <c r="B447" s="31"/>
      <c r="C447" s="31"/>
      <c r="D447" s="31"/>
      <c r="E447" s="31"/>
      <c r="F447" s="31"/>
      <c r="G447" s="31"/>
      <c r="H447" s="31"/>
    </row>
    <row r="448" customFormat="false" ht="15" hidden="false" customHeight="false" outlineLevel="0" collapsed="false">
      <c r="A448" s="31"/>
      <c r="B448" s="31"/>
      <c r="C448" s="31"/>
      <c r="D448" s="31"/>
      <c r="E448" s="31"/>
      <c r="F448" s="31"/>
      <c r="G448" s="31"/>
      <c r="H448" s="31"/>
    </row>
    <row r="449" customFormat="false" ht="15" hidden="false" customHeight="false" outlineLevel="0" collapsed="false">
      <c r="A449" s="31"/>
      <c r="B449" s="31"/>
      <c r="C449" s="31"/>
      <c r="D449" s="31"/>
      <c r="E449" s="31"/>
      <c r="F449" s="31"/>
      <c r="G449" s="31"/>
      <c r="H449" s="31"/>
    </row>
    <row r="450" customFormat="false" ht="15" hidden="false" customHeight="false" outlineLevel="0" collapsed="false">
      <c r="A450" s="31"/>
      <c r="B450" s="31"/>
      <c r="C450" s="31"/>
      <c r="D450" s="31"/>
      <c r="E450" s="31"/>
      <c r="F450" s="31"/>
      <c r="G450" s="31"/>
      <c r="H450" s="31"/>
    </row>
    <row r="451" customFormat="false" ht="15" hidden="false" customHeight="false" outlineLevel="0" collapsed="false">
      <c r="A451" s="31"/>
      <c r="B451" s="31"/>
      <c r="C451" s="31"/>
      <c r="D451" s="31"/>
      <c r="E451" s="31"/>
      <c r="F451" s="31"/>
      <c r="G451" s="31"/>
      <c r="H451" s="31"/>
    </row>
    <row r="452" customFormat="false" ht="15" hidden="false" customHeight="false" outlineLevel="0" collapsed="false">
      <c r="A452" s="31"/>
      <c r="B452" s="31"/>
      <c r="C452" s="31"/>
      <c r="D452" s="31"/>
      <c r="E452" s="31"/>
      <c r="F452" s="31"/>
      <c r="G452" s="31"/>
      <c r="H452" s="31"/>
    </row>
    <row r="453" customFormat="false" ht="15" hidden="false" customHeight="false" outlineLevel="0" collapsed="false">
      <c r="A453" s="31"/>
      <c r="B453" s="31"/>
      <c r="C453" s="31"/>
      <c r="D453" s="31"/>
      <c r="E453" s="31"/>
      <c r="F453" s="31"/>
      <c r="G453" s="31"/>
      <c r="H453" s="31"/>
    </row>
    <row r="454" customFormat="false" ht="15" hidden="false" customHeight="false" outlineLevel="0" collapsed="false">
      <c r="A454" s="31"/>
      <c r="B454" s="31"/>
      <c r="C454" s="31"/>
      <c r="D454" s="31"/>
      <c r="E454" s="31"/>
      <c r="F454" s="31"/>
      <c r="G454" s="31"/>
      <c r="H454" s="31"/>
    </row>
    <row r="455" customFormat="false" ht="15" hidden="false" customHeight="false" outlineLevel="0" collapsed="false">
      <c r="A455" s="31"/>
      <c r="B455" s="31"/>
      <c r="C455" s="31"/>
      <c r="D455" s="31"/>
      <c r="E455" s="31"/>
      <c r="F455" s="31"/>
      <c r="G455" s="31"/>
      <c r="H455" s="31"/>
    </row>
    <row r="456" customFormat="false" ht="15" hidden="false" customHeight="false" outlineLevel="0" collapsed="false">
      <c r="A456" s="31"/>
      <c r="B456" s="31"/>
      <c r="C456" s="31"/>
      <c r="D456" s="31"/>
      <c r="E456" s="31"/>
      <c r="F456" s="31"/>
      <c r="G456" s="31"/>
      <c r="H456" s="31"/>
    </row>
    <row r="457" customFormat="false" ht="15" hidden="false" customHeight="false" outlineLevel="0" collapsed="false">
      <c r="A457" s="31"/>
      <c r="B457" s="31"/>
      <c r="C457" s="31"/>
      <c r="D457" s="31"/>
      <c r="E457" s="31"/>
      <c r="F457" s="31"/>
      <c r="G457" s="31"/>
      <c r="H457" s="31"/>
    </row>
    <row r="458" customFormat="false" ht="15" hidden="false" customHeight="false" outlineLevel="0" collapsed="false">
      <c r="A458" s="31"/>
      <c r="B458" s="31"/>
      <c r="C458" s="31"/>
      <c r="D458" s="31"/>
      <c r="E458" s="31"/>
      <c r="F458" s="31"/>
      <c r="G458" s="31"/>
      <c r="H458" s="31"/>
    </row>
    <row r="459" customFormat="false" ht="15" hidden="false" customHeight="false" outlineLevel="0" collapsed="false">
      <c r="A459" s="31"/>
      <c r="B459" s="31"/>
      <c r="C459" s="31"/>
      <c r="D459" s="31"/>
      <c r="E459" s="31"/>
      <c r="F459" s="31"/>
      <c r="G459" s="31"/>
      <c r="H459" s="31"/>
    </row>
    <row r="460" customFormat="false" ht="15" hidden="false" customHeight="false" outlineLevel="0" collapsed="false">
      <c r="A460" s="31"/>
      <c r="B460" s="31"/>
      <c r="C460" s="31"/>
      <c r="D460" s="31"/>
      <c r="E460" s="31"/>
      <c r="F460" s="31"/>
      <c r="G460" s="31"/>
      <c r="H460" s="31"/>
    </row>
    <row r="461" customFormat="false" ht="15" hidden="false" customHeight="false" outlineLevel="0" collapsed="false">
      <c r="A461" s="31"/>
      <c r="B461" s="31"/>
      <c r="C461" s="31"/>
      <c r="D461" s="31"/>
      <c r="E461" s="31"/>
      <c r="F461" s="31"/>
      <c r="G461" s="31"/>
      <c r="H461" s="31"/>
    </row>
    <row r="462" customFormat="false" ht="15" hidden="false" customHeight="false" outlineLevel="0" collapsed="false">
      <c r="A462" s="31"/>
      <c r="B462" s="31"/>
      <c r="C462" s="31"/>
      <c r="D462" s="31"/>
      <c r="E462" s="31"/>
      <c r="F462" s="31"/>
      <c r="G462" s="31"/>
      <c r="H462" s="31"/>
    </row>
    <row r="463" customFormat="false" ht="15" hidden="false" customHeight="false" outlineLevel="0" collapsed="false">
      <c r="A463" s="31"/>
      <c r="B463" s="31"/>
      <c r="C463" s="31"/>
      <c r="D463" s="31"/>
      <c r="E463" s="31"/>
      <c r="F463" s="31"/>
      <c r="G463" s="31"/>
      <c r="H463" s="31"/>
    </row>
    <row r="464" customFormat="false" ht="15" hidden="false" customHeight="false" outlineLevel="0" collapsed="false">
      <c r="A464" s="31"/>
      <c r="B464" s="31"/>
      <c r="C464" s="31"/>
      <c r="D464" s="31"/>
      <c r="E464" s="31"/>
      <c r="F464" s="31"/>
      <c r="G464" s="31"/>
      <c r="H464" s="31"/>
    </row>
    <row r="465" customFormat="false" ht="15" hidden="false" customHeight="false" outlineLevel="0" collapsed="false">
      <c r="A465" s="31"/>
      <c r="B465" s="31"/>
      <c r="C465" s="31"/>
      <c r="D465" s="31"/>
      <c r="E465" s="31"/>
      <c r="F465" s="31"/>
      <c r="G465" s="31"/>
      <c r="H465" s="31"/>
    </row>
    <row r="466" customFormat="false" ht="15" hidden="false" customHeight="false" outlineLevel="0" collapsed="false">
      <c r="A466" s="31"/>
      <c r="B466" s="31"/>
      <c r="C466" s="31"/>
      <c r="D466" s="31"/>
      <c r="E466" s="31"/>
      <c r="F466" s="31"/>
      <c r="G466" s="31"/>
      <c r="H466" s="31"/>
    </row>
    <row r="467" customFormat="false" ht="15" hidden="false" customHeight="false" outlineLevel="0" collapsed="false">
      <c r="A467" s="31"/>
      <c r="B467" s="31"/>
      <c r="C467" s="31"/>
      <c r="D467" s="31"/>
      <c r="E467" s="31"/>
      <c r="F467" s="31"/>
      <c r="G467" s="31"/>
      <c r="H467" s="31"/>
    </row>
    <row r="468" customFormat="false" ht="15" hidden="false" customHeight="false" outlineLevel="0" collapsed="false">
      <c r="A468" s="31"/>
      <c r="B468" s="31"/>
      <c r="C468" s="31"/>
      <c r="D468" s="31"/>
      <c r="E468" s="31"/>
      <c r="F468" s="31"/>
      <c r="G468" s="31"/>
      <c r="H468" s="31"/>
    </row>
    <row r="469" customFormat="false" ht="15" hidden="false" customHeight="false" outlineLevel="0" collapsed="false">
      <c r="A469" s="31"/>
      <c r="B469" s="31"/>
      <c r="C469" s="31"/>
      <c r="D469" s="31"/>
      <c r="E469" s="31"/>
      <c r="F469" s="31"/>
      <c r="G469" s="31"/>
      <c r="H469" s="31"/>
    </row>
    <row r="470" customFormat="false" ht="15" hidden="false" customHeight="false" outlineLevel="0" collapsed="false">
      <c r="A470" s="31"/>
      <c r="B470" s="31"/>
      <c r="C470" s="31"/>
      <c r="D470" s="31"/>
      <c r="E470" s="31"/>
      <c r="F470" s="31"/>
      <c r="G470" s="31"/>
      <c r="H470" s="31"/>
    </row>
    <row r="471" customFormat="false" ht="15" hidden="false" customHeight="false" outlineLevel="0" collapsed="false">
      <c r="A471" s="31"/>
      <c r="B471" s="31"/>
      <c r="C471" s="31"/>
      <c r="D471" s="31"/>
      <c r="E471" s="31"/>
      <c r="F471" s="31"/>
      <c r="G471" s="31"/>
      <c r="H471" s="31"/>
    </row>
    <row r="472" customFormat="false" ht="15" hidden="false" customHeight="false" outlineLevel="0" collapsed="false">
      <c r="A472" s="31"/>
      <c r="B472" s="31"/>
      <c r="C472" s="31"/>
      <c r="D472" s="31"/>
      <c r="E472" s="31"/>
      <c r="F472" s="31"/>
      <c r="G472" s="31"/>
      <c r="H472" s="31"/>
    </row>
    <row r="473" customFormat="false" ht="15" hidden="false" customHeight="false" outlineLevel="0" collapsed="false">
      <c r="A473" s="31"/>
      <c r="B473" s="31"/>
      <c r="C473" s="31"/>
      <c r="D473" s="31"/>
      <c r="E473" s="31"/>
      <c r="F473" s="31"/>
      <c r="G473" s="31"/>
      <c r="H473" s="31"/>
    </row>
    <row r="474" customFormat="false" ht="15" hidden="false" customHeight="false" outlineLevel="0" collapsed="false">
      <c r="A474" s="31"/>
      <c r="B474" s="31"/>
      <c r="C474" s="31"/>
      <c r="D474" s="31"/>
      <c r="E474" s="31"/>
      <c r="F474" s="31"/>
      <c r="G474" s="31"/>
      <c r="H474" s="31"/>
    </row>
    <row r="475" customFormat="false" ht="15" hidden="false" customHeight="false" outlineLevel="0" collapsed="false">
      <c r="A475" s="31"/>
      <c r="B475" s="31"/>
      <c r="C475" s="31"/>
      <c r="D475" s="31"/>
      <c r="E475" s="31"/>
      <c r="F475" s="31"/>
      <c r="G475" s="31"/>
      <c r="H475" s="31"/>
    </row>
    <row r="476" customFormat="false" ht="15" hidden="false" customHeight="false" outlineLevel="0" collapsed="false">
      <c r="A476" s="31"/>
      <c r="B476" s="31"/>
      <c r="C476" s="31"/>
      <c r="D476" s="31"/>
      <c r="E476" s="31"/>
      <c r="F476" s="31"/>
      <c r="G476" s="31"/>
      <c r="H476" s="31"/>
    </row>
    <row r="477" customFormat="false" ht="15" hidden="false" customHeight="false" outlineLevel="0" collapsed="false">
      <c r="A477" s="31"/>
      <c r="B477" s="31"/>
      <c r="C477" s="31"/>
      <c r="D477" s="31"/>
      <c r="E477" s="31"/>
      <c r="F477" s="31"/>
      <c r="G477" s="31"/>
      <c r="H477" s="31"/>
    </row>
    <row r="478" customFormat="false" ht="15" hidden="false" customHeight="false" outlineLevel="0" collapsed="false">
      <c r="A478" s="31"/>
      <c r="B478" s="31"/>
      <c r="C478" s="31"/>
      <c r="D478" s="31"/>
      <c r="E478" s="31"/>
      <c r="F478" s="31"/>
      <c r="G478" s="31"/>
      <c r="H478" s="31"/>
    </row>
    <row r="479" customFormat="false" ht="15" hidden="false" customHeight="false" outlineLevel="0" collapsed="false">
      <c r="A479" s="31"/>
      <c r="B479" s="31"/>
      <c r="C479" s="31"/>
      <c r="D479" s="31"/>
      <c r="E479" s="31"/>
      <c r="F479" s="31"/>
      <c r="G479" s="31"/>
      <c r="H479" s="31"/>
    </row>
    <row r="480" customFormat="false" ht="15" hidden="false" customHeight="false" outlineLevel="0" collapsed="false">
      <c r="A480" s="31"/>
      <c r="B480" s="31"/>
      <c r="C480" s="31"/>
      <c r="D480" s="31"/>
      <c r="E480" s="31"/>
      <c r="F480" s="31"/>
      <c r="G480" s="31"/>
      <c r="H480" s="31"/>
    </row>
    <row r="481" customFormat="false" ht="15" hidden="false" customHeight="false" outlineLevel="0" collapsed="false">
      <c r="A481" s="31"/>
      <c r="B481" s="31"/>
      <c r="C481" s="31"/>
      <c r="D481" s="31"/>
      <c r="E481" s="31"/>
      <c r="F481" s="31"/>
      <c r="G481" s="31"/>
      <c r="H481" s="31"/>
    </row>
    <row r="482" customFormat="false" ht="15" hidden="false" customHeight="false" outlineLevel="0" collapsed="false">
      <c r="A482" s="31"/>
      <c r="B482" s="31"/>
      <c r="C482" s="31"/>
      <c r="D482" s="31"/>
      <c r="E482" s="31"/>
      <c r="F482" s="31"/>
      <c r="G482" s="31"/>
      <c r="H482" s="31"/>
    </row>
    <row r="483" customFormat="false" ht="15" hidden="false" customHeight="false" outlineLevel="0" collapsed="false">
      <c r="A483" s="31"/>
      <c r="B483" s="31"/>
      <c r="C483" s="31"/>
      <c r="D483" s="31"/>
      <c r="E483" s="31"/>
      <c r="F483" s="31"/>
      <c r="G483" s="31"/>
      <c r="H483" s="31"/>
    </row>
    <row r="484" customFormat="false" ht="15" hidden="false" customHeight="false" outlineLevel="0" collapsed="false">
      <c r="A484" s="31"/>
      <c r="B484" s="31"/>
      <c r="C484" s="31"/>
      <c r="D484" s="31"/>
      <c r="E484" s="31"/>
      <c r="F484" s="31"/>
      <c r="G484" s="31"/>
      <c r="H484" s="31"/>
    </row>
    <row r="485" customFormat="false" ht="15" hidden="false" customHeight="false" outlineLevel="0" collapsed="false">
      <c r="A485" s="31"/>
      <c r="B485" s="31"/>
      <c r="C485" s="31"/>
      <c r="D485" s="31"/>
      <c r="E485" s="31"/>
      <c r="F485" s="31"/>
      <c r="G485" s="31"/>
      <c r="H485" s="31"/>
    </row>
    <row r="486" customFormat="false" ht="15" hidden="false" customHeight="false" outlineLevel="0" collapsed="false">
      <c r="A486" s="31"/>
      <c r="B486" s="31"/>
      <c r="C486" s="31"/>
      <c r="D486" s="31"/>
      <c r="E486" s="31"/>
      <c r="F486" s="31"/>
      <c r="G486" s="31"/>
      <c r="H486" s="31"/>
    </row>
    <row r="487" customFormat="false" ht="15" hidden="false" customHeight="false" outlineLevel="0" collapsed="false">
      <c r="A487" s="31"/>
      <c r="B487" s="31"/>
      <c r="C487" s="31"/>
      <c r="D487" s="31"/>
      <c r="E487" s="31"/>
      <c r="F487" s="31"/>
      <c r="G487" s="31"/>
      <c r="H487" s="31"/>
    </row>
    <row r="488" customFormat="false" ht="15" hidden="false" customHeight="false" outlineLevel="0" collapsed="false">
      <c r="A488" s="31"/>
      <c r="B488" s="31"/>
      <c r="C488" s="31"/>
      <c r="D488" s="31"/>
      <c r="E488" s="31"/>
      <c r="F488" s="31"/>
      <c r="G488" s="31"/>
      <c r="H488" s="31"/>
    </row>
    <row r="489" customFormat="false" ht="15" hidden="false" customHeight="false" outlineLevel="0" collapsed="false">
      <c r="A489" s="31"/>
      <c r="B489" s="31"/>
      <c r="C489" s="31"/>
      <c r="D489" s="31"/>
      <c r="E489" s="31"/>
      <c r="F489" s="31"/>
      <c r="G489" s="31"/>
      <c r="H489" s="31"/>
    </row>
    <row r="490" customFormat="false" ht="15" hidden="false" customHeight="false" outlineLevel="0" collapsed="false">
      <c r="A490" s="31"/>
      <c r="B490" s="31"/>
      <c r="C490" s="31"/>
      <c r="D490" s="31"/>
      <c r="E490" s="31"/>
      <c r="F490" s="31"/>
      <c r="G490" s="31"/>
      <c r="H490" s="31"/>
    </row>
    <row r="491" customFormat="false" ht="15" hidden="false" customHeight="false" outlineLevel="0" collapsed="false">
      <c r="A491" s="31"/>
      <c r="B491" s="31"/>
      <c r="C491" s="31"/>
      <c r="D491" s="31"/>
      <c r="E491" s="31"/>
      <c r="F491" s="31"/>
      <c r="G491" s="31"/>
      <c r="H491" s="31"/>
    </row>
    <row r="492" customFormat="false" ht="15" hidden="false" customHeight="false" outlineLevel="0" collapsed="false">
      <c r="A492" s="31"/>
      <c r="B492" s="31"/>
      <c r="C492" s="31"/>
      <c r="D492" s="31"/>
      <c r="E492" s="31"/>
      <c r="F492" s="31"/>
      <c r="G492" s="31"/>
      <c r="H492" s="31"/>
    </row>
    <row r="493" customFormat="false" ht="15" hidden="false" customHeight="false" outlineLevel="0" collapsed="false">
      <c r="A493" s="31"/>
      <c r="B493" s="31"/>
      <c r="C493" s="31"/>
      <c r="D493" s="31"/>
      <c r="E493" s="31"/>
      <c r="F493" s="31"/>
      <c r="G493" s="31"/>
      <c r="H493" s="31"/>
    </row>
    <row r="494" customFormat="false" ht="15" hidden="false" customHeight="false" outlineLevel="0" collapsed="false">
      <c r="A494" s="31"/>
      <c r="B494" s="31"/>
      <c r="C494" s="31"/>
      <c r="D494" s="31"/>
      <c r="E494" s="31"/>
      <c r="F494" s="31"/>
      <c r="G494" s="31"/>
      <c r="H494" s="31"/>
    </row>
    <row r="495" customFormat="false" ht="15" hidden="false" customHeight="false" outlineLevel="0" collapsed="false">
      <c r="A495" s="31"/>
      <c r="B495" s="31"/>
      <c r="C495" s="31"/>
      <c r="D495" s="31"/>
      <c r="E495" s="31"/>
      <c r="F495" s="31"/>
      <c r="G495" s="31"/>
      <c r="H495" s="31"/>
    </row>
    <row r="496" customFormat="false" ht="15" hidden="false" customHeight="false" outlineLevel="0" collapsed="false">
      <c r="A496" s="31"/>
      <c r="B496" s="31"/>
      <c r="C496" s="31"/>
      <c r="D496" s="31"/>
      <c r="E496" s="31"/>
      <c r="F496" s="31"/>
      <c r="G496" s="31"/>
      <c r="H496" s="31"/>
    </row>
    <row r="497" customFormat="false" ht="15" hidden="false" customHeight="false" outlineLevel="0" collapsed="false">
      <c r="A497" s="31"/>
      <c r="B497" s="31"/>
      <c r="C497" s="31"/>
      <c r="D497" s="31"/>
      <c r="E497" s="31"/>
      <c r="F497" s="31"/>
      <c r="G497" s="31"/>
      <c r="H497" s="31"/>
    </row>
    <row r="498" customFormat="false" ht="15" hidden="false" customHeight="false" outlineLevel="0" collapsed="false">
      <c r="A498" s="31"/>
      <c r="B498" s="31"/>
      <c r="C498" s="31"/>
      <c r="D498" s="31"/>
      <c r="E498" s="31"/>
      <c r="F498" s="31"/>
      <c r="G498" s="31"/>
      <c r="H498" s="31"/>
    </row>
    <row r="499" customFormat="false" ht="15" hidden="false" customHeight="false" outlineLevel="0" collapsed="false">
      <c r="A499" s="31"/>
      <c r="B499" s="31"/>
      <c r="C499" s="31"/>
      <c r="D499" s="31"/>
      <c r="E499" s="31"/>
      <c r="F499" s="31"/>
      <c r="G499" s="31"/>
      <c r="H499" s="31"/>
    </row>
    <row r="500" customFormat="false" ht="15" hidden="false" customHeight="false" outlineLevel="0" collapsed="false">
      <c r="A500" s="31"/>
      <c r="B500" s="31"/>
      <c r="C500" s="31"/>
      <c r="D500" s="31"/>
      <c r="E500" s="31"/>
      <c r="F500" s="31"/>
      <c r="G500" s="31"/>
      <c r="H500" s="31"/>
    </row>
    <row r="501" customFormat="false" ht="15" hidden="false" customHeight="false" outlineLevel="0" collapsed="false">
      <c r="A501" s="31"/>
      <c r="B501" s="31"/>
      <c r="C501" s="31"/>
      <c r="D501" s="31"/>
      <c r="E501" s="31"/>
      <c r="F501" s="31"/>
      <c r="G501" s="31"/>
      <c r="H501" s="31"/>
    </row>
    <row r="502" customFormat="false" ht="15" hidden="false" customHeight="false" outlineLevel="0" collapsed="false">
      <c r="A502" s="31"/>
      <c r="B502" s="31"/>
      <c r="C502" s="31"/>
      <c r="D502" s="31"/>
      <c r="E502" s="31"/>
      <c r="F502" s="31"/>
      <c r="G502" s="31"/>
      <c r="H502" s="31"/>
    </row>
    <row r="503" customFormat="false" ht="15" hidden="false" customHeight="false" outlineLevel="0" collapsed="false">
      <c r="A503" s="31"/>
      <c r="B503" s="31"/>
      <c r="C503" s="31"/>
      <c r="D503" s="31"/>
      <c r="E503" s="31"/>
      <c r="F503" s="31"/>
      <c r="G503" s="31"/>
      <c r="H503" s="31"/>
    </row>
    <row r="504" customFormat="false" ht="15" hidden="false" customHeight="false" outlineLevel="0" collapsed="false">
      <c r="A504" s="31"/>
      <c r="B504" s="31"/>
      <c r="C504" s="31"/>
      <c r="D504" s="31"/>
      <c r="E504" s="31"/>
      <c r="F504" s="31"/>
      <c r="G504" s="31"/>
      <c r="H50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2026-09-28T23:19:51Z</dcterms:created>
  <dc:creator>openpyxl</dc:creator>
  <dc:description/>
  <dc:language>en-US</dc:language>
  <cp:lastModifiedBy/>
  <dcterms:modified xsi:type="dcterms:W3CDTF">2026-09-28T23:19:53Z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