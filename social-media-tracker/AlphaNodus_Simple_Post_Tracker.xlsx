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  <sheet name="Who Engaged" sheetId="2" state="visible" r:id="rId4"/>
    <sheet name="Target &amp; Team Lists" sheetId="3" state="visible" r:id="rId5"/>
  </sheets>
  <definedNames>
    <definedName function="false" hidden="true" localSheetId="0" name="_xlnm._FilterDatabase" vbProcedure="false">'Post Tracker'!$A$15:$AA$215</definedName>
    <definedName function="false" hidden="true" localSheetId="1" name="_xlnm._FilterDatabase" vbProcedure="false">'Who Engaged'!$A$4:$Q$1004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Short unique ID, e.g. li-261002 (add -story / -reel if you post twice that day). Links this post to the Who Engaged sheet and goes into the tracking URL.</t>
        </r>
      </text>
    </comment>
    <comment ref="D15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F15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H15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I15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N15" authorId="0">
      <text>
        <r>
          <rPr>
            <sz val="10"/>
            <rFont val="Arial"/>
            <family val="2"/>
          </rPr>
          <t xml:space="preserve">All clicks on the post. LinkedIn: 'Clicks'. X: detail expands + profile visits + link clicks. Instagram: profile visits + link taps.</t>
        </r>
      </text>
    </comment>
    <comment ref="O15" authorId="0">
      <text>
        <r>
          <rPr>
            <sz val="10"/>
            <rFont val="Arial"/>
            <family val="2"/>
          </rPr>
          <t xml:space="preserve">Instagram &amp; X: follows credited to the post. LinkedIn doesn't credit follows to posts, so use followers gained on the post day + the next 2 days.</t>
        </r>
      </text>
    </comment>
    <comment ref="P15" authorId="0">
      <text>
        <r>
          <rPr>
            <sz val="10"/>
            <rFont val="Arial"/>
            <family val="2"/>
          </rPr>
          <t xml:space="preserve">Likes + Comments + Shares + Saves + Clicks, as the platform reports them.</t>
        </r>
      </text>
    </comment>
    <comment ref="Q15" authorId="0">
      <text>
        <r>
          <rPr>
            <sz val="10"/>
            <rFont val="Arial"/>
            <family val="2"/>
          </rPr>
          <t xml:space="preserve">Likes, comments, shares and saves by Alpha Nodus staff, counted from the Who Engaged sheet. These don't count as real engagement.</t>
        </r>
      </text>
    </comment>
    <comment ref="R15" authorId="0">
      <text>
        <r>
          <rPr>
            <sz val="10"/>
            <rFont val="Arial"/>
            <family val="2"/>
          </rPr>
          <t xml:space="preserve">Total Engagement minus our team's engagement.</t>
        </r>
      </text>
    </comment>
    <comment ref="S15" authorId="0">
      <text>
        <r>
          <rPr>
            <sz val="10"/>
            <rFont val="Arial"/>
            <family val="2"/>
          </rPr>
          <t xml:space="preserve">Real Engagement ÷ Impressions/Views (or Reach if views are missing). Only if no post on that platform has either yet: ÷ followers in the box above.</t>
        </r>
      </text>
    </comment>
    <comment ref="T15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U15" authorId="0">
      <text>
        <r>
          <rPr>
            <sz val="10"/>
            <rFont val="Arial"/>
            <family val="2"/>
          </rPr>
          <t xml:space="preserve">People from our target list who liked, commented, shared or saved this post (from the Who Engaged sheet).</t>
        </r>
      </text>
    </comment>
    <comment ref="V15" authorId="0">
      <text>
        <r>
          <rPr>
            <sz val="10"/>
            <rFont val="Arial"/>
            <family val="2"/>
          </rPr>
          <t xml:space="preserve">People from our target list who followed us because of this post (from the Who Engaged sheet).</t>
        </r>
      </text>
    </comment>
    <comment ref="W15" authorId="0">
      <text>
        <r>
          <rPr>
            <sz val="10"/>
            <rFont val="Arial"/>
            <family val="2"/>
          </rPr>
          <t xml:space="preserve">Name – company of each target-list person who engaged with or followed us from this post.</t>
        </r>
      </text>
    </comment>
    <comment ref="Y15" authorId="0">
      <text>
        <r>
          <rPr>
            <sz val="10"/>
            <rFont val="Arial"/>
            <family val="2"/>
          </rPr>
          <t xml:space="preserve">What to do next time, with the number from our own September data that supports it.</t>
        </r>
      </text>
    </comment>
    <comment ref="AA15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<sst xmlns="http://schemas.openxmlformats.org/spreadsheetml/2006/main" count="568" uniqueCount="420">
  <si>
    <t xml:space="preserve">Alpha Nodus — Social Post Tracker</t>
  </si>
  <si>
    <t xml:space="preserve">One row per post. Fill the yellow cells; grey cells calculate themselves. Check numbers 7 days after posting, then read the Rating and pick the Next Action. Blue = real numbers from each platform's analytics (September 2026).</t>
  </si>
  <si>
    <t xml:space="preserve">Platform</t>
  </si>
  <si>
    <t xml:space="preserve">Followers Today</t>
  </si>
  <si>
    <t xml:space="preserve">Posts</t>
  </si>
  <si>
    <t xml:space="preserve">Impressions / Views</t>
  </si>
  <si>
    <t xml:space="preserve">Real Engagement</t>
  </si>
  <si>
    <t xml:space="preserve">Avg Engagement Rate</t>
  </si>
  <si>
    <t xml:space="preserve">Clicks</t>
  </si>
  <si>
    <t xml:space="preserve">New Followers</t>
  </si>
  <si>
    <t xml:space="preserve">Good Posts</t>
  </si>
  <si>
    <t xml:space="preserve">Below Standard Posts</t>
  </si>
  <si>
    <t xml:space="preserve">Target Accounts Engaged</t>
  </si>
  <si>
    <t xml:space="preserve">Target Accounts Followed</t>
  </si>
  <si>
    <t xml:space="preserve">How the Rating works</t>
  </si>
  <si>
    <t xml:space="preserve">LinkedIn</t>
  </si>
  <si>
    <t xml:space="preserve">Good = engagement rate at least 1.2× our average for that platform</t>
  </si>
  <si>
    <t xml:space="preserve">Instagram</t>
  </si>
  <si>
    <t xml:space="preserve">Average = between 0.8× and 1.2× our average</t>
  </si>
  <si>
    <t xml:space="preserve">X</t>
  </si>
  <si>
    <t xml:space="preserve">Below Standard = under 0.8× our average</t>
  </si>
  <si>
    <t xml:space="preserve">All platforms</t>
  </si>
  <si>
    <t xml:space="preserve">No Data Yet = numbers not entered, or fewer than 2 posts on that platform</t>
  </si>
  <si>
    <t xml:space="preserve">Followers Today: update every Monday. No founder or team LinkedIn posts in September. Target / team columns fill in from the 'Who Engaged' sheet.</t>
  </si>
  <si>
    <t xml:space="preserve">Engagement Rate = real engagement (likes + comments + shares + saves + clicks, minus our own team's) ÷ impressions / views</t>
  </si>
  <si>
    <t xml:space="preserve">Why our own average: each platform behaves differently, and it improves as we post more.</t>
  </si>
  <si>
    <t xml:space="preserve">Website &amp; demos — September 2026</t>
  </si>
  <si>
    <t xml:space="preserve">Website visits from social media: 12 of 7,424 site visits (0.16%)  ·  1.6 sec average time on site  (Google Analytics → Acquisition → Traffic acquisition → Organic Social)</t>
  </si>
  <si>
    <t xml:space="preserve">Demos booked: 1 in September — where it came from wasn't recorded, so it can't be credited to any post. From October, log the source of every demo.</t>
  </si>
  <si>
    <t xml:space="preserve">Date</t>
  </si>
  <si>
    <t xml:space="preserve">Post ID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</si>
  <si>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</si>
  <si>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</si>
  <si>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</si>
  <si>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</si>
  <si>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</si>
  <si>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</si>
  <si>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</si>
  <si>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</si>
  <si>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</si>
  <si>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</si>
  <si>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Total Engagement (all)</t>
  </si>
  <si>
    <t xml:space="preserve">Our Team's Engagement (removed)</t>
  </si>
  <si>
    <t xml:space="preserve">Real Engagement (excl. our team)</t>
  </si>
  <si>
    <t xml:space="preserve">Engagement Rate</t>
  </si>
  <si>
    <t xml:space="preserve">Rating</t>
  </si>
  <si>
    <t xml:space="preserve">Who (from our target list)</t>
  </si>
  <si>
    <t xml:space="preserve">What Was Weak</t>
  </si>
  <si>
    <t xml:space="preserve">Suggestion — and the data behind it</t>
  </si>
  <si>
    <t xml:space="preserve">Next Action</t>
  </si>
  <si>
    <t xml:space="preserve">Tracking URL (use this link in the post)</t>
  </si>
  <si>
    <t xml:space="preserve">li-260911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</si>
  <si>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</si>
  <si>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</si>
  <si>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</si>
  <si>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https://www.linkedin.com/feed/update/urn:li:activity:7504198831056764928</t>
  </si>
  <si>
    <t xml:space="preserve">Most seen (413) and most clicked (24) post of the month, but 0 comments, and only 198 of 413 people started the video.</t>
  </si>
  <si>
    <t xml:space="preserve">Cut a 30–45 sec version with captions. Data: most seen (413) and most clicked (24) LinkedIn post, but only 198 of 413 people started the video — and on X the same video was watched for 2–14 sec on average; nobody finished it.</t>
  </si>
  <si>
    <t xml:space="preserve">Improve &amp; Retry</t>
  </si>
  <si>
    <t xml:space="preserve">li-260914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</si>
  <si>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</si>
  <si>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</si>
  <si>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</si>
  <si>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https://www.linkedin.com/feed/update/urn:li:activity:7505309133571686400</t>
  </si>
  <si>
    <t xml:space="preserve">Most likes of the month (16) but 0 comments: nobody used the 'comment GravityAI' ask. Very long text.</t>
  </si>
  <si>
    <t xml:space="preserve">Open with a number again. Data: 16 likes — the most on LinkedIn — and 10.6% engagement vs our 10.1% LinkedIn average. Drop 'comment GravityAI': it got 0 comments here, on Instagram and on X.</t>
  </si>
  <si>
    <t xml:space="preserve">Repeat</t>
  </si>
  <si>
    <t xml:space="preserve">li-260918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</si>
  <si>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</si>
  <si>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</si>
  <si>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</si>
  <si>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https://www.linkedin.com/feed/update/urn:li:activity:7506754588167806979</t>
  </si>
  <si>
    <t xml:space="preserve">Best engagement rate and best click rate (8.3%), but the fewest impressions (217) — the billing topic reached fewer people.</t>
  </si>
  <si>
    <t xml:space="preserve">Keep the short story + question format; write line 1 for center owners. Data: best LinkedIn engagement (11.5%) and click rate (8.3%), but the fewest impressions (217) — the billing-team angle reached fewer people.</t>
  </si>
  <si>
    <t xml:space="preserve">li-260923</t>
  </si>
  <si>
    <t xml:space="preserve">Post: an imaging order passes 4 manual handoffs before it's billable</t>
  </si>
  <si>
    <t xml:space="preserve">https://www.linkedin.com/feed/update/urn:li:activity:7508663072018939904</t>
  </si>
  <si>
    <t xml:space="preserve">Lowest engagement rate of the month and no reposts. Second billing post in 5 days; demo link hidden in the comments.</t>
  </si>
  <si>
    <t xml:space="preserve">Space billing topics 2 weeks apart. Data: posted 5 days after Sep 18's billing post, it hit 9.0% — lowest on LinkedIn — and the same story got the fewest views of any Instagram feed post (88) and of any X post (13).</t>
  </si>
  <si>
    <t xml:space="preserve">li-260928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</si>
  <si>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</si>
  <si>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</si>
  <si>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</si>
  <si>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Posted after the LinkedIn export ended (Sep 26), so there are no impressions yet.</t>
  </si>
  <si>
    <t xml:space="preserve">Re-check on Oct 5 and post the results. Data: 5 LinkedIn posts drew only 3 comments all month — a one-click poll is the test of whether people will answer at all.</t>
  </si>
  <si>
    <t xml:space="preserve">Wait for Data</t>
  </si>
  <si>
    <t xml:space="preserve">ig-260911-reel</t>
  </si>
  <si>
    <t xml:space="preserve">Reel: 3-min Gravity AI explainer video</t>
  </si>
  <si>
    <t xml:space="preserve">https://www.instagram.com/alphanodus/reel/DdJxFt3t07x/</t>
  </si>
  <si>
    <t xml:space="preserve">Low engagement rate (8 interactions on 224 views), no comments, no profile visits. But it's the only Instagram post reaching new people: 86% of views were non-followers.</t>
  </si>
  <si>
    <t xml:space="preserve">Keep making Reels, 20–30 sec. Data: 86% of its 224 views came from non-followers — the only Instagram content reaching new people (stories were 96% existing followers).</t>
  </si>
  <si>
    <t xml:space="preserve">ig-260914</t>
  </si>
  <si>
    <t xml:space="preserve">Image: 'Scanners idle a third of the day, next slot 3 weeks out'</t>
  </si>
  <si>
    <t xml:space="preserve">https://www.instagram.com/alphanodus/p/DdRoAPjkqqy/</t>
  </si>
  <si>
    <t xml:space="preserve">Most likes of any post (8) but 0 comments, saves or shares. 3 in 4 views came from existing followers. The 'comment GravityAI' ask got nothing.</t>
  </si>
  <si>
    <t xml:space="preserve">Keep the stat visual, cut the caption to 3–4 lines. Data: most likes of any Instagram feed post (8) but 0 comments, saves or shares; the 'comment GravityAI' ask got 0 on all 3 platforms.</t>
  </si>
  <si>
    <t xml:space="preserve">ig-260918</t>
  </si>
  <si>
    <t xml:space="preserve">Carousel: an order arrives with one field missing</t>
  </si>
  <si>
    <t xml:space="preserve">https://www.instagram.com/alphanodus/p/DdcD_2JkjH0/</t>
  </si>
  <si>
    <t xml:space="preserve">Most profile visits of any post (5) but 0 comments, even though it ended with a question — the question was only in the caption.</t>
  </si>
  <si>
    <t xml:space="preserve">Put the question on the last slide with 2–3 answer options. Data: 5 profile visits — the most of any Instagram feed post — but 0 comments, because the question was only in the caption.</t>
  </si>
  <si>
    <t xml:space="preserve">ig-260918-story</t>
  </si>
  <si>
    <t xml:space="preserve">Story: 'Wanna see Gravity in action?' question box + website link (shares the carousel)</t>
  </si>
  <si>
    <t xml:space="preserve">https://www.instagram.com/alphanodus/</t>
  </si>
  <si>
    <t xml:space="preserve">Nobody typed an answer in the question box, and 11 of 54 views exited here. 2 likes, 1 link click, 1 profile visit.</t>
  </si>
  <si>
    <t xml:space="preserve">Replace the type-in question box with a 'Book a demo' link sticker. Data: 0 typed answers and 11 of 54 viewers exited; stories with links got the month's only 3 story link clicks.</t>
  </si>
  <si>
    <t xml:space="preserve">ig-260923</t>
  </si>
  <si>
    <t xml:space="preserve">Image: 4 manual handoffs before an order is billable</t>
  </si>
  <si>
    <t xml:space="preserve">https://www.instagram.com/alphanodus/p/DdpdTFWN9JR/</t>
  </si>
  <si>
    <t xml:space="preserve">Fewest views of any Instagram feed post (88) and only 2 likes. Text-heavy single image; second billing post in 5 days.</t>
  </si>
  <si>
    <t xml:space="preserve">Use a carousel or Reel for process stories, not one text-heavy image. Data: 88 views vs 183 for the Sep 18 carousel and 224 for the Reel.</t>
  </si>
  <si>
    <t xml:space="preserve">ig-260923-story</t>
  </si>
  <si>
    <t xml:space="preserve">Story series (4 frames): fax poll → handoffs poll → 'Gravity watches' → Book a demo + link</t>
  </si>
  <si>
    <t xml:space="preserve">Best Instagram result for the website: the 'Book a demo' frame got 2 link clicks and the series got 5 profile visits. But 0 votes on both polls, viewers fell from 38 to 29 across the frames, and 96% were existing followers.</t>
  </si>
  <si>
    <t xml:space="preserve">Repeat the Book-a-demo frame, cut to 2 frames, skip polls. Data: best Instagram engagement (11.3%); the demo frame got 2 of the month's 3 story link clicks; viewers fell 38 → 29 over 4 frames; 0 poll votes.</t>
  </si>
  <si>
    <t xml:space="preserve">x-260911</t>
  </si>
  <si>
    <t xml:space="preserve">Video: 3-min Gravity AI explainer + demo link</t>
  </si>
  <si>
    <t xml:space="preserve">https://x.com/AlphaNodus/status/2098433794022006872</t>
  </si>
  <si>
    <t xml:space="preserve">Only 6 video views all month and nobody watched to the end (average watch 2–14 sec). No likes, replies or link clicks — the 5 engagements were 4 'show more' taps + 1 profile visit.</t>
  </si>
  <si>
    <t xml:space="preserve">Post a 20–30 sec clip, not the full video. Data: X's best post (27 impressions), but only 6 video views all month, 2–14 sec average watch, 0 finished.</t>
  </si>
  <si>
    <t xml:space="preserve">x-260914</t>
  </si>
  <si>
    <t xml:space="preserve">Image: 'Scanners idle a third of the day' + comment GravityAI ask</t>
  </si>
  <si>
    <t xml:space="preserve">https://x.com/AlphaNodus/status/2099545479755583973</t>
  </si>
  <si>
    <t xml:space="preserve">16 impressions and only 1 'show more' tap. Nobody replied to the 'comment GravityAI' ask.</t>
  </si>
  <si>
    <t xml:space="preserve">Tag 1–2 industry accounts so it's seen beyond our 46 followers. Data: 16 impressions, 1 tap, 0 likes.</t>
  </si>
  <si>
    <t xml:space="preserve">x-260918</t>
  </si>
  <si>
    <t xml:space="preserve">3-tweet thread: an order with one field missing — when is it flagged?</t>
  </si>
  <si>
    <t xml:space="preserve">https://x.com/AlphaNodus/status/2101017252221128863</t>
  </si>
  <si>
    <t xml:space="preserve">Only 1 'show more' tap. The '1 reply' X shows is our own next tweet in the thread, not a customer. The question sat in tweet 3, which only 3 people saw.</t>
  </si>
  <si>
    <t xml:space="preserve">Put the question in tweet 1. Data: tweet 1 got 26 impressions; tweet 3 — the one with the question — got 3.</t>
  </si>
  <si>
    <t xml:space="preserve">x-260923</t>
  </si>
  <si>
    <t xml:space="preserve">2-tweet thread: 4 manual handoffs before an order is billable (pinned)</t>
  </si>
  <si>
    <t xml:space="preserve">https://x.com/AlphaNodus/status/2102915695722045558</t>
  </si>
  <si>
    <t xml:space="preserve">Rated Good only because 2 of 13 viewers tapped 'show more' — too few views to mean much. The '1 reply' is our own thread tweet. No likes or replies from others.</t>
  </si>
  <si>
    <t xml:space="preserve">Grow to 50 followers (4 to go) to unlock X analytics; ask the team to repost. Data: 13 impressions, lowest of the month — its 'Good' rating is just 2 taps.</t>
  </si>
  <si>
    <t xml:space="preserve">Who Engaged — one row per person per post</t>
  </si>
  <si>
    <t xml:space="preserve">Copy names from each post's likes / comments / reposts list and from new-follower lists. Put 1 under each thing they did. 'Our Team?' and 'On Target List?' fill in automatically (team list, target list and target keywords on the Target &amp; Team Lists sheet). Leave Post ID blank for a follow you can't tie to a post.</t>
  </si>
  <si>
    <t xml:space="preserve">Post ID (from Post Tracker)</t>
  </si>
  <si>
    <t xml:space="preserve">Person's Name</t>
  </si>
  <si>
    <t xml:space="preserve">Title / Headline</t>
  </si>
  <si>
    <t xml:space="preserve">Company</t>
  </si>
  <si>
    <t xml:space="preserve">Location</t>
  </si>
  <si>
    <t xml:space="preserve">Profile Link / Handle</t>
  </si>
  <si>
    <t xml:space="preserve">Liked</t>
  </si>
  <si>
    <t xml:space="preserve">Commented</t>
  </si>
  <si>
    <t xml:space="preserve">Shared / Reposted</t>
  </si>
  <si>
    <t xml:space="preserve">Saved</t>
  </si>
  <si>
    <t xml:space="preserve">Followed Us</t>
  </si>
  <si>
    <t xml:space="preserve">Engaged?</t>
  </si>
  <si>
    <t xml:space="preserve">Our Team?</t>
  </si>
  <si>
    <t xml:space="preserve">On Target List?</t>
  </si>
  <si>
    <t xml:space="preserve">Notes</t>
  </si>
  <si>
    <t xml:space="preserve">Sumit Kumar Chaudhary</t>
  </si>
  <si>
    <t xml:space="preserve">Customer Success | Customer Operations | Account Management | Customer Retention | Revenue Growth | SaaS</t>
  </si>
  <si>
    <t xml:space="preserve">Followed the LinkedIn page in September 2026 (LinkedIn doesn't say which post, or the exact day).</t>
  </si>
  <si>
    <t xml:space="preserve">somesh p</t>
  </si>
  <si>
    <t xml:space="preserve">Senior revenue Analyst</t>
  </si>
  <si>
    <t xml:space="preserve">Abhinav K.</t>
  </si>
  <si>
    <t xml:space="preserve">Retired | Writing about empathy, everyday dignity and social responsibility</t>
  </si>
  <si>
    <t xml:space="preserve">SaiKumarReddy k</t>
  </si>
  <si>
    <t xml:space="preserve">Aspiring web developer in MERN Stack | c++, SQL.</t>
  </si>
  <si>
    <t xml:space="preserve">Bhavani Shankar Vaka</t>
  </si>
  <si>
    <t xml:space="preserve">Senior Technical Support Engineer (L3 SME) | SaaS | APIs &amp; WebSockets | Cloud (GCP/Azure)</t>
  </si>
  <si>
    <t xml:space="preserve">Manik Makkar</t>
  </si>
  <si>
    <t xml:space="preserve">Enterprise Sales Manager @ Instahyre | Lead Generation, Sales Pipeline Development | Account Management</t>
  </si>
  <si>
    <t xml:space="preserve">Instahyre</t>
  </si>
  <si>
    <t xml:space="preserve">Reshmi Shree Settu</t>
  </si>
  <si>
    <t xml:space="preserve">Account Manager &amp; Business Development | JuegoTech Services</t>
  </si>
  <si>
    <t xml:space="preserve">JuegoTech Services</t>
  </si>
  <si>
    <t xml:space="preserve">Arjun Khadse</t>
  </si>
  <si>
    <t xml:space="preserve">Data Analyst | BI &amp; Reporting | SQL, Python, Excel, Power BI</t>
  </si>
  <si>
    <t xml:space="preserve">Md Adil Khan</t>
  </si>
  <si>
    <t xml:space="preserve">Database Expert | Implementation &amp; Consultation | Advanced SQL | ETL | Client Onboarding | Gen AI</t>
  </si>
  <si>
    <t xml:space="preserve">Sachin Kumar</t>
  </si>
  <si>
    <t xml:space="preserve">Full-Stack Developer | Immediate Joiner | MERN Stack | AI Integration | 6 Years Experience</t>
  </si>
  <si>
    <t xml:space="preserve">Urvashi A.</t>
  </si>
  <si>
    <t xml:space="preserve">Full Stack Engineer | PERN | AWS | Serving Notice Period | ex-Wipro</t>
  </si>
  <si>
    <t xml:space="preserve">Rakshitha H</t>
  </si>
  <si>
    <t xml:space="preserve">Software Engineer I | Python &amp; Agentic AI Engineering</t>
  </si>
  <si>
    <t xml:space="preserve">Ravi Rohela</t>
  </si>
  <si>
    <t xml:space="preserve">MERN | C/C++ | Node.js DEVELOPER @Ginger Webs</t>
  </si>
  <si>
    <t xml:space="preserve">Ginger Webs</t>
  </si>
  <si>
    <t xml:space="preserve">Janet Joshua</t>
  </si>
  <si>
    <t xml:space="preserve">Senior Software Engineer @ HCLSoftware</t>
  </si>
  <si>
    <t xml:space="preserve">HCLSoftware</t>
  </si>
  <si>
    <t xml:space="preserve">Saurav Kumar</t>
  </si>
  <si>
    <t xml:space="preserve">Full-Stack Developer (MEAN) | Immediate Joiner | AI Integration | 6.5 Years Experience</t>
  </si>
  <si>
    <t xml:space="preserve">Md Shagil Nizami</t>
  </si>
  <si>
    <t xml:space="preserve">SDE II | Frontend-Heavy Full-Stack Developer | AI &amp; Scalable Tech Enthusiast</t>
  </si>
  <si>
    <t xml:space="preserve">Pooja Yashwante</t>
  </si>
  <si>
    <t xml:space="preserve">Full-stack developer | PostgresSQL | Node.js | React.js</t>
  </si>
  <si>
    <t xml:space="preserve">Ananya Mahato</t>
  </si>
  <si>
    <t xml:space="preserve">Software Developer @ FinBox | Serving Notice Period | IIT Kharagpur '24</t>
  </si>
  <si>
    <t xml:space="preserve">FinBox</t>
  </si>
  <si>
    <t xml:space="preserve">Nikhil Singh</t>
  </si>
  <si>
    <t xml:space="preserve">Senior Backend Engineer | Node.js | NestJS | TypeScript | Python | Go | AWS | Kafka</t>
  </si>
  <si>
    <t xml:space="preserve">Nav Priti</t>
  </si>
  <si>
    <t xml:space="preserve">Senior MERN Stack Developer | Immediate Joiner | AI Integration | 7.5 Years Experience</t>
  </si>
  <si>
    <t xml:space="preserve">Amey Muke</t>
  </si>
  <si>
    <t xml:space="preserve">Software Engineering | AI Research</t>
  </si>
  <si>
    <t xml:space="preserve">Astik Mishra</t>
  </si>
  <si>
    <t xml:space="preserve">SDE @ Monk Mantra | Full-Stack Development, Cloud Infrastructure</t>
  </si>
  <si>
    <t xml:space="preserve">Monk Mantra</t>
  </si>
  <si>
    <t xml:space="preserve">Amarjeet Singh</t>
  </si>
  <si>
    <t xml:space="preserve">Front end developer | Full Stack Web Development | ReactJS | Redux | JavaScript</t>
  </si>
  <si>
    <t xml:space="preserve">Repana Vishnu Vardhan</t>
  </si>
  <si>
    <t xml:space="preserve">Forward Deployed AI Engineer | Client-Facing AI Solutions | Agentic AI &amp; LLMs | RAG | Python</t>
  </si>
  <si>
    <t xml:space="preserve">Priyanshu Khandelwal</t>
  </si>
  <si>
    <t xml:space="preserve">(headline cut off in the pasted list)</t>
  </si>
  <si>
    <t xml:space="preserve">Yash Shah</t>
  </si>
  <si>
    <t xml:space="preserve">iamyash214</t>
  </si>
  <si>
    <t xml:space="preserve">Recent Instagram follower #1 (newest first); Instagram doesn't show the follow date or which post.</t>
  </si>
  <si>
    <t xml:space="preserve">Best American Diagnostic (name cut off)</t>
  </si>
  <si>
    <t xml:space="preserve">Best American Diagnostic</t>
  </si>
  <si>
    <t xml:space="preserve">bestamericandiagno…</t>
  </si>
  <si>
    <t xml:space="preserve">Business account, name suggests a diagnostic imaging center — confirm it's a US center. Recent Instagram follower #2 (newest first); Instagram doesn't show the follow date or which post.</t>
  </si>
  <si>
    <t xml:space="preserve">AuntMinnieEurope.com</t>
  </si>
  <si>
    <t xml:space="preserve">AuntMinnieEurope</t>
  </si>
  <si>
    <t xml:space="preserve">auntminnieeurope</t>
  </si>
  <si>
    <t xml:space="preserve">Radiology news site (Europe) — industry media, not a client. Recent Instagram follower #3 (newest first); Instagram doesn't show the follow date or which post.</t>
  </si>
  <si>
    <t xml:space="preserve">Prina Patel</t>
  </si>
  <si>
    <t xml:space="preserve">prina81</t>
  </si>
  <si>
    <t xml:space="preserve">Recent Instagram follower #4 (newest first); Instagram doesn't show the follow date or which post.</t>
  </si>
  <si>
    <t xml:space="preserve">Hassaan Javaid</t>
  </si>
  <si>
    <t xml:space="preserve">hassaan.javaid_</t>
  </si>
  <si>
    <t xml:space="preserve">Recent Instagram follower #5 (newest first); Instagram doesn't show the follow date or which post.</t>
  </si>
  <si>
    <t xml:space="preserve">Mahesh Vinod Rajpopat</t>
  </si>
  <si>
    <t xml:space="preserve">mahesh_as_alwayz</t>
  </si>
  <si>
    <t xml:space="preserve">Recent Instagram follower #6 (newest first); Instagram doesn't show the follow date or which post.</t>
  </si>
  <si>
    <t xml:space="preserve">Babu T G</t>
  </si>
  <si>
    <t xml:space="preserve">babskali</t>
  </si>
  <si>
    <t xml:space="preserve">Recent Instagram follower #7 (newest first); Instagram doesn't show the follow date or which post.</t>
  </si>
  <si>
    <t xml:space="preserve">Ricardo ospina</t>
  </si>
  <si>
    <t xml:space="preserve">ricardo_ososp</t>
  </si>
  <si>
    <t xml:space="preserve">Recent Instagram follower #8 (newest first); Instagram doesn't show the follow date or which post.</t>
  </si>
  <si>
    <t xml:space="preserve">Deepa Patel</t>
  </si>
  <si>
    <t xml:space="preserve">deepa2961</t>
  </si>
  <si>
    <t xml:space="preserve">Recent Instagram follower #9 (newest first); Instagram doesn't show the follow date or which post.</t>
  </si>
  <si>
    <t xml:space="preserve">Radiolodiva</t>
  </si>
  <si>
    <t xml:space="preserve">radiolodiva</t>
  </si>
  <si>
    <t xml:space="preserve">Name suggests a radiology professional — open the profile; if they work at a US imaging center, type 'radiology' in Title. Recent Instagram follower #10 (newest first); Instagram doesn't show the follow date or which post.</t>
  </si>
  <si>
    <t xml:space="preserve">M S R</t>
  </si>
  <si>
    <t xml:space="preserve">rajputmsr8</t>
  </si>
  <si>
    <t xml:space="preserve">Recent Instagram follower #11 (newest first); Instagram doesn't show the follow date or which post.</t>
  </si>
  <si>
    <t xml:space="preserve">CrossScribe</t>
  </si>
  <si>
    <t xml:space="preserve">crossscribeai</t>
  </si>
  <si>
    <t xml:space="preserve">AI product account ('3x Faste…') — likely a vendor, not a client. Recent Instagram follower #12 (newest first); Instagram doesn't show the follow date or which post.</t>
  </si>
  <si>
    <t xml:space="preserve">Kusum Patel</t>
  </si>
  <si>
    <t xml:space="preserve">kusum9115</t>
  </si>
  <si>
    <t xml:space="preserve">Recent Instagram follower #13 (newest first); Instagram doesn't show the follow date or which post.</t>
  </si>
  <si>
    <t xml:space="preserve">Tushant Suneja</t>
  </si>
  <si>
    <t xml:space="preserve">tushant15</t>
  </si>
  <si>
    <t xml:space="preserve">Recent Instagram follower #14 (newest first); Instagram doesn't show the follow date or which post.</t>
  </si>
  <si>
    <t xml:space="preserve">Shyam Reddy</t>
  </si>
  <si>
    <t xml:space="preserve">shyamreddyy8</t>
  </si>
  <si>
    <t xml:space="preserve">Recent Instagram follower #15 (newest first); Instagram doesn't show the follow date or which post.</t>
  </si>
  <si>
    <t xml:space="preserve">Sudhanshu Singh</t>
  </si>
  <si>
    <t xml:space="preserve">sudhanshu_parmar1…</t>
  </si>
  <si>
    <t xml:space="preserve">Recent Instagram follower #16 (newest first); Instagram doesn't show the follow date or which post.</t>
  </si>
  <si>
    <t xml:space="preserve">jeetan rangeela</t>
  </si>
  <si>
    <t xml:space="preserve">jeetan_rangeela</t>
  </si>
  <si>
    <t xml:space="preserve">Recent Instagram follower #17 (newest first); Instagram doesn't show the follow date or which post.</t>
  </si>
  <si>
    <t xml:space="preserve">(name cut off)</t>
  </si>
  <si>
    <t xml:space="preserve">pandey_saurabh1008</t>
  </si>
  <si>
    <t xml:space="preserve">Recent Instagram follower #18 (newest first); Instagram doesn't show the follow date or which post.</t>
  </si>
  <si>
    <t xml:space="preserve">Target &amp; Team Lists</t>
  </si>
  <si>
    <t xml:space="preserve">Target clients = people or companies in independent radiology &amp; imaging centers across the USA. Named accounts go in the target list; everyone else is caught by the keywords on the right. Team list = current Alpha Nodus employees (from LinkedIn, Sep 2026) — their engagement is never counted. Add Instagram / X handles in column L so they match there too.</t>
  </si>
  <si>
    <t xml:space="preserve">TARGET LIST (imaging &amp; radiology centers)</t>
  </si>
  <si>
    <t xml:space="preserve">OUR TEAM (their engagement is not counted)</t>
  </si>
  <si>
    <t xml:space="preserve">WHO COUNTS AS A TARGET</t>
  </si>
  <si>
    <t xml:space="preserve">Website</t>
  </si>
  <si>
    <t xml:space="preserve">City</t>
  </si>
  <si>
    <t xml:space="preserve">State</t>
  </si>
  <si>
    <t xml:space="preserve">Key Contact Name</t>
  </si>
  <si>
    <t xml:space="preserve">Title</t>
  </si>
  <si>
    <t xml:space="preserve">LinkedIn URL</t>
  </si>
  <si>
    <t xml:space="preserve">Team Member Name</t>
  </si>
  <si>
    <t xml:space="preserve">Role</t>
  </si>
  <si>
    <t xml:space="preserve">Profile / Handle</t>
  </si>
  <si>
    <t xml:space="preserve">Target keywords (title or company contains…)</t>
  </si>
  <si>
    <t xml:space="preserve">…but NOT (vendors, competitors, students)</t>
  </si>
  <si>
    <t xml:space="preserve">Shamit P.</t>
  </si>
  <si>
    <t xml:space="preserve">CEO</t>
  </si>
  <si>
    <t xml:space="preserve">https://www.linkedin.com/in/ACoAAABcQCYBRLdtVbFostBVLNcsYE8ALgIWW4E</t>
  </si>
  <si>
    <t xml:space="preserve">radiology</t>
  </si>
  <si>
    <t xml:space="preserve">RamSoft</t>
  </si>
  <si>
    <t xml:space="preserve">Marketing Manager</t>
  </si>
  <si>
    <t xml:space="preserve">https://www.linkedin.com/in/ACoAACcwmuMBEJEASL8it5ecXMRBXDUdwok2gYY</t>
  </si>
  <si>
    <t xml:space="preserve">radiologist</t>
  </si>
  <si>
    <t xml:space="preserve">AbbaDox</t>
  </si>
  <si>
    <t xml:space="preserve">Minesh B. Patel</t>
  </si>
  <si>
    <t xml:space="preserve">Founding Board Member</t>
  </si>
  <si>
    <t xml:space="preserve">https://www.linkedin.com/in/ACoAAAJOgncBcfAOVIL8gJj4XY6qNV6LCxnfibE</t>
  </si>
  <si>
    <t xml:space="preserve">radiologic</t>
  </si>
  <si>
    <t xml:space="preserve">RADIN</t>
  </si>
  <si>
    <t xml:space="preserve">Neel Patel</t>
  </si>
  <si>
    <t xml:space="preserve">Software Engineer</t>
  </si>
  <si>
    <t xml:space="preserve">https://www.linkedin.com/in/ACoAAD1IEqUBbHdhrBV4YmnNAyMpBz_-fr3NfC4</t>
  </si>
  <si>
    <t xml:space="preserve">imaging</t>
  </si>
  <si>
    <t xml:space="preserve">MedInformatix</t>
  </si>
  <si>
    <t xml:space="preserve">Yash Chitransh</t>
  </si>
  <si>
    <t xml:space="preserve">Manager - CXS &amp; Insights</t>
  </si>
  <si>
    <t xml:space="preserve">https://www.linkedin.com/in/ACoAACiAm1YBy0z0iXUlDwJBhzT_UrS5WKswJ4Y</t>
  </si>
  <si>
    <t xml:space="preserve">diagnostic</t>
  </si>
  <si>
    <t xml:space="preserve">Advanced Data Systems</t>
  </si>
  <si>
    <t xml:space="preserve">Dheeraj Gahlot</t>
  </si>
  <si>
    <t xml:space="preserve">SDE-2</t>
  </si>
  <si>
    <t xml:space="preserve">https://www.linkedin.com/in/ACoAADfsJuEBpnYWXsGS3FOcWeuGRhL_kiFR6EA</t>
  </si>
  <si>
    <t xml:space="preserve">MRI</t>
  </si>
  <si>
    <t xml:space="preserve">INFINITT</t>
  </si>
  <si>
    <t xml:space="preserve">Radheshyam Dhabas</t>
  </si>
  <si>
    <t xml:space="preserve">Software Developer</t>
  </si>
  <si>
    <t xml:space="preserve">https://www.linkedin.com/in/ACoAACzVuJEBR1c2JSXggO1U3uEBkIt5dTb_3ZE</t>
  </si>
  <si>
    <t xml:space="preserve">mammo</t>
  </si>
  <si>
    <t xml:space="preserve">Royal Health</t>
  </si>
  <si>
    <t xml:space="preserve">Harsh Suri</t>
  </si>
  <si>
    <t xml:space="preserve">Director</t>
  </si>
  <si>
    <t xml:space="preserve">https://www.linkedin.com/in/ACoAAADLcnkBlZvPx74V9OY0D49Vmgw0mq2uHwE</t>
  </si>
  <si>
    <t xml:space="preserve">ultrasound</t>
  </si>
  <si>
    <t xml:space="preserve">Pixels on Target</t>
  </si>
  <si>
    <t xml:space="preserve">Sumeet Suri</t>
  </si>
  <si>
    <t xml:space="preserve">https://www.linkedin.com/in/ACoAAAAGeSkB7ZECVTmtyRAMJFKjQ1eUd0eBfq8</t>
  </si>
  <si>
    <t xml:space="preserve">sonograph</t>
  </si>
  <si>
    <t xml:space="preserve">AuntMinnie</t>
  </si>
  <si>
    <t xml:space="preserve">Lisandra Fundora</t>
  </si>
  <si>
    <t xml:space="preserve">https://www.linkedin.com/in/ACoAAEaT4nABF2iZYI5j4zHfUFlRHB5qg8PeDzw</t>
  </si>
  <si>
    <t xml:space="preserve">x-ray</t>
  </si>
  <si>
    <t xml:space="preserve">Sonank Prajapati</t>
  </si>
  <si>
    <t xml:space="preserve">Team Lead</t>
  </si>
  <si>
    <t xml:space="preserve">https://www.linkedin.com/in/ACoAAELnpKoB9J3pB7gST8LsWL_MEQJ6yCHtiFk</t>
  </si>
  <si>
    <t xml:space="preserve">CT tech</t>
  </si>
  <si>
    <t xml:space="preserve">student</t>
  </si>
  <si>
    <t xml:space="preserve">Jinnah Jimenez</t>
  </si>
  <si>
    <t xml:space="preserve">Administrative Assistant</t>
  </si>
  <si>
    <t xml:space="preserve">https://www.linkedin.com/in/ACoAACezGnIB5ijADJ6B2IHhm3_9nYlMRQxkKfw</t>
  </si>
  <si>
    <t xml:space="preserve">PACS</t>
  </si>
  <si>
    <t xml:space="preserve">aspiring</t>
  </si>
  <si>
    <t xml:space="preserve">Srishti Sudhi Pandey</t>
  </si>
  <si>
    <t xml:space="preserve">Human Resources Assistant</t>
  </si>
  <si>
    <t xml:space="preserve">https://www.linkedin.com/in/ACoAACsSkN0BbfGRaCRi8BJvUiE7zX_BDss8HA8</t>
  </si>
  <si>
    <t xml:space="preserve">nuclear medicine</t>
  </si>
  <si>
    <t xml:space="preserve">Arpit Jain</t>
  </si>
  <si>
    <t xml:space="preserve">https://www.linkedin.com/in/ACoAAANqfWwB4kFYCc5axgX1gnTK-AcNmQl-rvA</t>
  </si>
  <si>
    <t xml:space="preserve">interventional</t>
  </si>
  <si>
    <t xml:space="preserve">Krishnagouda Patil</t>
  </si>
  <si>
    <t xml:space="preserve">Senior Data Analyst</t>
  </si>
  <si>
    <t xml:space="preserve">https://www.linkedin.com/in/ACoAAB8MgQIBdV96VfSUb6KMCWq6ef8xgEkscFk</t>
  </si>
  <si>
    <t xml:space="preserve">Sasha From Gravity</t>
  </si>
  <si>
    <t xml:space="preserve">Document Specialist (AI agent profile)</t>
  </si>
  <si>
    <t xml:space="preserve">https://www.linkedin.com/in/ACoAAEjdEt8B-CaQdzm716jVzXg_42CqtKHLrR8</t>
  </si>
  <si>
    <t xml:space="preserve">Neel Desai</t>
  </si>
  <si>
    <t xml:space="preserve">Intern</t>
  </si>
  <si>
    <t xml:space="preserve">https://www.linkedin.com/in/ACoAADLlnDQBGtxsxFKhvGchYXH30PoXE7KhILQ</t>
  </si>
  <si>
    <t xml:space="preserve">Nelson Morillo</t>
  </si>
  <si>
    <t xml:space="preserve">https://www.linkedin.com/in/ACoAAC2guDsBcJaEwWDv5BfZQPQCoIDNRSI2QDY</t>
  </si>
  <si>
    <t xml:space="preserve">Rahul Mahat</t>
  </si>
  <si>
    <t xml:space="preserve">https://www.linkedin.com/in/ACoAADwlAyYBwuBZ2EN5O4fSCwU-g1JfiaT-ZBM</t>
  </si>
  <si>
    <t xml:space="preserve">Ankit Trivedi</t>
  </si>
  <si>
    <t xml:space="preserve">Embedded Software Engineer</t>
  </si>
  <si>
    <t xml:space="preserve">https://www.linkedin.com/in/ACoAAA_6X04BpcAsMjE_Bq0REMZ3JifOonbqiXM</t>
  </si>
  <si>
    <t xml:space="preserve">Yashaswini L</t>
  </si>
  <si>
    <t xml:space="preserve">Customer Success Manager</t>
  </si>
  <si>
    <t xml:space="preserve">https://www.linkedin.com/in/ACoAADdYjQ8Bzzt5LtHDM3KxN0CYKgcv3NqxGbI</t>
  </si>
  <si>
    <t xml:space="preserve">Kimberly A. Rosado</t>
  </si>
  <si>
    <t xml:space="preserve">Authorization Center Manager</t>
  </si>
  <si>
    <t xml:space="preserve">https://www.linkedin.com/in/ACoAABVHjtIBzOHj95uk6J_5xVlQ4TUW7dYAcA0</t>
  </si>
  <si>
    <t xml:space="preserve">Valjibhai Sangani</t>
  </si>
  <si>
    <t xml:space="preserve">Hardware Engineer</t>
  </si>
  <si>
    <t xml:space="preserve">https://www.linkedin.com/in/ACoAADIFDl0BpyrginUcbPWo52FfYObQT8-nHuw</t>
  </si>
  <si>
    <t xml:space="preserve">Susan From Gravity</t>
  </si>
  <si>
    <t xml:space="preserve">Prior Authorization Sidekick (AI agent profile)</t>
  </si>
  <si>
    <t xml:space="preserve">https://www.linkedin.com/in/ACoAAEehC9wB6msdzwK-7KCItZCLFzobipjyjhw</t>
  </si>
  <si>
    <t xml:space="preserve">Raghav Mittal</t>
  </si>
  <si>
    <t xml:space="preserve">https://www.linkedin.com/in/ACoAADYYBTcBdZi46_N-x-yW9nZoltP7C688crg</t>
  </si>
  <si>
    <t xml:space="preserve">Connor McNeil</t>
  </si>
  <si>
    <t xml:space="preserve">https://www.linkedin.com/in/ACoAADjNWMUBqK_k0V17Reojd8tDbF0-bZ-fdm0</t>
  </si>
  <si>
    <t xml:space="preserve">Jay Patel</t>
  </si>
  <si>
    <t xml:space="preserve">Account Executive</t>
  </si>
  <si>
    <t xml:space="preserve">https://www.linkedin.com/in/ACoAAC5L5qMBoBZ4KaHVKEkcuQN0wS-L4v8bumw</t>
  </si>
  <si>
    <t xml:space="preserve">Ayush Jain</t>
  </si>
  <si>
    <t xml:space="preserve">https://www.linkedin.com/in/ACoAADg2jUgBFAX3_gSr8uPRqVcdkJXpYxZV_DU</t>
  </si>
  <si>
    <t xml:space="preserve">Arun Kumar</t>
  </si>
  <si>
    <t xml:space="preserve">https://www.linkedin.com/in/ACoAABBTX4EBJ11Ai2moDo6SgdJunTcw5gXfEWo</t>
  </si>
  <si>
    <t xml:space="preserve">Harshil Kapuriya</t>
  </si>
  <si>
    <t xml:space="preserve">https://www.linkedin.com/in/ACoAAE5wf2UBQFOyibzFOMoXsvvJMUeebeatUqQ</t>
  </si>
  <si>
    <t xml:space="preserve">Sabrina Gutierrez</t>
  </si>
  <si>
    <t xml:space="preserve">Flow Center Manager</t>
  </si>
  <si>
    <t xml:space="preserve">https://www.linkedin.com/in/ACoAADBxv0sB_kTlWOeipUb5ce3DvU41L6jCfNM</t>
  </si>
  <si>
    <t xml:space="preserve">Pranav Naringrekar</t>
  </si>
  <si>
    <t xml:space="preserve">https://www.linkedin.com/in/ACoAABtKehUBZYp0k59f1iE1tBPQmWsUbJI-o90</t>
  </si>
  <si>
    <t xml:space="preserve">Joseph Macias</t>
  </si>
  <si>
    <t xml:space="preserve">https://www.linkedin.com/in/ACoAACjo8woB_O04L16FBqtvsUgI4I54IVQoD-E</t>
  </si>
  <si>
    <t xml:space="preserve">Prasanna S</t>
  </si>
  <si>
    <t xml:space="preserve">Project Manager</t>
  </si>
  <si>
    <t xml:space="preserve">https://www.linkedin.com/in/ACoAADfOqz8Bg257GtPdD_m6teWo1JVeRVVZVY8</t>
  </si>
  <si>
    <t xml:space="preserve">Sandra From Gravity</t>
  </si>
  <si>
    <t xml:space="preserve">Schedule Coordinator (AI agent profile)</t>
  </si>
  <si>
    <t xml:space="preserve">https://www.linkedin.com/in/ACoAAEd40ZoB9GGTUR07lyamd3uWxGyiVVNVCaM</t>
  </si>
  <si>
    <t xml:space="preserve">Tarun Singh</t>
  </si>
  <si>
    <t xml:space="preserve">Product Designer</t>
  </si>
  <si>
    <t xml:space="preserve">https://www.linkedin.com/in/ACoAADwhekkByrxKdClMUyLE9jxt9aVZwntOHGQ</t>
  </si>
  <si>
    <t xml:space="preserve">Datattreyo Laha</t>
  </si>
  <si>
    <t xml:space="preserve">HR &amp; Admin</t>
  </si>
  <si>
    <t xml:space="preserve">https://www.linkedin.com/in/ACoAABsE5EEBoQN9ZIm1jD4rZgQzB1tYTZCYMBw</t>
  </si>
  <si>
    <t xml:space="preserve">Little John Saroniya</t>
  </si>
  <si>
    <t xml:space="preserve">Data Analyst</t>
  </si>
  <si>
    <t xml:space="preserve">https://www.linkedin.com/in/ACoAACeTBQwBy3h0JxqWD-nx3MwF0fgyOp1Ynck</t>
  </si>
  <si>
    <t xml:space="preserve">Software Validation Engineer</t>
  </si>
  <si>
    <t xml:space="preserve">https://www.linkedin.com/in/ACoAAFgt4K8BPktdnTgc1aj6sHAcKxJFpT7EX2A</t>
  </si>
  <si>
    <t xml:space="preserve">Japs Trivedi</t>
  </si>
  <si>
    <t xml:space="preserve">https://www.linkedin.com/in/ACoAACGzxHwB5cqPEg7wrQ6cu2_tuu3EKTjesGM</t>
  </si>
  <si>
    <t xml:space="preserve">Iris Hale</t>
  </si>
  <si>
    <t xml:space="preserve">https://www.linkedin.com/in/ACoAAF3VRigBacKNvpBCuT6jusb0LeRzeVDZ9QM</t>
  </si>
  <si>
    <t xml:space="preserve">alphanodus</t>
  </si>
  <si>
    <t xml:space="preserve">Company Instagram account</t>
  </si>
  <si>
    <t xml:space="preserve">Marketing Manager (Instagram)</t>
  </si>
  <si>
    <t xml:space="preserve">AlphaNodus</t>
  </si>
  <si>
    <t xml:space="preserve">Company X account</t>
  </si>
  <si>
    <t xml:space="preserve">@AlphaNodus</t>
  </si>
  <si>
    <t xml:space="preserve">A person is a target if their title/headline or company contains a target keyword and none of the 'NOT' words — or if their company or name is on the target list. Check the Location column: only US imaging centers count.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</si>
</sst>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mm/dd/yyyy"/>
    <numFmt numFmtId="16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7F7F7F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A21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2" min="11" style="0" width="9"/>
    <col collapsed="false" customWidth="true" hidden="false" outlineLevel="0" max="14" min="13" style="0" width="7"/>
    <col collapsed="false" customWidth="true" hidden="false" outlineLevel="0" max="16" min="15" style="0" width="10"/>
    <col collapsed="false" customWidth="true" hidden="false" outlineLevel="0" max="18" min="17" style="0" width="11"/>
    <col collapsed="false" customWidth="true" hidden="false" outlineLevel="0" max="19" min="19" style="0" width="10"/>
    <col collapsed="false" customWidth="true" hidden="false" outlineLevel="0" max="20" min="20" style="0" width="14"/>
    <col collapsed="false" customWidth="true" hidden="false" outlineLevel="0" max="22" min="21" style="0" width="10"/>
    <col collapsed="false" customWidth="true" hidden="false" outlineLevel="0" max="23" min="23" style="0" width="34"/>
    <col collapsed="false" customWidth="true" hidden="false" outlineLevel="0" max="24" min="24" style="0" width="40"/>
    <col collapsed="false" customWidth="true" hidden="false" outlineLevel="0" max="25" min="25" style="0" width="52"/>
    <col collapsed="false" customWidth="true" hidden="false" outlineLevel="0" max="26" min="26" style="0" width="14"/>
    <col collapsed="false" customWidth="true" hidden="false" outlineLevel="0" max="27" min="27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N4" s="4" t="s">
        <v>14</v>
      </c>
    </row>
    <row r="5" customFormat="false" ht="15" hidden="false" customHeight="false" outlineLevel="0" collapsed="false">
      <c r="A5" s="5" t="s">
        <v>15</v>
      </c>
      <c r="B5" s="6" t="n">
        <v>2640</v>
      </c>
      <c r="C5" s="7" t="n">
        <f aca="false">COUNTIF($B$16:$B$215,A5)</f>
        <v>5</v>
      </c>
      <c r="D5" s="7" t="n">
        <f aca="false">SUMIF($B$16:$B$215,A5,$H$16:$H$215)</f>
        <v>1186</v>
      </c>
      <c r="E5" s="7" t="n">
        <f aca="false">SUMIF($B$16:$B$215,A5,$R$16:$R$215)</f>
        <v>121</v>
      </c>
      <c r="F5" s="8" t="n">
        <f aca="false">IFERROR(AVERAGEIF($B$16:$B$215,A5,$S$16:$S$215),"")</f>
        <v>0.101243004465839</v>
      </c>
      <c r="G5" s="7" t="n">
        <f aca="false">SUMIF($B$16:$B$215,A5,$N$16:$N$215)</f>
        <v>75</v>
      </c>
      <c r="H5" s="7" t="n">
        <f aca="false">SUMIF($B$16:$B$215,A5,$O$16:$O$215)</f>
        <v>10</v>
      </c>
      <c r="I5" s="7" t="n">
        <f aca="false">COUNTIFS($B$16:$B$215,A5,$T$16:$T$215,"Good")</f>
        <v>0</v>
      </c>
      <c r="J5" s="7" t="n">
        <f aca="false">COUNTIFS($B$16:$B$215,A5,$T$16:$T$215,"Below Standard")</f>
        <v>0</v>
      </c>
      <c r="K5" s="7" t="n">
        <f aca="false">SUMIF($B$16:$B$215,A5,$U$16:$U$215)</f>
        <v>0</v>
      </c>
      <c r="L5" s="7" t="n">
        <f aca="false">SUMIF($B$16:$B$215,A5,$V$16:$V$215)</f>
        <v>0</v>
      </c>
      <c r="N5" s="9" t="s">
        <v>16</v>
      </c>
    </row>
    <row r="6" customFormat="false" ht="15" hidden="false" customHeight="false" outlineLevel="0" collapsed="false">
      <c r="A6" s="5" t="s">
        <v>17</v>
      </c>
      <c r="B6" s="6" t="n">
        <v>61</v>
      </c>
      <c r="C6" s="7" t="n">
        <f aca="false">COUNTIF($B$16:$B$215,A6)</f>
        <v>6</v>
      </c>
      <c r="D6" s="7" t="n">
        <f aca="false">SUMIF($B$16:$B$215,A6,$H$16:$H$215)</f>
        <v>768</v>
      </c>
      <c r="E6" s="7" t="n">
        <f aca="false">SUMIF($B$16:$B$215,A6,$R$16:$R$215)</f>
        <v>44</v>
      </c>
      <c r="F6" s="8" t="n">
        <f aca="false">IFERROR(AVERAGEIF($B$16:$B$215,A6,$S$16:$S$215),"")</f>
        <v>0.0651741237175819</v>
      </c>
      <c r="G6" s="7" t="n">
        <f aca="false">SUMIF($B$16:$B$215,A6,$N$16:$N$215)</f>
        <v>17</v>
      </c>
      <c r="H6" s="7" t="n">
        <f aca="false">SUMIF($B$16:$B$215,A6,$O$16:$O$215)</f>
        <v>0</v>
      </c>
      <c r="I6" s="7" t="n">
        <f aca="false">COUNTIFS($B$16:$B$215,A6,$T$16:$T$215,"Good")</f>
        <v>1</v>
      </c>
      <c r="J6" s="7" t="n">
        <f aca="false">COUNTIFS($B$16:$B$215,A6,$T$16:$T$215,"Below Standard")</f>
        <v>2</v>
      </c>
      <c r="K6" s="7" t="n">
        <f aca="false">SUMIF($B$16:$B$215,A6,$U$16:$U$215)</f>
        <v>0</v>
      </c>
      <c r="L6" s="7" t="n">
        <f aca="false">SUMIF($B$16:$B$215,A6,$V$16:$V$215)</f>
        <v>0</v>
      </c>
      <c r="N6" s="9" t="s">
        <v>18</v>
      </c>
    </row>
    <row r="7" customFormat="false" ht="15" hidden="false" customHeight="false" outlineLevel="0" collapsed="false">
      <c r="A7" s="5" t="s">
        <v>19</v>
      </c>
      <c r="B7" s="6" t="n">
        <v>46</v>
      </c>
      <c r="C7" s="7" t="n">
        <f aca="false">COUNTIF($B$16:$B$215,A7)</f>
        <v>4</v>
      </c>
      <c r="D7" s="7" t="n">
        <f aca="false">SUMIF($B$16:$B$215,A7,$H$16:$H$215)</f>
        <v>82</v>
      </c>
      <c r="E7" s="7" t="n">
        <f aca="false">SUMIF($B$16:$B$215,A7,$R$16:$R$215)</f>
        <v>9</v>
      </c>
      <c r="F7" s="8" t="n">
        <f aca="false">IFERROR(AVERAGEIF($B$16:$B$215,A7,$S$16:$S$215),"")</f>
        <v>0.109998219373219</v>
      </c>
      <c r="G7" s="7" t="n">
        <f aca="false">SUMIF($B$16:$B$215,A7,$N$16:$N$215)</f>
        <v>9</v>
      </c>
      <c r="H7" s="7" t="n">
        <f aca="false">SUMIF($B$16:$B$215,A7,$O$16:$O$215)</f>
        <v>0</v>
      </c>
      <c r="I7" s="7" t="n">
        <f aca="false">COUNTIFS($B$16:$B$215,A7,$T$16:$T$215,"Good")</f>
        <v>2</v>
      </c>
      <c r="J7" s="7" t="n">
        <f aca="false">COUNTIFS($B$16:$B$215,A7,$T$16:$T$215,"Below Standard")</f>
        <v>2</v>
      </c>
      <c r="K7" s="7" t="n">
        <f aca="false">SUMIF($B$16:$B$215,A7,$U$16:$U$215)</f>
        <v>0</v>
      </c>
      <c r="L7" s="7" t="n">
        <f aca="false">SUMIF($B$16:$B$215,A7,$V$16:$V$215)</f>
        <v>0</v>
      </c>
      <c r="N7" s="9" t="s">
        <v>20</v>
      </c>
    </row>
    <row r="8" customFormat="false" ht="15" hidden="false" customHeight="false" outlineLevel="0" collapsed="false">
      <c r="A8" s="10" t="s">
        <v>21</v>
      </c>
      <c r="B8" s="11" t="n">
        <f aca="false">SUM(B5:B7)</f>
        <v>2747</v>
      </c>
      <c r="C8" s="11" t="n">
        <f aca="false">SUM(C5:C7)</f>
        <v>15</v>
      </c>
      <c r="D8" s="11" t="n">
        <f aca="false">SUM(D5:D7)</f>
        <v>2036</v>
      </c>
      <c r="E8" s="11" t="n">
        <f aca="false">SUM(E5:E7)</f>
        <v>174</v>
      </c>
      <c r="F8" s="12" t="n">
        <f aca="false">IFERROR(AVERAGE($S$16:$S$215),"")</f>
        <v>0.0882864026901233</v>
      </c>
      <c r="G8" s="11" t="n">
        <f aca="false">SUM(G5:G7)</f>
        <v>101</v>
      </c>
      <c r="H8" s="11" t="n">
        <f aca="false">SUM(H5:H7)</f>
        <v>10</v>
      </c>
      <c r="I8" s="11" t="n">
        <f aca="false">SUM(I5:I7)</f>
        <v>3</v>
      </c>
      <c r="J8" s="11" t="n">
        <f aca="false">SUM(J5:J7)</f>
        <v>4</v>
      </c>
      <c r="K8" s="11" t="n">
        <f aca="false">SUM(K5:K7)</f>
        <v>0</v>
      </c>
      <c r="L8" s="11" t="n">
        <f aca="false">SUM(L5:L7)</f>
        <v>0</v>
      </c>
      <c r="N8" s="9" t="s">
        <v>22</v>
      </c>
    </row>
    <row r="9" customFormat="false" ht="15" hidden="false" customHeight="false" outlineLevel="0" collapsed="false">
      <c r="A9" s="13" t="s">
        <v>23</v>
      </c>
      <c r="N9" s="9" t="s">
        <v>24</v>
      </c>
    </row>
    <row r="10" customFormat="false" ht="15" hidden="false" customHeight="false" outlineLevel="0" collapsed="false">
      <c r="N10" s="9" t="s">
        <v>25</v>
      </c>
    </row>
    <row r="11" customFormat="false" ht="15" hidden="false" customHeight="false" outlineLevel="0" collapsed="false">
      <c r="A11" s="14" t="s">
        <v>26</v>
      </c>
    </row>
    <row r="12" customFormat="false" ht="15" hidden="false" customHeight="false" outlineLevel="0" collapsed="false">
      <c r="A12" s="15" t="s">
        <v>27</v>
      </c>
    </row>
    <row r="13" customFormat="false" ht="15" hidden="false" customHeight="false" outlineLevel="0" collapsed="false">
      <c r="A13" s="15" t="s">
        <v>28</v>
      </c>
    </row>
    <row r="14" customFormat="false" ht="15" hidden="false" customHeight="false" outlineLevel="0" collapsed="false">
      <c r="A14" s="16" t="str">
        <f aca="false">"People we've identified (Who Engaged sheet): "&amp;COUNTIF('Who Engaged'!$D$5:$D$1004,"?*")&amp;"  ·  from our target list: "&amp;COUNTIF('Who Engaged'!$P$5:$P$1004,"Yes")&amp;"  ·  our own team: "&amp;COUNTIF('Who Engaged'!$O$5:$O$1004,"Yes")&amp;"  ·  followers checked: LinkedIn "&amp;COUNTIFS('Who Engaged'!$B$5:$B$1004,"LinkedIn",'Who Engaged'!$M$5:$M$1004,1)&amp;", Instagram "&amp;COUNTIFS('Who Engaged'!$B$5:$B$1004,"Instagram",'Who Engaged'!$M$5:$M$1004,1)</f>
        <v>People we've identified (Who Engaged sheet): 43  ·  from our target list: 1  ·  our own team: 1  ·  followers checked: LinkedIn 25, Instagram 18</v>
      </c>
    </row>
    <row r="15" customFormat="false" ht="42" hidden="false" customHeight="true" outlineLevel="0" collapsed="false">
      <c r="A15" s="3" t="s">
        <v>29</v>
      </c>
      <c r="B15" s="3" t="s">
        <v>2</v>
      </c>
      <c r="C15" s="3" t="s">
        <v>30</v>
      </c>
      <c r="D15" s="3" t="s">
        <v>31</v>
      </c>
      <c r="E15" s="3" t="s">
        <v>32</v>
      </c>
      <c r="F15" s="3" t="s">
        <v>33</v>
      </c>
      <c r="G15" s="3" t="s">
        <v>34</v>
      </c>
      <c r="H15" s="3" t="s">
        <v>35</v>
      </c>
      <c r="I15" s="3" t="s">
        <v>36</v>
      </c>
      <c r="J15" s="3" t="s">
        <v>37</v>
      </c>
      <c r="K15" s="3" t="s">
        <v>38</v>
      </c>
      <c r="L15" s="3" t="s">
        <v>39</v>
      </c>
      <c r="M15" s="3" t="s">
        <v>40</v>
      </c>
      <c r="N15" s="3" t="s">
        <v>8</v>
      </c>
      <c r="O15" s="3" t="s">
        <v>9</v>
      </c>
      <c r="P15" s="17" t="s">
        <v>41</v>
      </c>
      <c r="Q15" s="17" t="s">
        <v>42</v>
      </c>
      <c r="R15" s="17" t="s">
        <v>43</v>
      </c>
      <c r="S15" s="17" t="s">
        <v>44</v>
      </c>
      <c r="T15" s="17" t="s">
        <v>45</v>
      </c>
      <c r="U15" s="17" t="s">
        <v>12</v>
      </c>
      <c r="V15" s="17" t="s">
        <v>13</v>
      </c>
      <c r="W15" s="17" t="s">
        <v>46</v>
      </c>
      <c r="X15" s="3" t="s">
        <v>47</v>
      </c>
      <c r="Y15" s="3" t="s">
        <v>48</v>
      </c>
      <c r="Z15" s="3" t="s">
        <v>49</v>
      </c>
      <c r="AA15" s="17" t="s">
        <v>50</v>
      </c>
    </row>
    <row r="16" customFormat="false" ht="67.5" hidden="false" customHeight="true" outlineLevel="0" collapsed="false">
      <c r="A16" s="18" t="n">
        <v>46276</v>
      </c>
      <c r="B16" s="19" t="s">
        <v>15</v>
      </c>
      <c r="C16" s="19" t="s">
        <v>51</v>
      </c>
      <c r="D16" s="20" t="s">
        <v>52</v>
      </c>
      <c r="E16" s="19" t="s">
        <v>53</v>
      </c>
      <c r="F16" s="19" t="s">
        <v>54</v>
      </c>
      <c r="G16" s="19" t="s">
        <v>55</v>
      </c>
      <c r="H16" s="21" t="n">
        <v>413</v>
      </c>
      <c r="I16" s="22"/>
      <c r="J16" s="21" t="n">
        <v>14</v>
      </c>
      <c r="K16" s="21" t="n">
        <v>0</v>
      </c>
      <c r="L16" s="21" t="n">
        <v>1</v>
      </c>
      <c r="M16" s="22"/>
      <c r="N16" s="21" t="n">
        <v>24</v>
      </c>
      <c r="O16" s="21" t="n">
        <v>0</v>
      </c>
      <c r="P16" s="23" t="n">
        <f aca="false">IF(OR(A16="",B16="",C16=""),"",IF(COUNT(J16:N16)=0,"",SUM(J16:N16)))</f>
        <v>39</v>
      </c>
      <c r="Q16" s="23" t="n">
        <f aca="false">IF(OR(A16="",B16="",C16=""),"",SUMIFS('Who Engaged'!$I$5:$I$1004,'Who Engaged'!$C$5:$C$1004,C16,'Who Engaged'!$O$5:$O$1004,"Yes")+SUMIFS('Who Engaged'!$J$5:$J$1004,'Who Engaged'!$C$5:$C$1004,C16,'Who Engaged'!$O$5:$O$1004,"Yes")+SUMIFS('Who Engaged'!$K$5:$K$1004,'Who Engaged'!$C$5:$C$1004,C16,'Who Engaged'!$O$5:$O$1004,"Yes")+SUMIFS('Who Engaged'!$L$5:$L$1004,'Who Engaged'!$C$5:$C$1004,C16,'Who Engaged'!$O$5:$O$1004,"Yes"))</f>
        <v>0</v>
      </c>
      <c r="R16" s="23" t="n">
        <f aca="false">IF(OR(OR(A16="",B16="",C16=""),P16=""),"",MAX(0,P16-N(Q16)))</f>
        <v>39</v>
      </c>
      <c r="S16" s="24" t="n">
        <f aca="false">IF(OR(OR(A16="",B16="",C16=""),R16=""),"",IFERROR(R16/(IF(N(H16)&gt;0,H16,IF(N(I16)&gt;0,I16,IF(COUNTIFS($B$16:$B$215,B16,$H$16:$H$215,"&gt;0")+COUNTIFS($B$16:$B$215,B16,$I$16:$I$215,"&gt;0")&gt;0,"",INDEX($B$5:$B$7,MATCH(B16,$A$5:$A$7,0)))))),""))</f>
        <v>0.0944309927360775</v>
      </c>
      <c r="T16" s="25" t="str">
        <f aca="false">IF(OR(A16="",B16="",C16=""),"",IF(OR(S16="",COUNTIFS($B$16:$B$215,B16,$S$16:$S$215,"&gt;=0")&lt;2),"No Data Yet",IFERROR(IF(S16/AVERAGEIFS($S$16:$S$215,$B$16:$B$215,B16)&gt;=1.2,"Good",IF(S16/AVERAGEIFS($S$16:$S$215,$B$16:$B$215,B16)&gt;=0.8,"Average","Below Standard")),"Average")))</f>
        <v>Average</v>
      </c>
      <c r="U16" s="23" t="n">
        <f aca="false">IF(OR(A16="",B16="",C16=""),"",COUNTIFS('Who Engaged'!$C$5:$C$1004,C16,'Who Engaged'!$P$5:$P$1004,"Yes",'Who Engaged'!$N$5:$N$1004,1))</f>
        <v>0</v>
      </c>
      <c r="V16" s="23" t="n">
        <f aca="false">IF(OR(A16="",B16="",C16=""),"",COUNTIFS('Who Engaged'!$C$5:$C$1004,C16,'Who Engaged'!$P$5:$P$1004,"Yes",'Who Engaged'!$M$5:$M$1004,1))</f>
        <v>0</v>
      </c>
      <c r="W16" s="26" t="str">
        <f aca="false" t="array" ref="W16:W16">IF(OR(A16="",B16="",C16=""),"",_xlfn.TEXTJOIN("; ",TRUE(),IF(('Who Engaged'!$C$5:$C$1004=C16)*('Who Engaged'!$P$5:$P$1004="Yes"),'Who Engaged'!$D$5:$D$1004&amp;" – "&amp;'Who Engaged'!$F$5:$F$1004&amp;IF('Who Engaged'!$M$5:$M$1004=1," (followed)",""),"")))</f>
        <v/>
      </c>
      <c r="X16" s="27" t="s">
        <v>56</v>
      </c>
      <c r="Y16" s="27" t="s">
        <v>57</v>
      </c>
      <c r="Z16" s="28" t="s">
        <v>58</v>
      </c>
      <c r="AA16" s="25" t="str">
        <f aca="false">IF(OR(A16="",B16="",C16=""),"","https://www.alphanodus.com/contact?utm_source="&amp;IF(B16="X","twitter",LOWER(B16))&amp;"&amp;utm_medium=social&amp;utm_campaign="&amp;IF(E16="","general",LOWER(SUBSTITUTE(SUBSTITUTE(E16," / ","-")," ","-")))&amp;"&amp;utm_content="&amp;LOWER(C16))</f>
        <v>https://www.alphanodus.com/contact?utm_source=linkedin&amp;utm_medium=social&amp;utm_campaign=product-demo&amp;utm_content=li-260911</v>
      </c>
    </row>
    <row r="17" customFormat="false" ht="67.5" hidden="false" customHeight="true" outlineLevel="0" collapsed="false">
      <c r="A17" s="18" t="n">
        <v>46279</v>
      </c>
      <c r="B17" s="19" t="s">
        <v>15</v>
      </c>
      <c r="C17" s="19" t="s">
        <v>59</v>
      </c>
      <c r="D17" s="20" t="s">
        <v>60</v>
      </c>
      <c r="E17" s="19" t="s">
        <v>61</v>
      </c>
      <c r="F17" s="19" t="s">
        <v>62</v>
      </c>
      <c r="G17" s="19" t="s">
        <v>63</v>
      </c>
      <c r="H17" s="21" t="n">
        <v>322</v>
      </c>
      <c r="I17" s="22"/>
      <c r="J17" s="21" t="n">
        <v>16</v>
      </c>
      <c r="K17" s="21" t="n">
        <v>0</v>
      </c>
      <c r="L17" s="21" t="n">
        <v>1</v>
      </c>
      <c r="M17" s="22"/>
      <c r="N17" s="21" t="n">
        <v>17</v>
      </c>
      <c r="O17" s="21" t="n">
        <v>3</v>
      </c>
      <c r="P17" s="23" t="n">
        <f aca="false">IF(OR(A17="",B17="",C17=""),"",IF(COUNT(J17:N17)=0,"",SUM(J17:N17)))</f>
        <v>34</v>
      </c>
      <c r="Q17" s="23" t="n">
        <f aca="false">IF(OR(A17="",B17="",C17=""),"",SUMIFS('Who Engaged'!$I$5:$I$1004,'Who Engaged'!$C$5:$C$1004,C17,'Who Engaged'!$O$5:$O$1004,"Yes")+SUMIFS('Who Engaged'!$J$5:$J$1004,'Who Engaged'!$C$5:$C$1004,C17,'Who Engaged'!$O$5:$O$1004,"Yes")+SUMIFS('Who Engaged'!$K$5:$K$1004,'Who Engaged'!$C$5:$C$1004,C17,'Who Engaged'!$O$5:$O$1004,"Yes")+SUMIFS('Who Engaged'!$L$5:$L$1004,'Who Engaged'!$C$5:$C$1004,C17,'Who Engaged'!$O$5:$O$1004,"Yes"))</f>
        <v>0</v>
      </c>
      <c r="R17" s="23" t="n">
        <f aca="false">IF(OR(OR(A17="",B17="",C17=""),P17=""),"",MAX(0,P17-N(Q17)))</f>
        <v>34</v>
      </c>
      <c r="S17" s="24" t="n">
        <f aca="false">IF(OR(OR(A17="",B17="",C17=""),R17=""),"",IFERROR(R17/(IF(N(H17)&gt;0,H17,IF(N(I17)&gt;0,I17,IF(COUNTIFS($B$16:$B$215,B17,$H$16:$H$215,"&gt;0")+COUNTIFS($B$16:$B$215,B17,$I$16:$I$215,"&gt;0")&gt;0,"",INDEX($B$5:$B$7,MATCH(B17,$A$5:$A$7,0)))))),""))</f>
        <v>0.105590062111801</v>
      </c>
      <c r="T17" s="25" t="str">
        <f aca="false">IF(OR(A17="",B17="",C17=""),"",IF(OR(S17="",COUNTIFS($B$16:$B$215,B17,$S$16:$S$215,"&gt;=0")&lt;2),"No Data Yet",IFERROR(IF(S17/AVERAGEIFS($S$16:$S$215,$B$16:$B$215,B17)&gt;=1.2,"Good",IF(S17/AVERAGEIFS($S$16:$S$215,$B$16:$B$215,B17)&gt;=0.8,"Average","Below Standard")),"Average")))</f>
        <v>Average</v>
      </c>
      <c r="U17" s="23" t="n">
        <f aca="false">IF(OR(A17="",B17="",C17=""),"",COUNTIFS('Who Engaged'!$C$5:$C$1004,C17,'Who Engaged'!$P$5:$P$1004,"Yes",'Who Engaged'!$N$5:$N$1004,1))</f>
        <v>0</v>
      </c>
      <c r="V17" s="23" t="n">
        <f aca="false">IF(OR(A17="",B17="",C17=""),"",COUNTIFS('Who Engaged'!$C$5:$C$1004,C17,'Who Engaged'!$P$5:$P$1004,"Yes",'Who Engaged'!$M$5:$M$1004,1))</f>
        <v>0</v>
      </c>
      <c r="W17" s="26" t="str">
        <f aca="false" t="array" ref="W17:W17">IF(OR(A17="",B17="",C17=""),"",_xlfn.TEXTJOIN("; ",TRUE(),IF(('Who Engaged'!$C$5:$C$1004=C17)*('Who Engaged'!$P$5:$P$1004="Yes"),'Who Engaged'!$D$5:$D$1004&amp;" – "&amp;'Who Engaged'!$F$5:$F$1004&amp;IF('Who Engaged'!$M$5:$M$1004=1," (followed)",""),"")))</f>
        <v/>
      </c>
      <c r="X17" s="27" t="s">
        <v>64</v>
      </c>
      <c r="Y17" s="27" t="s">
        <v>65</v>
      </c>
      <c r="Z17" s="28" t="s">
        <v>66</v>
      </c>
      <c r="AA17" s="25" t="str">
        <f aca="false">IF(OR(A17="",B17="",C17=""),"","https://www.alphanodus.com/contact?utm_source="&amp;IF(B17="X","twitter",LOWER(B17))&amp;"&amp;utm_medium=social&amp;utm_campaign="&amp;IF(E17="","general",LOWER(SUBSTITUTE(SUBSTITUTE(E17," / ","-")," ","-")))&amp;"&amp;utm_content="&amp;LOWER(C17))</f>
        <v>https://www.alphanodus.com/contact?utm_source=linkedin&amp;utm_medium=social&amp;utm_campaign=operations-tips&amp;utm_content=li-260914</v>
      </c>
    </row>
    <row r="18" customFormat="false" ht="67.5" hidden="false" customHeight="true" outlineLevel="0" collapsed="false">
      <c r="A18" s="18" t="n">
        <v>46283</v>
      </c>
      <c r="B18" s="19" t="s">
        <v>15</v>
      </c>
      <c r="C18" s="19" t="s">
        <v>67</v>
      </c>
      <c r="D18" s="20" t="s">
        <v>68</v>
      </c>
      <c r="E18" s="19" t="s">
        <v>69</v>
      </c>
      <c r="F18" s="19" t="s">
        <v>70</v>
      </c>
      <c r="G18" s="19" t="s">
        <v>71</v>
      </c>
      <c r="H18" s="21" t="n">
        <v>217</v>
      </c>
      <c r="I18" s="22"/>
      <c r="J18" s="21" t="n">
        <v>5</v>
      </c>
      <c r="K18" s="21" t="n">
        <v>1</v>
      </c>
      <c r="L18" s="21" t="n">
        <v>1</v>
      </c>
      <c r="M18" s="22"/>
      <c r="N18" s="21" t="n">
        <v>18</v>
      </c>
      <c r="O18" s="21" t="n">
        <v>1</v>
      </c>
      <c r="P18" s="23" t="n">
        <f aca="false">IF(OR(A18="",B18="",C18=""),"",IF(COUNT(J18:N18)=0,"",SUM(J18:N18)))</f>
        <v>25</v>
      </c>
      <c r="Q18" s="23" t="n">
        <f aca="false">IF(OR(A18="",B18="",C18=""),"",SUMIFS('Who Engaged'!$I$5:$I$1004,'Who Engaged'!$C$5:$C$1004,C18,'Who Engaged'!$O$5:$O$1004,"Yes")+SUMIFS('Who Engaged'!$J$5:$J$1004,'Who Engaged'!$C$5:$C$1004,C18,'Who Engaged'!$O$5:$O$1004,"Yes")+SUMIFS('Who Engaged'!$K$5:$K$1004,'Who Engaged'!$C$5:$C$1004,C18,'Who Engaged'!$O$5:$O$1004,"Yes")+SUMIFS('Who Engaged'!$L$5:$L$1004,'Who Engaged'!$C$5:$C$1004,C18,'Who Engaged'!$O$5:$O$1004,"Yes"))</f>
        <v>0</v>
      </c>
      <c r="R18" s="23" t="n">
        <f aca="false">IF(OR(OR(A18="",B18="",C18=""),P18=""),"",MAX(0,P18-N(Q18)))</f>
        <v>25</v>
      </c>
      <c r="S18" s="24" t="n">
        <f aca="false">IF(OR(OR(A18="",B18="",C18=""),R18=""),"",IFERROR(R18/(IF(N(H18)&gt;0,H18,IF(N(I18)&gt;0,I18,IF(COUNTIFS($B$16:$B$215,B18,$H$16:$H$215,"&gt;0")+COUNTIFS($B$16:$B$215,B18,$I$16:$I$215,"&gt;0")&gt;0,"",INDEX($B$5:$B$7,MATCH(B18,$A$5:$A$7,0)))))),""))</f>
        <v>0.115207373271889</v>
      </c>
      <c r="T18" s="25" t="str">
        <f aca="false">IF(OR(A18="",B18="",C18=""),"",IF(OR(S18="",COUNTIFS($B$16:$B$215,B18,$S$16:$S$215,"&gt;=0")&lt;2),"No Data Yet",IFERROR(IF(S18/AVERAGEIFS($S$16:$S$215,$B$16:$B$215,B18)&gt;=1.2,"Good",IF(S18/AVERAGEIFS($S$16:$S$215,$B$16:$B$215,B18)&gt;=0.8,"Average","Below Standard")),"Average")))</f>
        <v>Average</v>
      </c>
      <c r="U18" s="23" t="n">
        <f aca="false">IF(OR(A18="",B18="",C18=""),"",COUNTIFS('Who Engaged'!$C$5:$C$1004,C18,'Who Engaged'!$P$5:$P$1004,"Yes",'Who Engaged'!$N$5:$N$1004,1))</f>
        <v>0</v>
      </c>
      <c r="V18" s="23" t="n">
        <f aca="false">IF(OR(A18="",B18="",C18=""),"",COUNTIFS('Who Engaged'!$C$5:$C$1004,C18,'Who Engaged'!$P$5:$P$1004,"Yes",'Who Engaged'!$M$5:$M$1004,1))</f>
        <v>0</v>
      </c>
      <c r="W18" s="26" t="str">
        <f aca="false" t="array" ref="W18:W18">IF(OR(A18="",B18="",C18=""),"",_xlfn.TEXTJOIN("; ",TRUE(),IF(('Who Engaged'!$C$5:$C$1004=C18)*('Who Engaged'!$P$5:$P$1004="Yes"),'Who Engaged'!$D$5:$D$1004&amp;" – "&amp;'Who Engaged'!$F$5:$F$1004&amp;IF('Who Engaged'!$M$5:$M$1004=1," (followed)",""),"")))</f>
        <v/>
      </c>
      <c r="X18" s="27" t="s">
        <v>72</v>
      </c>
      <c r="Y18" s="27" t="s">
        <v>73</v>
      </c>
      <c r="Z18" s="28" t="s">
        <v>66</v>
      </c>
      <c r="AA18" s="25" t="str">
        <f aca="false">IF(OR(A18="",B18="",C18=""),"","https://www.alphanodus.com/contact?utm_source="&amp;IF(B18="X","twitter",LOWER(B18))&amp;"&amp;utm_medium=social&amp;utm_campaign="&amp;IF(E18="","general",LOWER(SUBSTITUTE(SUBSTITUTE(E18," / ","-")," ","-")))&amp;"&amp;utm_content="&amp;LOWER(C18))</f>
        <v>https://www.alphanodus.com/contact?utm_source=linkedin&amp;utm_medium=social&amp;utm_campaign=revenue-cycle&amp;utm_content=li-260918</v>
      </c>
    </row>
    <row r="19" customFormat="false" ht="67.5" hidden="false" customHeight="true" outlineLevel="0" collapsed="false">
      <c r="A19" s="18" t="n">
        <v>46288</v>
      </c>
      <c r="B19" s="19" t="s">
        <v>15</v>
      </c>
      <c r="C19" s="19" t="s">
        <v>74</v>
      </c>
      <c r="D19" s="20" t="s">
        <v>75</v>
      </c>
      <c r="E19" s="19" t="s">
        <v>69</v>
      </c>
      <c r="F19" s="19" t="s">
        <v>70</v>
      </c>
      <c r="G19" s="19" t="s">
        <v>76</v>
      </c>
      <c r="H19" s="21" t="n">
        <v>234</v>
      </c>
      <c r="I19" s="22"/>
      <c r="J19" s="21" t="n">
        <v>4</v>
      </c>
      <c r="K19" s="21" t="n">
        <v>1</v>
      </c>
      <c r="L19" s="21" t="n">
        <v>0</v>
      </c>
      <c r="M19" s="22"/>
      <c r="N19" s="21" t="n">
        <v>16</v>
      </c>
      <c r="O19" s="21" t="n">
        <v>6</v>
      </c>
      <c r="P19" s="23" t="n">
        <f aca="false">IF(OR(A19="",B19="",C19=""),"",IF(COUNT(J19:N19)=0,"",SUM(J19:N19)))</f>
        <v>21</v>
      </c>
      <c r="Q19" s="23" t="n">
        <f aca="false">IF(OR(A19="",B19="",C19=""),"",SUMIFS('Who Engaged'!$I$5:$I$1004,'Who Engaged'!$C$5:$C$1004,C19,'Who Engaged'!$O$5:$O$1004,"Yes")+SUMIFS('Who Engaged'!$J$5:$J$1004,'Who Engaged'!$C$5:$C$1004,C19,'Who Engaged'!$O$5:$O$1004,"Yes")+SUMIFS('Who Engaged'!$K$5:$K$1004,'Who Engaged'!$C$5:$C$1004,C19,'Who Engaged'!$O$5:$O$1004,"Yes")+SUMIFS('Who Engaged'!$L$5:$L$1004,'Who Engaged'!$C$5:$C$1004,C19,'Who Engaged'!$O$5:$O$1004,"Yes"))</f>
        <v>0</v>
      </c>
      <c r="R19" s="23" t="n">
        <f aca="false">IF(OR(OR(A19="",B19="",C19=""),P19=""),"",MAX(0,P19-N(Q19)))</f>
        <v>21</v>
      </c>
      <c r="S19" s="24" t="n">
        <f aca="false">IF(OR(OR(A19="",B19="",C19=""),R19=""),"",IFERROR(R19/(IF(N(H19)&gt;0,H19,IF(N(I19)&gt;0,I19,IF(COUNTIFS($B$16:$B$215,B19,$H$16:$H$215,"&gt;0")+COUNTIFS($B$16:$B$215,B19,$I$16:$I$215,"&gt;0")&gt;0,"",INDEX($B$5:$B$7,MATCH(B19,$A$5:$A$7,0)))))),""))</f>
        <v>0.0897435897435897</v>
      </c>
      <c r="T19" s="25" t="str">
        <f aca="false">IF(OR(A19="",B19="",C19=""),"",IF(OR(S19="",COUNTIFS($B$16:$B$215,B19,$S$16:$S$215,"&gt;=0")&lt;2),"No Data Yet",IFERROR(IF(S19/AVERAGEIFS($S$16:$S$215,$B$16:$B$215,B19)&gt;=1.2,"Good",IF(S19/AVERAGEIFS($S$16:$S$215,$B$16:$B$215,B19)&gt;=0.8,"Average","Below Standard")),"Average")))</f>
        <v>Average</v>
      </c>
      <c r="U19" s="23" t="n">
        <f aca="false">IF(OR(A19="",B19="",C19=""),"",COUNTIFS('Who Engaged'!$C$5:$C$1004,C19,'Who Engaged'!$P$5:$P$1004,"Yes",'Who Engaged'!$N$5:$N$1004,1))</f>
        <v>0</v>
      </c>
      <c r="V19" s="23" t="n">
        <f aca="false">IF(OR(A19="",B19="",C19=""),"",COUNTIFS('Who Engaged'!$C$5:$C$1004,C19,'Who Engaged'!$P$5:$P$1004,"Yes",'Who Engaged'!$M$5:$M$1004,1))</f>
        <v>0</v>
      </c>
      <c r="W19" s="26" t="str">
        <f aca="false" t="array" ref="W19:W19">IF(OR(A19="",B19="",C19=""),"",_xlfn.TEXTJOIN("; ",TRUE(),IF(('Who Engaged'!$C$5:$C$1004=C19)*('Who Engaged'!$P$5:$P$1004="Yes"),'Who Engaged'!$D$5:$D$1004&amp;" – "&amp;'Who Engaged'!$F$5:$F$1004&amp;IF('Who Engaged'!$M$5:$M$1004=1," (followed)",""),"")))</f>
        <v/>
      </c>
      <c r="X19" s="27" t="s">
        <v>77</v>
      </c>
      <c r="Y19" s="27" t="s">
        <v>78</v>
      </c>
      <c r="Z19" s="28" t="s">
        <v>58</v>
      </c>
      <c r="AA19" s="25" t="str">
        <f aca="false">IF(OR(A19="",B19="",C19=""),"","https://www.alphanodus.com/contact?utm_source="&amp;IF(B19="X","twitter",LOWER(B19))&amp;"&amp;utm_medium=social&amp;utm_campaign="&amp;IF(E19="","general",LOWER(SUBSTITUTE(SUBSTITUTE(E19," / ","-")," ","-")))&amp;"&amp;utm_content="&amp;LOWER(C19))</f>
        <v>https://www.alphanodus.com/contact?utm_source=linkedin&amp;utm_medium=social&amp;utm_campaign=revenue-cycle&amp;utm_content=li-260923</v>
      </c>
    </row>
    <row r="20" customFormat="false" ht="67.5" hidden="false" customHeight="true" outlineLevel="0" collapsed="false">
      <c r="A20" s="18" t="n">
        <v>46293</v>
      </c>
      <c r="B20" s="19" t="s">
        <v>15</v>
      </c>
      <c r="C20" s="19" t="s">
        <v>79</v>
      </c>
      <c r="D20" s="20" t="s">
        <v>80</v>
      </c>
      <c r="E20" s="19" t="s">
        <v>81</v>
      </c>
      <c r="F20" s="19" t="s">
        <v>54</v>
      </c>
      <c r="G20" s="19" t="s">
        <v>82</v>
      </c>
      <c r="H20" s="22"/>
      <c r="I20" s="22"/>
      <c r="J20" s="21" t="n">
        <v>1</v>
      </c>
      <c r="K20" s="21" t="n">
        <v>1</v>
      </c>
      <c r="L20" s="22"/>
      <c r="M20" s="22"/>
      <c r="N20" s="22"/>
      <c r="O20" s="22"/>
      <c r="P20" s="23" t="n">
        <f aca="false">IF(OR(A20="",B20="",C20=""),"",IF(COUNT(J20:N20)=0,"",SUM(J20:N20)))</f>
        <v>2</v>
      </c>
      <c r="Q20" s="23" t="n">
        <f aca="false">IF(OR(A20="",B20="",C20=""),"",SUMIFS('Who Engaged'!$I$5:$I$1004,'Who Engaged'!$C$5:$C$1004,C20,'Who Engaged'!$O$5:$O$1004,"Yes")+SUMIFS('Who Engaged'!$J$5:$J$1004,'Who Engaged'!$C$5:$C$1004,C20,'Who Engaged'!$O$5:$O$1004,"Yes")+SUMIFS('Who Engaged'!$K$5:$K$1004,'Who Engaged'!$C$5:$C$1004,C20,'Who Engaged'!$O$5:$O$1004,"Yes")+SUMIFS('Who Engaged'!$L$5:$L$1004,'Who Engaged'!$C$5:$C$1004,C20,'Who Engaged'!$O$5:$O$1004,"Yes"))</f>
        <v>0</v>
      </c>
      <c r="R20" s="23" t="n">
        <f aca="false">IF(OR(OR(A20="",B20="",C20=""),P20=""),"",MAX(0,P20-N(Q20)))</f>
        <v>2</v>
      </c>
      <c r="S20" s="24" t="str">
        <f aca="false">IF(OR(OR(A20="",B20="",C20=""),R20=""),"",IFERROR(R20/(IF(N(H20)&gt;0,H20,IF(N(I20)&gt;0,I20,IF(COUNTIFS($B$16:$B$215,B20,$H$16:$H$215,"&gt;0")+COUNTIFS($B$16:$B$215,B20,$I$16:$I$215,"&gt;0")&gt;0,"",INDEX($B$5:$B$7,MATCH(B20,$A$5:$A$7,0)))))),""))</f>
        <v/>
      </c>
      <c r="T20" s="25" t="str">
        <f aca="false">IF(OR(A20="",B20="",C20=""),"",IF(OR(S20="",COUNTIFS($B$16:$B$215,B20,$S$16:$S$215,"&gt;=0")&lt;2),"No Data Yet",IFERROR(IF(S20/AVERAGEIFS($S$16:$S$215,$B$16:$B$215,B20)&gt;=1.2,"Good",IF(S20/AVERAGEIFS($S$16:$S$215,$B$16:$B$215,B20)&gt;=0.8,"Average","Below Standard")),"Average")))</f>
        <v>No Data Yet</v>
      </c>
      <c r="U20" s="23" t="n">
        <f aca="false">IF(OR(A20="",B20="",C20=""),"",COUNTIFS('Who Engaged'!$C$5:$C$1004,C20,'Who Engaged'!$P$5:$P$1004,"Yes",'Who Engaged'!$N$5:$N$1004,1))</f>
        <v>0</v>
      </c>
      <c r="V20" s="23" t="n">
        <f aca="false">IF(OR(A20="",B20="",C20=""),"",COUNTIFS('Who Engaged'!$C$5:$C$1004,C20,'Who Engaged'!$P$5:$P$1004,"Yes",'Who Engaged'!$M$5:$M$1004,1))</f>
        <v>0</v>
      </c>
      <c r="W20" s="26" t="str">
        <f aca="false" t="array" ref="W20:W20">IF(OR(A20="",B20="",C20=""),"",_xlfn.TEXTJOIN("; ",TRUE(),IF(('Who Engaged'!$C$5:$C$1004=C20)*('Who Engaged'!$P$5:$P$1004="Yes"),'Who Engaged'!$D$5:$D$1004&amp;" – "&amp;'Who Engaged'!$F$5:$F$1004&amp;IF('Who Engaged'!$M$5:$M$1004=1," (followed)",""),"")))</f>
        <v/>
      </c>
      <c r="X20" s="27" t="s">
        <v>83</v>
      </c>
      <c r="Y20" s="27" t="s">
        <v>84</v>
      </c>
      <c r="Z20" s="28" t="s">
        <v>85</v>
      </c>
      <c r="AA20" s="25" t="str">
        <f aca="false">IF(OR(A20="",B20="",C20=""),"","https://www.alphanodus.com/contact?utm_source="&amp;IF(B20="X","twitter",LOWER(B20))&amp;"&amp;utm_medium=social&amp;utm_campaign="&amp;IF(E20="","general",LOWER(SUBSTITUTE(SUBSTITUTE(E20," / ","-")," ","-")))&amp;"&amp;utm_content="&amp;LOWER(C20))</f>
        <v>https://www.alphanodus.com/contact?utm_source=linkedin&amp;utm_medium=social&amp;utm_campaign=industry-insight&amp;utm_content=li-260928</v>
      </c>
    </row>
    <row r="21" customFormat="false" ht="67.5" hidden="false" customHeight="true" outlineLevel="0" collapsed="false">
      <c r="A21" s="18" t="n">
        <v>46276</v>
      </c>
      <c r="B21" s="19" t="s">
        <v>17</v>
      </c>
      <c r="C21" s="19" t="s">
        <v>86</v>
      </c>
      <c r="D21" s="20" t="s">
        <v>87</v>
      </c>
      <c r="E21" s="19" t="s">
        <v>53</v>
      </c>
      <c r="F21" s="19" t="s">
        <v>54</v>
      </c>
      <c r="G21" s="19" t="s">
        <v>88</v>
      </c>
      <c r="H21" s="21" t="n">
        <v>224</v>
      </c>
      <c r="I21" s="21" t="n">
        <v>158</v>
      </c>
      <c r="J21" s="21" t="n">
        <v>7</v>
      </c>
      <c r="K21" s="21" t="n">
        <v>0</v>
      </c>
      <c r="L21" s="21" t="n">
        <v>0</v>
      </c>
      <c r="M21" s="21" t="n">
        <v>1</v>
      </c>
      <c r="N21" s="21" t="n">
        <v>0</v>
      </c>
      <c r="O21" s="21" t="n">
        <v>0</v>
      </c>
      <c r="P21" s="23" t="n">
        <f aca="false">IF(OR(A21="",B21="",C21=""),"",IF(COUNT(J21:N21)=0,"",SUM(J21:N21)))</f>
        <v>8</v>
      </c>
      <c r="Q21" s="23" t="n">
        <f aca="false">IF(OR(A21="",B21="",C21=""),"",SUMIFS('Who Engaged'!$I$5:$I$1004,'Who Engaged'!$C$5:$C$1004,C21,'Who Engaged'!$O$5:$O$1004,"Yes")+SUMIFS('Who Engaged'!$J$5:$J$1004,'Who Engaged'!$C$5:$C$1004,C21,'Who Engaged'!$O$5:$O$1004,"Yes")+SUMIFS('Who Engaged'!$K$5:$K$1004,'Who Engaged'!$C$5:$C$1004,C21,'Who Engaged'!$O$5:$O$1004,"Yes")+SUMIFS('Who Engaged'!$L$5:$L$1004,'Who Engaged'!$C$5:$C$1004,C21,'Who Engaged'!$O$5:$O$1004,"Yes"))</f>
        <v>0</v>
      </c>
      <c r="R21" s="23" t="n">
        <f aca="false">IF(OR(OR(A21="",B21="",C21=""),P21=""),"",MAX(0,P21-N(Q21)))</f>
        <v>8</v>
      </c>
      <c r="S21" s="24" t="n">
        <f aca="false">IF(OR(OR(A21="",B21="",C21=""),R21=""),"",IFERROR(R21/(IF(N(H21)&gt;0,H21,IF(N(I21)&gt;0,I21,IF(COUNTIFS($B$16:$B$215,B21,$H$16:$H$215,"&gt;0")+COUNTIFS($B$16:$B$215,B21,$I$16:$I$215,"&gt;0")&gt;0,"",INDEX($B$5:$B$7,MATCH(B21,$A$5:$A$7,0)))))),""))</f>
        <v>0.0357142857142857</v>
      </c>
      <c r="T21" s="25" t="str">
        <f aca="false">IF(OR(A21="",B21="",C21=""),"",IF(OR(S21="",COUNTIFS($B$16:$B$215,B21,$S$16:$S$215,"&gt;=0")&lt;2),"No Data Yet",IFERROR(IF(S21/AVERAGEIFS($S$16:$S$215,$B$16:$B$215,B21)&gt;=1.2,"Good",IF(S21/AVERAGEIFS($S$16:$S$215,$B$16:$B$215,B21)&gt;=0.8,"Average","Below Standard")),"Average")))</f>
        <v>Below Standard</v>
      </c>
      <c r="U21" s="23" t="n">
        <f aca="false">IF(OR(A21="",B21="",C21=""),"",COUNTIFS('Who Engaged'!$C$5:$C$1004,C21,'Who Engaged'!$P$5:$P$1004,"Yes",'Who Engaged'!$N$5:$N$1004,1))</f>
        <v>0</v>
      </c>
      <c r="V21" s="23" t="n">
        <f aca="false">IF(OR(A21="",B21="",C21=""),"",COUNTIFS('Who Engaged'!$C$5:$C$1004,C21,'Who Engaged'!$P$5:$P$1004,"Yes",'Who Engaged'!$M$5:$M$1004,1))</f>
        <v>0</v>
      </c>
      <c r="W21" s="26" t="str">
        <f aca="false" t="array" ref="W21:W21">IF(OR(A21="",B21="",C21=""),"",_xlfn.TEXTJOIN("; ",TRUE(),IF(('Who Engaged'!$C$5:$C$1004=C21)*('Who Engaged'!$P$5:$P$1004="Yes"),'Who Engaged'!$D$5:$D$1004&amp;" – "&amp;'Who Engaged'!$F$5:$F$1004&amp;IF('Who Engaged'!$M$5:$M$1004=1," (followed)",""),"")))</f>
        <v/>
      </c>
      <c r="X21" s="27" t="s">
        <v>89</v>
      </c>
      <c r="Y21" s="27" t="s">
        <v>90</v>
      </c>
      <c r="Z21" s="28" t="s">
        <v>58</v>
      </c>
      <c r="AA21" s="25" t="str">
        <f aca="false">IF(OR(A21="",B21="",C21=""),"","https://www.alphanodus.com/contact?utm_source="&amp;IF(B21="X","twitter",LOWER(B21))&amp;"&amp;utm_medium=social&amp;utm_campaign="&amp;IF(E21="","general",LOWER(SUBSTITUTE(SUBSTITUTE(E21," / ","-")," ","-")))&amp;"&amp;utm_content="&amp;LOWER(C21))</f>
        <v>https://www.alphanodus.com/contact?utm_source=instagram&amp;utm_medium=social&amp;utm_campaign=product-demo&amp;utm_content=ig-260911-reel</v>
      </c>
    </row>
    <row r="22" customFormat="false" ht="67.5" hidden="false" customHeight="true" outlineLevel="0" collapsed="false">
      <c r="A22" s="18" t="n">
        <v>46279</v>
      </c>
      <c r="B22" s="19" t="s">
        <v>17</v>
      </c>
      <c r="C22" s="19" t="s">
        <v>91</v>
      </c>
      <c r="D22" s="20" t="s">
        <v>92</v>
      </c>
      <c r="E22" s="19" t="s">
        <v>61</v>
      </c>
      <c r="F22" s="19" t="s">
        <v>62</v>
      </c>
      <c r="G22" s="19" t="s">
        <v>93</v>
      </c>
      <c r="H22" s="21" t="n">
        <v>157</v>
      </c>
      <c r="I22" s="21" t="n">
        <v>53</v>
      </c>
      <c r="J22" s="21" t="n">
        <v>8</v>
      </c>
      <c r="K22" s="21" t="n">
        <v>0</v>
      </c>
      <c r="L22" s="21" t="n">
        <v>0</v>
      </c>
      <c r="M22" s="21" t="n">
        <v>0</v>
      </c>
      <c r="N22" s="21" t="n">
        <v>1</v>
      </c>
      <c r="O22" s="21" t="n">
        <v>0</v>
      </c>
      <c r="P22" s="23" t="n">
        <f aca="false">IF(OR(A22="",B22="",C22=""),"",IF(COUNT(J22:N22)=0,"",SUM(J22:N22)))</f>
        <v>9</v>
      </c>
      <c r="Q22" s="23" t="n">
        <f aca="false">IF(OR(A22="",B22="",C22=""),"",SUMIFS('Who Engaged'!$I$5:$I$1004,'Who Engaged'!$C$5:$C$1004,C22,'Who Engaged'!$O$5:$O$1004,"Yes")+SUMIFS('Who Engaged'!$J$5:$J$1004,'Who Engaged'!$C$5:$C$1004,C22,'Who Engaged'!$O$5:$O$1004,"Yes")+SUMIFS('Who Engaged'!$K$5:$K$1004,'Who Engaged'!$C$5:$C$1004,C22,'Who Engaged'!$O$5:$O$1004,"Yes")+SUMIFS('Who Engaged'!$L$5:$L$1004,'Who Engaged'!$C$5:$C$1004,C22,'Who Engaged'!$O$5:$O$1004,"Yes"))</f>
        <v>0</v>
      </c>
      <c r="R22" s="23" t="n">
        <f aca="false">IF(OR(OR(A22="",B22="",C22=""),P22=""),"",MAX(0,P22-N(Q22)))</f>
        <v>9</v>
      </c>
      <c r="S22" s="24" t="n">
        <f aca="false">IF(OR(OR(A22="",B22="",C22=""),R22=""),"",IFERROR(R22/(IF(N(H22)&gt;0,H22,IF(N(I22)&gt;0,I22,IF(COUNTIFS($B$16:$B$215,B22,$H$16:$H$215,"&gt;0")+COUNTIFS($B$16:$B$215,B22,$I$16:$I$215,"&gt;0")&gt;0,"",INDEX($B$5:$B$7,MATCH(B22,$A$5:$A$7,0)))))),""))</f>
        <v>0.0573248407643312</v>
      </c>
      <c r="T22" s="25" t="str">
        <f aca="false">IF(OR(A22="",B22="",C22=""),"",IF(OR(S22="",COUNTIFS($B$16:$B$215,B22,$S$16:$S$215,"&gt;=0")&lt;2),"No Data Yet",IFERROR(IF(S22/AVERAGEIFS($S$16:$S$215,$B$16:$B$215,B22)&gt;=1.2,"Good",IF(S22/AVERAGEIFS($S$16:$S$215,$B$16:$B$215,B22)&gt;=0.8,"Average","Below Standard")),"Average")))</f>
        <v>Average</v>
      </c>
      <c r="U22" s="23" t="n">
        <f aca="false">IF(OR(A22="",B22="",C22=""),"",COUNTIFS('Who Engaged'!$C$5:$C$1004,C22,'Who Engaged'!$P$5:$P$1004,"Yes",'Who Engaged'!$N$5:$N$1004,1))</f>
        <v>0</v>
      </c>
      <c r="V22" s="23" t="n">
        <f aca="false">IF(OR(A22="",B22="",C22=""),"",COUNTIFS('Who Engaged'!$C$5:$C$1004,C22,'Who Engaged'!$P$5:$P$1004,"Yes",'Who Engaged'!$M$5:$M$1004,1))</f>
        <v>0</v>
      </c>
      <c r="W22" s="26" t="str">
        <f aca="false" t="array" ref="W22:W22">IF(OR(A22="",B22="",C22=""),"",_xlfn.TEXTJOIN("; ",TRUE(),IF(('Who Engaged'!$C$5:$C$1004=C22)*('Who Engaged'!$P$5:$P$1004="Yes"),'Who Engaged'!$D$5:$D$1004&amp;" – "&amp;'Who Engaged'!$F$5:$F$1004&amp;IF('Who Engaged'!$M$5:$M$1004=1," (followed)",""),"")))</f>
        <v/>
      </c>
      <c r="X22" s="27" t="s">
        <v>94</v>
      </c>
      <c r="Y22" s="27" t="s">
        <v>95</v>
      </c>
      <c r="Z22" s="28" t="s">
        <v>66</v>
      </c>
      <c r="AA22" s="25" t="str">
        <f aca="false">IF(OR(A22="",B22="",C22=""),"","https://www.alphanodus.com/contact?utm_source="&amp;IF(B22="X","twitter",LOWER(B22))&amp;"&amp;utm_medium=social&amp;utm_campaign="&amp;IF(E22="","general",LOWER(SUBSTITUTE(SUBSTITUTE(E22," / ","-")," ","-")))&amp;"&amp;utm_content="&amp;LOWER(C22))</f>
        <v>https://www.alphanodus.com/contact?utm_source=instagram&amp;utm_medium=social&amp;utm_campaign=operations-tips&amp;utm_content=ig-260914</v>
      </c>
    </row>
    <row r="23" customFormat="false" ht="67.5" hidden="false" customHeight="true" outlineLevel="0" collapsed="false">
      <c r="A23" s="18" t="n">
        <v>46283</v>
      </c>
      <c r="B23" s="19" t="s">
        <v>17</v>
      </c>
      <c r="C23" s="19" t="s">
        <v>96</v>
      </c>
      <c r="D23" s="20" t="s">
        <v>97</v>
      </c>
      <c r="E23" s="19" t="s">
        <v>69</v>
      </c>
      <c r="F23" s="19" t="s">
        <v>70</v>
      </c>
      <c r="G23" s="19" t="s">
        <v>98</v>
      </c>
      <c r="H23" s="21" t="n">
        <v>183</v>
      </c>
      <c r="I23" s="21" t="n">
        <v>57</v>
      </c>
      <c r="J23" s="21" t="n">
        <v>7</v>
      </c>
      <c r="K23" s="21" t="n">
        <v>0</v>
      </c>
      <c r="L23" s="21" t="n">
        <v>0</v>
      </c>
      <c r="M23" s="21" t="n">
        <v>0</v>
      </c>
      <c r="N23" s="21" t="n">
        <v>5</v>
      </c>
      <c r="O23" s="21" t="n">
        <v>0</v>
      </c>
      <c r="P23" s="23" t="n">
        <f aca="false">IF(OR(A23="",B23="",C23=""),"",IF(COUNT(J23:N23)=0,"",SUM(J23:N23)))</f>
        <v>12</v>
      </c>
      <c r="Q23" s="23" t="n">
        <f aca="false">IF(OR(A23="",B23="",C23=""),"",SUMIFS('Who Engaged'!$I$5:$I$1004,'Who Engaged'!$C$5:$C$1004,C23,'Who Engaged'!$O$5:$O$1004,"Yes")+SUMIFS('Who Engaged'!$J$5:$J$1004,'Who Engaged'!$C$5:$C$1004,C23,'Who Engaged'!$O$5:$O$1004,"Yes")+SUMIFS('Who Engaged'!$K$5:$K$1004,'Who Engaged'!$C$5:$C$1004,C23,'Who Engaged'!$O$5:$O$1004,"Yes")+SUMIFS('Who Engaged'!$L$5:$L$1004,'Who Engaged'!$C$5:$C$1004,C23,'Who Engaged'!$O$5:$O$1004,"Yes"))</f>
        <v>0</v>
      </c>
      <c r="R23" s="23" t="n">
        <f aca="false">IF(OR(OR(A23="",B23="",C23=""),P23=""),"",MAX(0,P23-N(Q23)))</f>
        <v>12</v>
      </c>
      <c r="S23" s="24" t="n">
        <f aca="false">IF(OR(OR(A23="",B23="",C23=""),R23=""),"",IFERROR(R23/(IF(N(H23)&gt;0,H23,IF(N(I23)&gt;0,I23,IF(COUNTIFS($B$16:$B$215,B23,$H$16:$H$215,"&gt;0")+COUNTIFS($B$16:$B$215,B23,$I$16:$I$215,"&gt;0")&gt;0,"",INDEX($B$5:$B$7,MATCH(B23,$A$5:$A$7,0)))))),""))</f>
        <v>0.0655737704918033</v>
      </c>
      <c r="T23" s="25" t="str">
        <f aca="false">IF(OR(A23="",B23="",C23=""),"",IF(OR(S23="",COUNTIFS($B$16:$B$215,B23,$S$16:$S$215,"&gt;=0")&lt;2),"No Data Yet",IFERROR(IF(S23/AVERAGEIFS($S$16:$S$215,$B$16:$B$215,B23)&gt;=1.2,"Good",IF(S23/AVERAGEIFS($S$16:$S$215,$B$16:$B$215,B23)&gt;=0.8,"Average","Below Standard")),"Average")))</f>
        <v>Average</v>
      </c>
      <c r="U23" s="23" t="n">
        <f aca="false">IF(OR(A23="",B23="",C23=""),"",COUNTIFS('Who Engaged'!$C$5:$C$1004,C23,'Who Engaged'!$P$5:$P$1004,"Yes",'Who Engaged'!$N$5:$N$1004,1))</f>
        <v>0</v>
      </c>
      <c r="V23" s="23" t="n">
        <f aca="false">IF(OR(A23="",B23="",C23=""),"",COUNTIFS('Who Engaged'!$C$5:$C$1004,C23,'Who Engaged'!$P$5:$P$1004,"Yes",'Who Engaged'!$M$5:$M$1004,1))</f>
        <v>0</v>
      </c>
      <c r="W23" s="26" t="str">
        <f aca="false" t="array" ref="W23:W23">IF(OR(A23="",B23="",C23=""),"",_xlfn.TEXTJOIN("; ",TRUE(),IF(('Who Engaged'!$C$5:$C$1004=C23)*('Who Engaged'!$P$5:$P$1004="Yes"),'Who Engaged'!$D$5:$D$1004&amp;" – "&amp;'Who Engaged'!$F$5:$F$1004&amp;IF('Who Engaged'!$M$5:$M$1004=1," (followed)",""),"")))</f>
        <v/>
      </c>
      <c r="X23" s="27" t="s">
        <v>99</v>
      </c>
      <c r="Y23" s="27" t="s">
        <v>100</v>
      </c>
      <c r="Z23" s="28" t="s">
        <v>58</v>
      </c>
      <c r="AA23" s="25" t="str">
        <f aca="false">IF(OR(A23="",B23="",C23=""),"","https://www.alphanodus.com/contact?utm_source="&amp;IF(B23="X","twitter",LOWER(B23))&amp;"&amp;utm_medium=social&amp;utm_campaign="&amp;IF(E23="","general",LOWER(SUBSTITUTE(SUBSTITUTE(E23," / ","-")," ","-")))&amp;"&amp;utm_content="&amp;LOWER(C23))</f>
        <v>https://www.alphanodus.com/contact?utm_source=instagram&amp;utm_medium=social&amp;utm_campaign=revenue-cycle&amp;utm_content=ig-260918</v>
      </c>
    </row>
    <row r="24" customFormat="false" ht="67.5" hidden="false" customHeight="true" outlineLevel="0" collapsed="false">
      <c r="A24" s="18" t="n">
        <v>46283</v>
      </c>
      <c r="B24" s="19" t="s">
        <v>17</v>
      </c>
      <c r="C24" s="19" t="s">
        <v>101</v>
      </c>
      <c r="D24" s="20" t="s">
        <v>102</v>
      </c>
      <c r="E24" s="19" t="s">
        <v>69</v>
      </c>
      <c r="F24" s="19" t="s">
        <v>54</v>
      </c>
      <c r="G24" s="19" t="s">
        <v>103</v>
      </c>
      <c r="H24" s="21" t="n">
        <v>54</v>
      </c>
      <c r="I24" s="21" t="n">
        <v>40</v>
      </c>
      <c r="J24" s="21" t="n">
        <v>2</v>
      </c>
      <c r="K24" s="21" t="n">
        <v>0</v>
      </c>
      <c r="L24" s="21" t="n">
        <v>0</v>
      </c>
      <c r="M24" s="22"/>
      <c r="N24" s="21" t="n">
        <v>2</v>
      </c>
      <c r="O24" s="21" t="n">
        <v>0</v>
      </c>
      <c r="P24" s="23" t="n">
        <f aca="false">IF(OR(A24="",B24="",C24=""),"",IF(COUNT(J24:N24)=0,"",SUM(J24:N24)))</f>
        <v>4</v>
      </c>
      <c r="Q24" s="23" t="n">
        <f aca="false">IF(OR(A24="",B24="",C24=""),"",SUMIFS('Who Engaged'!$I$5:$I$1004,'Who Engaged'!$C$5:$C$1004,C24,'Who Engaged'!$O$5:$O$1004,"Yes")+SUMIFS('Who Engaged'!$J$5:$J$1004,'Who Engaged'!$C$5:$C$1004,C24,'Who Engaged'!$O$5:$O$1004,"Yes")+SUMIFS('Who Engaged'!$K$5:$K$1004,'Who Engaged'!$C$5:$C$1004,C24,'Who Engaged'!$O$5:$O$1004,"Yes")+SUMIFS('Who Engaged'!$L$5:$L$1004,'Who Engaged'!$C$5:$C$1004,C24,'Who Engaged'!$O$5:$O$1004,"Yes"))</f>
        <v>0</v>
      </c>
      <c r="R24" s="23" t="n">
        <f aca="false">IF(OR(OR(A24="",B24="",C24=""),P24=""),"",MAX(0,P24-N(Q24)))</f>
        <v>4</v>
      </c>
      <c r="S24" s="24" t="n">
        <f aca="false">IF(OR(OR(A24="",B24="",C24=""),R24=""),"",IFERROR(R24/(IF(N(H24)&gt;0,H24,IF(N(I24)&gt;0,I24,IF(COUNTIFS($B$16:$B$215,B24,$H$16:$H$215,"&gt;0")+COUNTIFS($B$16:$B$215,B24,$I$16:$I$215,"&gt;0")&gt;0,"",INDEX($B$5:$B$7,MATCH(B24,$A$5:$A$7,0)))))),""))</f>
        <v>0.0740740740740741</v>
      </c>
      <c r="T24" s="25" t="str">
        <f aca="false">IF(OR(A24="",B24="",C24=""),"",IF(OR(S24="",COUNTIFS($B$16:$B$215,B24,$S$16:$S$215,"&gt;=0")&lt;2),"No Data Yet",IFERROR(IF(S24/AVERAGEIFS($S$16:$S$215,$B$16:$B$215,B24)&gt;=1.2,"Good",IF(S24/AVERAGEIFS($S$16:$S$215,$B$16:$B$215,B24)&gt;=0.8,"Average","Below Standard")),"Average")))</f>
        <v>Average</v>
      </c>
      <c r="U24" s="23" t="n">
        <f aca="false">IF(OR(A24="",B24="",C24=""),"",COUNTIFS('Who Engaged'!$C$5:$C$1004,C24,'Who Engaged'!$P$5:$P$1004,"Yes",'Who Engaged'!$N$5:$N$1004,1))</f>
        <v>0</v>
      </c>
      <c r="V24" s="23" t="n">
        <f aca="false">IF(OR(A24="",B24="",C24=""),"",COUNTIFS('Who Engaged'!$C$5:$C$1004,C24,'Who Engaged'!$P$5:$P$1004,"Yes",'Who Engaged'!$M$5:$M$1004,1))</f>
        <v>0</v>
      </c>
      <c r="W24" s="26" t="str">
        <f aca="false" t="array" ref="W24:W24">IF(OR(A24="",B24="",C24=""),"",_xlfn.TEXTJOIN("; ",TRUE(),IF(('Who Engaged'!$C$5:$C$1004=C24)*('Who Engaged'!$P$5:$P$1004="Yes"),'Who Engaged'!$D$5:$D$1004&amp;" – "&amp;'Who Engaged'!$F$5:$F$1004&amp;IF('Who Engaged'!$M$5:$M$1004=1," (followed)",""),"")))</f>
        <v/>
      </c>
      <c r="X24" s="27" t="s">
        <v>104</v>
      </c>
      <c r="Y24" s="27" t="s">
        <v>105</v>
      </c>
      <c r="Z24" s="28" t="s">
        <v>58</v>
      </c>
      <c r="AA24" s="25" t="str">
        <f aca="false">IF(OR(A24="",B24="",C24=""),"","https://www.alphanodus.com/contact?utm_source="&amp;IF(B24="X","twitter",LOWER(B24))&amp;"&amp;utm_medium=social&amp;utm_campaign="&amp;IF(E24="","general",LOWER(SUBSTITUTE(SUBSTITUTE(E24," / ","-")," ","-")))&amp;"&amp;utm_content="&amp;LOWER(C24))</f>
        <v>https://www.alphanodus.com/contact?utm_source=instagram&amp;utm_medium=social&amp;utm_campaign=revenue-cycle&amp;utm_content=ig-260918-story</v>
      </c>
    </row>
    <row r="25" customFormat="false" ht="67.5" hidden="false" customHeight="true" outlineLevel="0" collapsed="false">
      <c r="A25" s="18" t="n">
        <v>46288</v>
      </c>
      <c r="B25" s="19" t="s">
        <v>17</v>
      </c>
      <c r="C25" s="19" t="s">
        <v>106</v>
      </c>
      <c r="D25" s="20" t="s">
        <v>107</v>
      </c>
      <c r="E25" s="19" t="s">
        <v>69</v>
      </c>
      <c r="F25" s="19" t="s">
        <v>70</v>
      </c>
      <c r="G25" s="19" t="s">
        <v>108</v>
      </c>
      <c r="H25" s="21" t="n">
        <v>88</v>
      </c>
      <c r="I25" s="21" t="n">
        <v>37</v>
      </c>
      <c r="J25" s="21" t="n">
        <v>2</v>
      </c>
      <c r="K25" s="21" t="n">
        <v>0</v>
      </c>
      <c r="L25" s="21" t="n">
        <v>0</v>
      </c>
      <c r="M25" s="21" t="n">
        <v>0</v>
      </c>
      <c r="N25" s="21" t="n">
        <v>2</v>
      </c>
      <c r="O25" s="21" t="n">
        <v>0</v>
      </c>
      <c r="P25" s="23" t="n">
        <f aca="false">IF(OR(A25="",B25="",C25=""),"",IF(COUNT(J25:N25)=0,"",SUM(J25:N25)))</f>
        <v>4</v>
      </c>
      <c r="Q25" s="23" t="n">
        <f aca="false">IF(OR(A25="",B25="",C25=""),"",SUMIFS('Who Engaged'!$I$5:$I$1004,'Who Engaged'!$C$5:$C$1004,C25,'Who Engaged'!$O$5:$O$1004,"Yes")+SUMIFS('Who Engaged'!$J$5:$J$1004,'Who Engaged'!$C$5:$C$1004,C25,'Who Engaged'!$O$5:$O$1004,"Yes")+SUMIFS('Who Engaged'!$K$5:$K$1004,'Who Engaged'!$C$5:$C$1004,C25,'Who Engaged'!$O$5:$O$1004,"Yes")+SUMIFS('Who Engaged'!$L$5:$L$1004,'Who Engaged'!$C$5:$C$1004,C25,'Who Engaged'!$O$5:$O$1004,"Yes"))</f>
        <v>0</v>
      </c>
      <c r="R25" s="23" t="n">
        <f aca="false">IF(OR(OR(A25="",B25="",C25=""),P25=""),"",MAX(0,P25-N(Q25)))</f>
        <v>4</v>
      </c>
      <c r="S25" s="24" t="n">
        <f aca="false">IF(OR(OR(A25="",B25="",C25=""),R25=""),"",IFERROR(R25/(IF(N(H25)&gt;0,H25,IF(N(I25)&gt;0,I25,IF(COUNTIFS($B$16:$B$215,B25,$H$16:$H$215,"&gt;0")+COUNTIFS($B$16:$B$215,B25,$I$16:$I$215,"&gt;0")&gt;0,"",INDEX($B$5:$B$7,MATCH(B25,$A$5:$A$7,0)))))),""))</f>
        <v>0.0454545454545455</v>
      </c>
      <c r="T25" s="25" t="str">
        <f aca="false">IF(OR(A25="",B25="",C25=""),"",IF(OR(S25="",COUNTIFS($B$16:$B$215,B25,$S$16:$S$215,"&gt;=0")&lt;2),"No Data Yet",IFERROR(IF(S25/AVERAGEIFS($S$16:$S$215,$B$16:$B$215,B25)&gt;=1.2,"Good",IF(S25/AVERAGEIFS($S$16:$S$215,$B$16:$B$215,B25)&gt;=0.8,"Average","Below Standard")),"Average")))</f>
        <v>Below Standard</v>
      </c>
      <c r="U25" s="23" t="n">
        <f aca="false">IF(OR(A25="",B25="",C25=""),"",COUNTIFS('Who Engaged'!$C$5:$C$1004,C25,'Who Engaged'!$P$5:$P$1004,"Yes",'Who Engaged'!$N$5:$N$1004,1))</f>
        <v>0</v>
      </c>
      <c r="V25" s="23" t="n">
        <f aca="false">IF(OR(A25="",B25="",C25=""),"",COUNTIFS('Who Engaged'!$C$5:$C$1004,C25,'Who Engaged'!$P$5:$P$1004,"Yes",'Who Engaged'!$M$5:$M$1004,1))</f>
        <v>0</v>
      </c>
      <c r="W25" s="26" t="str">
        <f aca="false" t="array" ref="W25:W25">IF(OR(A25="",B25="",C25=""),"",_xlfn.TEXTJOIN("; ",TRUE(),IF(('Who Engaged'!$C$5:$C$1004=C25)*('Who Engaged'!$P$5:$P$1004="Yes"),'Who Engaged'!$D$5:$D$1004&amp;" – "&amp;'Who Engaged'!$F$5:$F$1004&amp;IF('Who Engaged'!$M$5:$M$1004=1," (followed)",""),"")))</f>
        <v/>
      </c>
      <c r="X25" s="27" t="s">
        <v>109</v>
      </c>
      <c r="Y25" s="27" t="s">
        <v>110</v>
      </c>
      <c r="Z25" s="28" t="s">
        <v>58</v>
      </c>
      <c r="AA25" s="25" t="str">
        <f aca="false">IF(OR(A25="",B25="",C25=""),"","https://www.alphanodus.com/contact?utm_source="&amp;IF(B25="X","twitter",LOWER(B25))&amp;"&amp;utm_medium=social&amp;utm_campaign="&amp;IF(E25="","general",LOWER(SUBSTITUTE(SUBSTITUTE(E25," / ","-")," ","-")))&amp;"&amp;utm_content="&amp;LOWER(C25))</f>
        <v>https://www.alphanodus.com/contact?utm_source=instagram&amp;utm_medium=social&amp;utm_campaign=revenue-cycle&amp;utm_content=ig-260923</v>
      </c>
    </row>
    <row r="26" customFormat="false" ht="67.5" hidden="false" customHeight="true" outlineLevel="0" collapsed="false">
      <c r="A26" s="18" t="n">
        <v>46288</v>
      </c>
      <c r="B26" s="19" t="s">
        <v>17</v>
      </c>
      <c r="C26" s="19" t="s">
        <v>111</v>
      </c>
      <c r="D26" s="20" t="s">
        <v>112</v>
      </c>
      <c r="E26" s="19" t="s">
        <v>69</v>
      </c>
      <c r="F26" s="19" t="s">
        <v>54</v>
      </c>
      <c r="G26" s="19" t="s">
        <v>103</v>
      </c>
      <c r="H26" s="21" t="n">
        <v>62</v>
      </c>
      <c r="I26" s="21" t="n">
        <v>38</v>
      </c>
      <c r="J26" s="21" t="n">
        <v>0</v>
      </c>
      <c r="K26" s="21" t="n">
        <v>0</v>
      </c>
      <c r="L26" s="21" t="n">
        <v>0</v>
      </c>
      <c r="M26" s="22"/>
      <c r="N26" s="21" t="n">
        <v>7</v>
      </c>
      <c r="O26" s="21" t="n">
        <v>0</v>
      </c>
      <c r="P26" s="23" t="n">
        <f aca="false">IF(OR(A26="",B26="",C26=""),"",IF(COUNT(J26:N26)=0,"",SUM(J26:N26)))</f>
        <v>7</v>
      </c>
      <c r="Q26" s="23" t="n">
        <f aca="false">IF(OR(A26="",B26="",C26=""),"",SUMIFS('Who Engaged'!$I$5:$I$1004,'Who Engaged'!$C$5:$C$1004,C26,'Who Engaged'!$O$5:$O$1004,"Yes")+SUMIFS('Who Engaged'!$J$5:$J$1004,'Who Engaged'!$C$5:$C$1004,C26,'Who Engaged'!$O$5:$O$1004,"Yes")+SUMIFS('Who Engaged'!$K$5:$K$1004,'Who Engaged'!$C$5:$C$1004,C26,'Who Engaged'!$O$5:$O$1004,"Yes")+SUMIFS('Who Engaged'!$L$5:$L$1004,'Who Engaged'!$C$5:$C$1004,C26,'Who Engaged'!$O$5:$O$1004,"Yes"))</f>
        <v>0</v>
      </c>
      <c r="R26" s="23" t="n">
        <f aca="false">IF(OR(OR(A26="",B26="",C26=""),P26=""),"",MAX(0,P26-N(Q26)))</f>
        <v>7</v>
      </c>
      <c r="S26" s="24" t="n">
        <f aca="false">IF(OR(OR(A26="",B26="",C26=""),R26=""),"",IFERROR(R26/(IF(N(H26)&gt;0,H26,IF(N(I26)&gt;0,I26,IF(COUNTIFS($B$16:$B$215,B26,$H$16:$H$215,"&gt;0")+COUNTIFS($B$16:$B$215,B26,$I$16:$I$215,"&gt;0")&gt;0,"",INDEX($B$5:$B$7,MATCH(B26,$A$5:$A$7,0)))))),""))</f>
        <v>0.112903225806452</v>
      </c>
      <c r="T26" s="25" t="str">
        <f aca="false">IF(OR(A26="",B26="",C26=""),"",IF(OR(S26="",COUNTIFS($B$16:$B$215,B26,$S$16:$S$215,"&gt;=0")&lt;2),"No Data Yet",IFERROR(IF(S26/AVERAGEIFS($S$16:$S$215,$B$16:$B$215,B26)&gt;=1.2,"Good",IF(S26/AVERAGEIFS($S$16:$S$215,$B$16:$B$215,B26)&gt;=0.8,"Average","Below Standard")),"Average")))</f>
        <v>Good</v>
      </c>
      <c r="U26" s="23" t="n">
        <f aca="false">IF(OR(A26="",B26="",C26=""),"",COUNTIFS('Who Engaged'!$C$5:$C$1004,C26,'Who Engaged'!$P$5:$P$1004,"Yes",'Who Engaged'!$N$5:$N$1004,1))</f>
        <v>0</v>
      </c>
      <c r="V26" s="23" t="n">
        <f aca="false">IF(OR(A26="",B26="",C26=""),"",COUNTIFS('Who Engaged'!$C$5:$C$1004,C26,'Who Engaged'!$P$5:$P$1004,"Yes",'Who Engaged'!$M$5:$M$1004,1))</f>
        <v>0</v>
      </c>
      <c r="W26" s="26" t="str">
        <f aca="false" t="array" ref="W26:W26">IF(OR(A26="",B26="",C26=""),"",_xlfn.TEXTJOIN("; ",TRUE(),IF(('Who Engaged'!$C$5:$C$1004=C26)*('Who Engaged'!$P$5:$P$1004="Yes"),'Who Engaged'!$D$5:$D$1004&amp;" – "&amp;'Who Engaged'!$F$5:$F$1004&amp;IF('Who Engaged'!$M$5:$M$1004=1," (followed)",""),"")))</f>
        <v/>
      </c>
      <c r="X26" s="27" t="s">
        <v>113</v>
      </c>
      <c r="Y26" s="27" t="s">
        <v>114</v>
      </c>
      <c r="Z26" s="28" t="s">
        <v>66</v>
      </c>
      <c r="AA26" s="25" t="str">
        <f aca="false">IF(OR(A26="",B26="",C26=""),"","https://www.alphanodus.com/contact?utm_source="&amp;IF(B26="X","twitter",LOWER(B26))&amp;"&amp;utm_medium=social&amp;utm_campaign="&amp;IF(E26="","general",LOWER(SUBSTITUTE(SUBSTITUTE(E26," / ","-")," ","-")))&amp;"&amp;utm_content="&amp;LOWER(C26))</f>
        <v>https://www.alphanodus.com/contact?utm_source=instagram&amp;utm_medium=social&amp;utm_campaign=revenue-cycle&amp;utm_content=ig-260923-story</v>
      </c>
    </row>
    <row r="27" customFormat="false" ht="67.5" hidden="false" customHeight="true" outlineLevel="0" collapsed="false">
      <c r="A27" s="18" t="n">
        <v>46276</v>
      </c>
      <c r="B27" s="19" t="s">
        <v>19</v>
      </c>
      <c r="C27" s="19" t="s">
        <v>115</v>
      </c>
      <c r="D27" s="20" t="s">
        <v>116</v>
      </c>
      <c r="E27" s="19" t="s">
        <v>53</v>
      </c>
      <c r="F27" s="19" t="s">
        <v>54</v>
      </c>
      <c r="G27" s="19" t="s">
        <v>117</v>
      </c>
      <c r="H27" s="21" t="n">
        <v>27</v>
      </c>
      <c r="I27" s="22"/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5</v>
      </c>
      <c r="O27" s="21" t="n">
        <v>0</v>
      </c>
      <c r="P27" s="23" t="n">
        <f aca="false">IF(OR(A27="",B27="",C27=""),"",IF(COUNT(J27:N27)=0,"",SUM(J27:N27)))</f>
        <v>5</v>
      </c>
      <c r="Q27" s="23" t="n">
        <f aca="false">IF(OR(A27="",B27="",C27=""),"",SUMIFS('Who Engaged'!$I$5:$I$1004,'Who Engaged'!$C$5:$C$1004,C27,'Who Engaged'!$O$5:$O$1004,"Yes")+SUMIFS('Who Engaged'!$J$5:$J$1004,'Who Engaged'!$C$5:$C$1004,C27,'Who Engaged'!$O$5:$O$1004,"Yes")+SUMIFS('Who Engaged'!$K$5:$K$1004,'Who Engaged'!$C$5:$C$1004,C27,'Who Engaged'!$O$5:$O$1004,"Yes")+SUMIFS('Who Engaged'!$L$5:$L$1004,'Who Engaged'!$C$5:$C$1004,C27,'Who Engaged'!$O$5:$O$1004,"Yes"))</f>
        <v>0</v>
      </c>
      <c r="R27" s="23" t="n">
        <f aca="false">IF(OR(OR(A27="",B27="",C27=""),P27=""),"",MAX(0,P27-N(Q27)))</f>
        <v>5</v>
      </c>
      <c r="S27" s="24" t="n">
        <f aca="false">IF(OR(OR(A27="",B27="",C27=""),R27=""),"",IFERROR(R27/(IF(N(H27)&gt;0,H27,IF(N(I27)&gt;0,I27,IF(COUNTIFS($B$16:$B$215,B27,$H$16:$H$215,"&gt;0")+COUNTIFS($B$16:$B$215,B27,$I$16:$I$215,"&gt;0")&gt;0,"",INDEX($B$5:$B$7,MATCH(B27,$A$5:$A$7,0)))))),""))</f>
        <v>0.185185185185185</v>
      </c>
      <c r="T27" s="25" t="str">
        <f aca="false">IF(OR(A27="",B27="",C27=""),"",IF(OR(S27="",COUNTIFS($B$16:$B$215,B27,$S$16:$S$215,"&gt;=0")&lt;2),"No Data Yet",IFERROR(IF(S27/AVERAGEIFS($S$16:$S$215,$B$16:$B$215,B27)&gt;=1.2,"Good",IF(S27/AVERAGEIFS($S$16:$S$215,$B$16:$B$215,B27)&gt;=0.8,"Average","Below Standard")),"Average")))</f>
        <v>Good</v>
      </c>
      <c r="U27" s="23" t="n">
        <f aca="false">IF(OR(A27="",B27="",C27=""),"",COUNTIFS('Who Engaged'!$C$5:$C$1004,C27,'Who Engaged'!$P$5:$P$1004,"Yes",'Who Engaged'!$N$5:$N$1004,1))</f>
        <v>0</v>
      </c>
      <c r="V27" s="23" t="n">
        <f aca="false">IF(OR(A27="",B27="",C27=""),"",COUNTIFS('Who Engaged'!$C$5:$C$1004,C27,'Who Engaged'!$P$5:$P$1004,"Yes",'Who Engaged'!$M$5:$M$1004,1))</f>
        <v>0</v>
      </c>
      <c r="W27" s="26" t="str">
        <f aca="false" t="array" ref="W27:W27">IF(OR(A27="",B27="",C27=""),"",_xlfn.TEXTJOIN("; ",TRUE(),IF(('Who Engaged'!$C$5:$C$1004=C27)*('Who Engaged'!$P$5:$P$1004="Yes"),'Who Engaged'!$D$5:$D$1004&amp;" – "&amp;'Who Engaged'!$F$5:$F$1004&amp;IF('Who Engaged'!$M$5:$M$1004=1," (followed)",""),"")))</f>
        <v/>
      </c>
      <c r="X27" s="27" t="s">
        <v>118</v>
      </c>
      <c r="Y27" s="27" t="s">
        <v>119</v>
      </c>
      <c r="Z27" s="28" t="s">
        <v>58</v>
      </c>
      <c r="AA27" s="25" t="str">
        <f aca="false">IF(OR(A27="",B27="",C27=""),"","https://www.alphanodus.com/contact?utm_source="&amp;IF(B27="X","twitter",LOWER(B27))&amp;"&amp;utm_medium=social&amp;utm_campaign="&amp;IF(E27="","general",LOWER(SUBSTITUTE(SUBSTITUTE(E27," / ","-")," ","-")))&amp;"&amp;utm_content="&amp;LOWER(C27))</f>
        <v>https://www.alphanodus.com/contact?utm_source=twitter&amp;utm_medium=social&amp;utm_campaign=product-demo&amp;utm_content=x-260911</v>
      </c>
    </row>
    <row r="28" customFormat="false" ht="67.5" hidden="false" customHeight="true" outlineLevel="0" collapsed="false">
      <c r="A28" s="18" t="n">
        <v>46279</v>
      </c>
      <c r="B28" s="19" t="s">
        <v>19</v>
      </c>
      <c r="C28" s="19" t="s">
        <v>120</v>
      </c>
      <c r="D28" s="20" t="s">
        <v>121</v>
      </c>
      <c r="E28" s="19" t="s">
        <v>61</v>
      </c>
      <c r="F28" s="19" t="s">
        <v>62</v>
      </c>
      <c r="G28" s="19" t="s">
        <v>122</v>
      </c>
      <c r="H28" s="21" t="n">
        <v>16</v>
      </c>
      <c r="I28" s="22"/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1</v>
      </c>
      <c r="O28" s="21" t="n">
        <v>0</v>
      </c>
      <c r="P28" s="23" t="n">
        <f aca="false">IF(OR(A28="",B28="",C28=""),"",IF(COUNT(J28:N28)=0,"",SUM(J28:N28)))</f>
        <v>1</v>
      </c>
      <c r="Q28" s="23" t="n">
        <f aca="false">IF(OR(A28="",B28="",C28=""),"",SUMIFS('Who Engaged'!$I$5:$I$1004,'Who Engaged'!$C$5:$C$1004,C28,'Who Engaged'!$O$5:$O$1004,"Yes")+SUMIFS('Who Engaged'!$J$5:$J$1004,'Who Engaged'!$C$5:$C$1004,C28,'Who Engaged'!$O$5:$O$1004,"Yes")+SUMIFS('Who Engaged'!$K$5:$K$1004,'Who Engaged'!$C$5:$C$1004,C28,'Who Engaged'!$O$5:$O$1004,"Yes")+SUMIFS('Who Engaged'!$L$5:$L$1004,'Who Engaged'!$C$5:$C$1004,C28,'Who Engaged'!$O$5:$O$1004,"Yes"))</f>
        <v>0</v>
      </c>
      <c r="R28" s="23" t="n">
        <f aca="false">IF(OR(OR(A28="",B28="",C28=""),P28=""),"",MAX(0,P28-N(Q28)))</f>
        <v>1</v>
      </c>
      <c r="S28" s="24" t="n">
        <f aca="false">IF(OR(OR(A28="",B28="",C28=""),R28=""),"",IFERROR(R28/(IF(N(H28)&gt;0,H28,IF(N(I28)&gt;0,I28,IF(COUNTIFS($B$16:$B$215,B28,$H$16:$H$215,"&gt;0")+COUNTIFS($B$16:$B$215,B28,$I$16:$I$215,"&gt;0")&gt;0,"",INDEX($B$5:$B$7,MATCH(B28,$A$5:$A$7,0)))))),""))</f>
        <v>0.0625</v>
      </c>
      <c r="T28" s="25" t="str">
        <f aca="false">IF(OR(A28="",B28="",C28=""),"",IF(OR(S28="",COUNTIFS($B$16:$B$215,B28,$S$16:$S$215,"&gt;=0")&lt;2),"No Data Yet",IFERROR(IF(S28/AVERAGEIFS($S$16:$S$215,$B$16:$B$215,B28)&gt;=1.2,"Good",IF(S28/AVERAGEIFS($S$16:$S$215,$B$16:$B$215,B28)&gt;=0.8,"Average","Below Standard")),"Average")))</f>
        <v>Below Standard</v>
      </c>
      <c r="U28" s="23" t="n">
        <f aca="false">IF(OR(A28="",B28="",C28=""),"",COUNTIFS('Who Engaged'!$C$5:$C$1004,C28,'Who Engaged'!$P$5:$P$1004,"Yes",'Who Engaged'!$N$5:$N$1004,1))</f>
        <v>0</v>
      </c>
      <c r="V28" s="23" t="n">
        <f aca="false">IF(OR(A28="",B28="",C28=""),"",COUNTIFS('Who Engaged'!$C$5:$C$1004,C28,'Who Engaged'!$P$5:$P$1004,"Yes",'Who Engaged'!$M$5:$M$1004,1))</f>
        <v>0</v>
      </c>
      <c r="W28" s="26" t="str">
        <f aca="false" t="array" ref="W28:W28">IF(OR(A28="",B28="",C28=""),"",_xlfn.TEXTJOIN("; ",TRUE(),IF(('Who Engaged'!$C$5:$C$1004=C28)*('Who Engaged'!$P$5:$P$1004="Yes"),'Who Engaged'!$D$5:$D$1004&amp;" – "&amp;'Who Engaged'!$F$5:$F$1004&amp;IF('Who Engaged'!$M$5:$M$1004=1," (followed)",""),"")))</f>
        <v/>
      </c>
      <c r="X28" s="27" t="s">
        <v>123</v>
      </c>
      <c r="Y28" s="27" t="s">
        <v>124</v>
      </c>
      <c r="Z28" s="28" t="s">
        <v>58</v>
      </c>
      <c r="AA28" s="25" t="str">
        <f aca="false">IF(OR(A28="",B28="",C28=""),"","https://www.alphanodus.com/contact?utm_source="&amp;IF(B28="X","twitter",LOWER(B28))&amp;"&amp;utm_medium=social&amp;utm_campaign="&amp;IF(E28="","general",LOWER(SUBSTITUTE(SUBSTITUTE(E28," / ","-")," ","-")))&amp;"&amp;utm_content="&amp;LOWER(C28))</f>
        <v>https://www.alphanodus.com/contact?utm_source=twitter&amp;utm_medium=social&amp;utm_campaign=operations-tips&amp;utm_content=x-260914</v>
      </c>
    </row>
    <row r="29" customFormat="false" ht="67.5" hidden="false" customHeight="true" outlineLevel="0" collapsed="false">
      <c r="A29" s="18" t="n">
        <v>46283</v>
      </c>
      <c r="B29" s="19" t="s">
        <v>19</v>
      </c>
      <c r="C29" s="19" t="s">
        <v>125</v>
      </c>
      <c r="D29" s="20" t="s">
        <v>126</v>
      </c>
      <c r="E29" s="19" t="s">
        <v>69</v>
      </c>
      <c r="F29" s="19" t="s">
        <v>70</v>
      </c>
      <c r="G29" s="19" t="s">
        <v>127</v>
      </c>
      <c r="H29" s="21" t="n">
        <v>26</v>
      </c>
      <c r="I29" s="22"/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1</v>
      </c>
      <c r="O29" s="21" t="n">
        <v>0</v>
      </c>
      <c r="P29" s="23" t="n">
        <f aca="false">IF(OR(A29="",B29="",C29=""),"",IF(COUNT(J29:N29)=0,"",SUM(J29:N29)))</f>
        <v>1</v>
      </c>
      <c r="Q29" s="23" t="n">
        <f aca="false">IF(OR(A29="",B29="",C29=""),"",SUMIFS('Who Engaged'!$I$5:$I$1004,'Who Engaged'!$C$5:$C$1004,C29,'Who Engaged'!$O$5:$O$1004,"Yes")+SUMIFS('Who Engaged'!$J$5:$J$1004,'Who Engaged'!$C$5:$C$1004,C29,'Who Engaged'!$O$5:$O$1004,"Yes")+SUMIFS('Who Engaged'!$K$5:$K$1004,'Who Engaged'!$C$5:$C$1004,C29,'Who Engaged'!$O$5:$O$1004,"Yes")+SUMIFS('Who Engaged'!$L$5:$L$1004,'Who Engaged'!$C$5:$C$1004,C29,'Who Engaged'!$O$5:$O$1004,"Yes"))</f>
        <v>0</v>
      </c>
      <c r="R29" s="23" t="n">
        <f aca="false">IF(OR(OR(A29="",B29="",C29=""),P29=""),"",MAX(0,P29-N(Q29)))</f>
        <v>1</v>
      </c>
      <c r="S29" s="24" t="n">
        <f aca="false">IF(OR(OR(A29="",B29="",C29=""),R29=""),"",IFERROR(R29/(IF(N(H29)&gt;0,H29,IF(N(I29)&gt;0,I29,IF(COUNTIFS($B$16:$B$215,B29,$H$16:$H$215,"&gt;0")+COUNTIFS($B$16:$B$215,B29,$I$16:$I$215,"&gt;0")&gt;0,"",INDEX($B$5:$B$7,MATCH(B29,$A$5:$A$7,0)))))),""))</f>
        <v>0.0384615384615385</v>
      </c>
      <c r="T29" s="25" t="str">
        <f aca="false">IF(OR(A29="",B29="",C29=""),"",IF(OR(S29="",COUNTIFS($B$16:$B$215,B29,$S$16:$S$215,"&gt;=0")&lt;2),"No Data Yet",IFERROR(IF(S29/AVERAGEIFS($S$16:$S$215,$B$16:$B$215,B29)&gt;=1.2,"Good",IF(S29/AVERAGEIFS($S$16:$S$215,$B$16:$B$215,B29)&gt;=0.8,"Average","Below Standard")),"Average")))</f>
        <v>Below Standard</v>
      </c>
      <c r="U29" s="23" t="n">
        <f aca="false">IF(OR(A29="",B29="",C29=""),"",COUNTIFS('Who Engaged'!$C$5:$C$1004,C29,'Who Engaged'!$P$5:$P$1004,"Yes",'Who Engaged'!$N$5:$N$1004,1))</f>
        <v>0</v>
      </c>
      <c r="V29" s="23" t="n">
        <f aca="false">IF(OR(A29="",B29="",C29=""),"",COUNTIFS('Who Engaged'!$C$5:$C$1004,C29,'Who Engaged'!$P$5:$P$1004,"Yes",'Who Engaged'!$M$5:$M$1004,1))</f>
        <v>0</v>
      </c>
      <c r="W29" s="26" t="str">
        <f aca="false" t="array" ref="W29:W29">IF(OR(A29="",B29="",C29=""),"",_xlfn.TEXTJOIN("; ",TRUE(),IF(('Who Engaged'!$C$5:$C$1004=C29)*('Who Engaged'!$P$5:$P$1004="Yes"),'Who Engaged'!$D$5:$D$1004&amp;" – "&amp;'Who Engaged'!$F$5:$F$1004&amp;IF('Who Engaged'!$M$5:$M$1004=1," (followed)",""),"")))</f>
        <v/>
      </c>
      <c r="X29" s="27" t="s">
        <v>128</v>
      </c>
      <c r="Y29" s="27" t="s">
        <v>129</v>
      </c>
      <c r="Z29" s="28" t="s">
        <v>58</v>
      </c>
      <c r="AA29" s="25" t="str">
        <f aca="false">IF(OR(A29="",B29="",C29=""),"","https://www.alphanodus.com/contact?utm_source="&amp;IF(B29="X","twitter",LOWER(B29))&amp;"&amp;utm_medium=social&amp;utm_campaign="&amp;IF(E29="","general",LOWER(SUBSTITUTE(SUBSTITUTE(E29," / ","-")," ","-")))&amp;"&amp;utm_content="&amp;LOWER(C29))</f>
        <v>https://www.alphanodus.com/contact?utm_source=twitter&amp;utm_medium=social&amp;utm_campaign=revenue-cycle&amp;utm_content=x-260918</v>
      </c>
    </row>
    <row r="30" customFormat="false" ht="67.5" hidden="false" customHeight="true" outlineLevel="0" collapsed="false">
      <c r="A30" s="18" t="n">
        <v>46288</v>
      </c>
      <c r="B30" s="19" t="s">
        <v>19</v>
      </c>
      <c r="C30" s="19" t="s">
        <v>130</v>
      </c>
      <c r="D30" s="20" t="s">
        <v>131</v>
      </c>
      <c r="E30" s="19" t="s">
        <v>69</v>
      </c>
      <c r="F30" s="19" t="s">
        <v>70</v>
      </c>
      <c r="G30" s="19" t="s">
        <v>132</v>
      </c>
      <c r="H30" s="21" t="n">
        <v>13</v>
      </c>
      <c r="I30" s="22"/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2</v>
      </c>
      <c r="O30" s="21" t="n">
        <v>0</v>
      </c>
      <c r="P30" s="23" t="n">
        <f aca="false">IF(OR(A30="",B30="",C30=""),"",IF(COUNT(J30:N30)=0,"",SUM(J30:N30)))</f>
        <v>2</v>
      </c>
      <c r="Q30" s="23" t="n">
        <f aca="false">IF(OR(A30="",B30="",C30=""),"",SUMIFS('Who Engaged'!$I$5:$I$1004,'Who Engaged'!$C$5:$C$1004,C30,'Who Engaged'!$O$5:$O$1004,"Yes")+SUMIFS('Who Engaged'!$J$5:$J$1004,'Who Engaged'!$C$5:$C$1004,C30,'Who Engaged'!$O$5:$O$1004,"Yes")+SUMIFS('Who Engaged'!$K$5:$K$1004,'Who Engaged'!$C$5:$C$1004,C30,'Who Engaged'!$O$5:$O$1004,"Yes")+SUMIFS('Who Engaged'!$L$5:$L$1004,'Who Engaged'!$C$5:$C$1004,C30,'Who Engaged'!$O$5:$O$1004,"Yes"))</f>
        <v>0</v>
      </c>
      <c r="R30" s="23" t="n">
        <f aca="false">IF(OR(OR(A30="",B30="",C30=""),P30=""),"",MAX(0,P30-N(Q30)))</f>
        <v>2</v>
      </c>
      <c r="S30" s="24" t="n">
        <f aca="false">IF(OR(OR(A30="",B30="",C30=""),R30=""),"",IFERROR(R30/(IF(N(H30)&gt;0,H30,IF(N(I30)&gt;0,I30,IF(COUNTIFS($B$16:$B$215,B30,$H$16:$H$215,"&gt;0")+COUNTIFS($B$16:$B$215,B30,$I$16:$I$215,"&gt;0")&gt;0,"",INDEX($B$5:$B$7,MATCH(B30,$A$5:$A$7,0)))))),""))</f>
        <v>0.153846153846154</v>
      </c>
      <c r="T30" s="25" t="str">
        <f aca="false">IF(OR(A30="",B30="",C30=""),"",IF(OR(S30="",COUNTIFS($B$16:$B$215,B30,$S$16:$S$215,"&gt;=0")&lt;2),"No Data Yet",IFERROR(IF(S30/AVERAGEIFS($S$16:$S$215,$B$16:$B$215,B30)&gt;=1.2,"Good",IF(S30/AVERAGEIFS($S$16:$S$215,$B$16:$B$215,B30)&gt;=0.8,"Average","Below Standard")),"Average")))</f>
        <v>Good</v>
      </c>
      <c r="U30" s="23" t="n">
        <f aca="false">IF(OR(A30="",B30="",C30=""),"",COUNTIFS('Who Engaged'!$C$5:$C$1004,C30,'Who Engaged'!$P$5:$P$1004,"Yes",'Who Engaged'!$N$5:$N$1004,1))</f>
        <v>0</v>
      </c>
      <c r="V30" s="23" t="n">
        <f aca="false">IF(OR(A30="",B30="",C30=""),"",COUNTIFS('Who Engaged'!$C$5:$C$1004,C30,'Who Engaged'!$P$5:$P$1004,"Yes",'Who Engaged'!$M$5:$M$1004,1))</f>
        <v>0</v>
      </c>
      <c r="W30" s="26" t="str">
        <f aca="false" t="array" ref="W30:W30">IF(OR(A30="",B30="",C30=""),"",_xlfn.TEXTJOIN("; ",TRUE(),IF(('Who Engaged'!$C$5:$C$1004=C30)*('Who Engaged'!$P$5:$P$1004="Yes"),'Who Engaged'!$D$5:$D$1004&amp;" – "&amp;'Who Engaged'!$F$5:$F$1004&amp;IF('Who Engaged'!$M$5:$M$1004=1," (followed)",""),"")))</f>
        <v/>
      </c>
      <c r="X30" s="27" t="s">
        <v>133</v>
      </c>
      <c r="Y30" s="27" t="s">
        <v>134</v>
      </c>
      <c r="Z30" s="28" t="s">
        <v>58</v>
      </c>
      <c r="AA30" s="25" t="str">
        <f aca="false">IF(OR(A30="",B30="",C30=""),"","https://www.alphanodus.com/contact?utm_source="&amp;IF(B30="X","twitter",LOWER(B30))&amp;"&amp;utm_medium=social&amp;utm_campaign="&amp;IF(E30="","general",LOWER(SUBSTITUTE(SUBSTITUTE(E30," / ","-")," ","-")))&amp;"&amp;utm_content="&amp;LOWER(C30))</f>
        <v>https://www.alphanodus.com/contact?utm_source=twitter&amp;utm_medium=social&amp;utm_campaign=revenue-cycle&amp;utm_content=x-260923</v>
      </c>
    </row>
    <row r="31" customFormat="false" ht="15" hidden="false" customHeight="false" outlineLevel="0" collapsed="false">
      <c r="A31" s="29"/>
      <c r="B31" s="28"/>
      <c r="C31" s="28"/>
      <c r="D31" s="27"/>
      <c r="E31" s="28"/>
      <c r="F31" s="28"/>
      <c r="G31" s="28"/>
      <c r="H31" s="22"/>
      <c r="I31" s="22"/>
      <c r="J31" s="22"/>
      <c r="K31" s="22"/>
      <c r="L31" s="22"/>
      <c r="M31" s="22"/>
      <c r="N31" s="22"/>
      <c r="O31" s="22"/>
      <c r="P31" s="23" t="str">
        <f aca="false">IF(OR(A31="",B31="",C31=""),"",IF(COUNT(J31:N31)=0,"",SUM(J31:N31)))</f>
        <v/>
      </c>
      <c r="Q31" s="23" t="str">
        <f aca="false">IF(OR(A31="",B31="",C31=""),"",SUMIFS('Who Engaged'!$I$5:$I$1004,'Who Engaged'!$C$5:$C$1004,C31,'Who Engaged'!$O$5:$O$1004,"Yes")+SUMIFS('Who Engaged'!$J$5:$J$1004,'Who Engaged'!$C$5:$C$1004,C31,'Who Engaged'!$O$5:$O$1004,"Yes")+SUMIFS('Who Engaged'!$K$5:$K$1004,'Who Engaged'!$C$5:$C$1004,C31,'Who Engaged'!$O$5:$O$1004,"Yes")+SUMIFS('Who Engaged'!$L$5:$L$1004,'Who Engaged'!$C$5:$C$1004,C31,'Who Engaged'!$O$5:$O$1004,"Yes"))</f>
        <v/>
      </c>
      <c r="R31" s="23" t="str">
        <f aca="false">IF(OR(OR(A31="",B31="",C31=""),P31=""),"",MAX(0,P31-N(Q31)))</f>
        <v/>
      </c>
      <c r="S31" s="24" t="str">
        <f aca="false">IF(OR(OR(A31="",B31="",C31=""),R31=""),"",IFERROR(R31/(IF(N(H31)&gt;0,H31,IF(N(I31)&gt;0,I31,IF(COUNTIFS($B$16:$B$215,B31,$H$16:$H$215,"&gt;0")+COUNTIFS($B$16:$B$215,B31,$I$16:$I$215,"&gt;0")&gt;0,"",INDEX($B$5:$B$7,MATCH(B31,$A$5:$A$7,0)))))),""))</f>
        <v/>
      </c>
      <c r="T31" s="25" t="str">
        <f aca="false">IF(OR(A31="",B31="",C31=""),"",IF(OR(S31="",COUNTIFS($B$16:$B$215,B31,$S$16:$S$215,"&gt;=0")&lt;2),"No Data Yet",IFERROR(IF(S31/AVERAGEIFS($S$16:$S$215,$B$16:$B$215,B31)&gt;=1.2,"Good",IF(S31/AVERAGEIFS($S$16:$S$215,$B$16:$B$215,B31)&gt;=0.8,"Average","Below Standard")),"Average")))</f>
        <v/>
      </c>
      <c r="U31" s="23" t="str">
        <f aca="false">IF(OR(A31="",B31="",C31=""),"",COUNTIFS('Who Engaged'!$C$5:$C$1004,C31,'Who Engaged'!$P$5:$P$1004,"Yes",'Who Engaged'!$N$5:$N$1004,1))</f>
        <v/>
      </c>
      <c r="V31" s="23" t="str">
        <f aca="false">IF(OR(A31="",B31="",C31=""),"",COUNTIFS('Who Engaged'!$C$5:$C$1004,C31,'Who Engaged'!$P$5:$P$1004,"Yes",'Who Engaged'!$M$5:$M$1004,1))</f>
        <v/>
      </c>
      <c r="W31" s="26" t="str">
        <f aca="false" t="array" ref="W31:W31">IF(OR(A31="",B31="",C31=""),"",_xlfn.TEXTJOIN("; ",TRUE(),IF(('Who Engaged'!$C$5:$C$1004=C31)*('Who Engaged'!$P$5:$P$1004="Yes"),'Who Engaged'!$D$5:$D$1004&amp;" – "&amp;'Who Engaged'!$F$5:$F$1004&amp;IF('Who Engaged'!$M$5:$M$1004=1," (followed)",""),"")))</f>
        <v/>
      </c>
      <c r="X31" s="27"/>
      <c r="Y31" s="27"/>
      <c r="Z31" s="28"/>
      <c r="AA31" s="25" t="str">
        <f aca="false">IF(OR(A31="",B31="",C31=""),"","https://www.alphanodus.com/contact?utm_source="&amp;IF(B31="X","twitter",LOWER(B31))&amp;"&amp;utm_medium=social&amp;utm_campaign="&amp;IF(E31="","general",LOWER(SUBSTITUTE(SUBSTITUTE(E31," / ","-")," ","-")))&amp;"&amp;utm_content="&amp;LOWER(C31))</f>
        <v/>
      </c>
    </row>
    <row r="32" customFormat="false" ht="15" hidden="false" customHeight="false" outlineLevel="0" collapsed="false">
      <c r="A32" s="29"/>
      <c r="B32" s="28"/>
      <c r="C32" s="28"/>
      <c r="D32" s="27"/>
      <c r="E32" s="28"/>
      <c r="F32" s="28"/>
      <c r="G32" s="28"/>
      <c r="H32" s="22"/>
      <c r="I32" s="22"/>
      <c r="J32" s="22"/>
      <c r="K32" s="22"/>
      <c r="L32" s="22"/>
      <c r="M32" s="22"/>
      <c r="N32" s="22"/>
      <c r="O32" s="22"/>
      <c r="P32" s="23" t="str">
        <f aca="false">IF(OR(A32="",B32="",C32=""),"",IF(COUNT(J32:N32)=0,"",SUM(J32:N32)))</f>
        <v/>
      </c>
      <c r="Q32" s="23" t="str">
        <f aca="false">IF(OR(A32="",B32="",C32=""),"",SUMIFS('Who Engaged'!$I$5:$I$1004,'Who Engaged'!$C$5:$C$1004,C32,'Who Engaged'!$O$5:$O$1004,"Yes")+SUMIFS('Who Engaged'!$J$5:$J$1004,'Who Engaged'!$C$5:$C$1004,C32,'Who Engaged'!$O$5:$O$1004,"Yes")+SUMIFS('Who Engaged'!$K$5:$K$1004,'Who Engaged'!$C$5:$C$1004,C32,'Who Engaged'!$O$5:$O$1004,"Yes")+SUMIFS('Who Engaged'!$L$5:$L$1004,'Who Engaged'!$C$5:$C$1004,C32,'Who Engaged'!$O$5:$O$1004,"Yes"))</f>
        <v/>
      </c>
      <c r="R32" s="23" t="str">
        <f aca="false">IF(OR(OR(A32="",B32="",C32=""),P32=""),"",MAX(0,P32-N(Q32)))</f>
        <v/>
      </c>
      <c r="S32" s="24" t="str">
        <f aca="false">IF(OR(OR(A32="",B32="",C32=""),R32=""),"",IFERROR(R32/(IF(N(H32)&gt;0,H32,IF(N(I32)&gt;0,I32,IF(COUNTIFS($B$16:$B$215,B32,$H$16:$H$215,"&gt;0")+COUNTIFS($B$16:$B$215,B32,$I$16:$I$215,"&gt;0")&gt;0,"",INDEX($B$5:$B$7,MATCH(B32,$A$5:$A$7,0)))))),""))</f>
        <v/>
      </c>
      <c r="T32" s="25" t="str">
        <f aca="false">IF(OR(A32="",B32="",C32=""),"",IF(OR(S32="",COUNTIFS($B$16:$B$215,B32,$S$16:$S$215,"&gt;=0")&lt;2),"No Data Yet",IFERROR(IF(S32/AVERAGEIFS($S$16:$S$215,$B$16:$B$215,B32)&gt;=1.2,"Good",IF(S32/AVERAGEIFS($S$16:$S$215,$B$16:$B$215,B32)&gt;=0.8,"Average","Below Standard")),"Average")))</f>
        <v/>
      </c>
      <c r="U32" s="23" t="str">
        <f aca="false">IF(OR(A32="",B32="",C32=""),"",COUNTIFS('Who Engaged'!$C$5:$C$1004,C32,'Who Engaged'!$P$5:$P$1004,"Yes",'Who Engaged'!$N$5:$N$1004,1))</f>
        <v/>
      </c>
      <c r="V32" s="23" t="str">
        <f aca="false">IF(OR(A32="",B32="",C32=""),"",COUNTIFS('Who Engaged'!$C$5:$C$1004,C32,'Who Engaged'!$P$5:$P$1004,"Yes",'Who Engaged'!$M$5:$M$1004,1))</f>
        <v/>
      </c>
      <c r="W32" s="26" t="str">
        <f aca="false" t="array" ref="W32:W32">IF(OR(A32="",B32="",C32=""),"",_xlfn.TEXTJOIN("; ",TRUE(),IF(('Who Engaged'!$C$5:$C$1004=C32)*('Who Engaged'!$P$5:$P$1004="Yes"),'Who Engaged'!$D$5:$D$1004&amp;" – "&amp;'Who Engaged'!$F$5:$F$1004&amp;IF('Who Engaged'!$M$5:$M$1004=1," (followed)",""),"")))</f>
        <v/>
      </c>
      <c r="X32" s="27"/>
      <c r="Y32" s="27"/>
      <c r="Z32" s="28"/>
      <c r="AA32" s="25" t="str">
        <f aca="false">IF(OR(A32="",B32="",C32=""),"","https://www.alphanodus.com/contact?utm_source="&amp;IF(B32="X","twitter",LOWER(B32))&amp;"&amp;utm_medium=social&amp;utm_campaign="&amp;IF(E32="","general",LOWER(SUBSTITUTE(SUBSTITUTE(E32," / ","-")," ","-")))&amp;"&amp;utm_content="&amp;LOWER(C32))</f>
        <v/>
      </c>
    </row>
    <row r="33" customFormat="false" ht="15" hidden="false" customHeight="false" outlineLevel="0" collapsed="false">
      <c r="A33" s="29"/>
      <c r="B33" s="28"/>
      <c r="C33" s="28"/>
      <c r="D33" s="27"/>
      <c r="E33" s="28"/>
      <c r="F33" s="28"/>
      <c r="G33" s="28"/>
      <c r="H33" s="22"/>
      <c r="I33" s="22"/>
      <c r="J33" s="22"/>
      <c r="K33" s="22"/>
      <c r="L33" s="22"/>
      <c r="M33" s="22"/>
      <c r="N33" s="22"/>
      <c r="O33" s="22"/>
      <c r="P33" s="23" t="str">
        <f aca="false">IF(OR(A33="",B33="",C33=""),"",IF(COUNT(J33:N33)=0,"",SUM(J33:N33)))</f>
        <v/>
      </c>
      <c r="Q33" s="23" t="str">
        <f aca="false">IF(OR(A33="",B33="",C33=""),"",SUMIFS('Who Engaged'!$I$5:$I$1004,'Who Engaged'!$C$5:$C$1004,C33,'Who Engaged'!$O$5:$O$1004,"Yes")+SUMIFS('Who Engaged'!$J$5:$J$1004,'Who Engaged'!$C$5:$C$1004,C33,'Who Engaged'!$O$5:$O$1004,"Yes")+SUMIFS('Who Engaged'!$K$5:$K$1004,'Who Engaged'!$C$5:$C$1004,C33,'Who Engaged'!$O$5:$O$1004,"Yes")+SUMIFS('Who Engaged'!$L$5:$L$1004,'Who Engaged'!$C$5:$C$1004,C33,'Who Engaged'!$O$5:$O$1004,"Yes"))</f>
        <v/>
      </c>
      <c r="R33" s="23" t="str">
        <f aca="false">IF(OR(OR(A33="",B33="",C33=""),P33=""),"",MAX(0,P33-N(Q33)))</f>
        <v/>
      </c>
      <c r="S33" s="24" t="str">
        <f aca="false">IF(OR(OR(A33="",B33="",C33=""),R33=""),"",IFERROR(R33/(IF(N(H33)&gt;0,H33,IF(N(I33)&gt;0,I33,IF(COUNTIFS($B$16:$B$215,B33,$H$16:$H$215,"&gt;0")+COUNTIFS($B$16:$B$215,B33,$I$16:$I$215,"&gt;0")&gt;0,"",INDEX($B$5:$B$7,MATCH(B33,$A$5:$A$7,0)))))),""))</f>
        <v/>
      </c>
      <c r="T33" s="25" t="str">
        <f aca="false">IF(OR(A33="",B33="",C33=""),"",IF(OR(S33="",COUNTIFS($B$16:$B$215,B33,$S$16:$S$215,"&gt;=0")&lt;2),"No Data Yet",IFERROR(IF(S33/AVERAGEIFS($S$16:$S$215,$B$16:$B$215,B33)&gt;=1.2,"Good",IF(S33/AVERAGEIFS($S$16:$S$215,$B$16:$B$215,B33)&gt;=0.8,"Average","Below Standard")),"Average")))</f>
        <v/>
      </c>
      <c r="U33" s="23" t="str">
        <f aca="false">IF(OR(A33="",B33="",C33=""),"",COUNTIFS('Who Engaged'!$C$5:$C$1004,C33,'Who Engaged'!$P$5:$P$1004,"Yes",'Who Engaged'!$N$5:$N$1004,1))</f>
        <v/>
      </c>
      <c r="V33" s="23" t="str">
        <f aca="false">IF(OR(A33="",B33="",C33=""),"",COUNTIFS('Who Engaged'!$C$5:$C$1004,C33,'Who Engaged'!$P$5:$P$1004,"Yes",'Who Engaged'!$M$5:$M$1004,1))</f>
        <v/>
      </c>
      <c r="W33" s="26" t="str">
        <f aca="false" t="array" ref="W33:W33">IF(OR(A33="",B33="",C33=""),"",_xlfn.TEXTJOIN("; ",TRUE(),IF(('Who Engaged'!$C$5:$C$1004=C33)*('Who Engaged'!$P$5:$P$1004="Yes"),'Who Engaged'!$D$5:$D$1004&amp;" – "&amp;'Who Engaged'!$F$5:$F$1004&amp;IF('Who Engaged'!$M$5:$M$1004=1," (followed)",""),"")))</f>
        <v/>
      </c>
      <c r="X33" s="27"/>
      <c r="Y33" s="27"/>
      <c r="Z33" s="28"/>
      <c r="AA33" s="25" t="str">
        <f aca="false">IF(OR(A33="",B33="",C33=""),"","https://www.alphanodus.com/contact?utm_source="&amp;IF(B33="X","twitter",LOWER(B33))&amp;"&amp;utm_medium=social&amp;utm_campaign="&amp;IF(E33="","general",LOWER(SUBSTITUTE(SUBSTITUTE(E33," / ","-")," ","-")))&amp;"&amp;utm_content="&amp;LOWER(C33))</f>
        <v/>
      </c>
    </row>
    <row r="34" customFormat="false" ht="15" hidden="false" customHeight="false" outlineLevel="0" collapsed="false">
      <c r="A34" s="29"/>
      <c r="B34" s="28"/>
      <c r="C34" s="28"/>
      <c r="D34" s="27"/>
      <c r="E34" s="28"/>
      <c r="F34" s="28"/>
      <c r="G34" s="28"/>
      <c r="H34" s="22"/>
      <c r="I34" s="22"/>
      <c r="J34" s="22"/>
      <c r="K34" s="22"/>
      <c r="L34" s="22"/>
      <c r="M34" s="22"/>
      <c r="N34" s="22"/>
      <c r="O34" s="22"/>
      <c r="P34" s="23" t="str">
        <f aca="false">IF(OR(A34="",B34="",C34=""),"",IF(COUNT(J34:N34)=0,"",SUM(J34:N34)))</f>
        <v/>
      </c>
      <c r="Q34" s="23" t="str">
        <f aca="false">IF(OR(A34="",B34="",C34=""),"",SUMIFS('Who Engaged'!$I$5:$I$1004,'Who Engaged'!$C$5:$C$1004,C34,'Who Engaged'!$O$5:$O$1004,"Yes")+SUMIFS('Who Engaged'!$J$5:$J$1004,'Who Engaged'!$C$5:$C$1004,C34,'Who Engaged'!$O$5:$O$1004,"Yes")+SUMIFS('Who Engaged'!$K$5:$K$1004,'Who Engaged'!$C$5:$C$1004,C34,'Who Engaged'!$O$5:$O$1004,"Yes")+SUMIFS('Who Engaged'!$L$5:$L$1004,'Who Engaged'!$C$5:$C$1004,C34,'Who Engaged'!$O$5:$O$1004,"Yes"))</f>
        <v/>
      </c>
      <c r="R34" s="23" t="str">
        <f aca="false">IF(OR(OR(A34="",B34="",C34=""),P34=""),"",MAX(0,P34-N(Q34)))</f>
        <v/>
      </c>
      <c r="S34" s="24" t="str">
        <f aca="false">IF(OR(OR(A34="",B34="",C34=""),R34=""),"",IFERROR(R34/(IF(N(H34)&gt;0,H34,IF(N(I34)&gt;0,I34,IF(COUNTIFS($B$16:$B$215,B34,$H$16:$H$215,"&gt;0")+COUNTIFS($B$16:$B$215,B34,$I$16:$I$215,"&gt;0")&gt;0,"",INDEX($B$5:$B$7,MATCH(B34,$A$5:$A$7,0)))))),""))</f>
        <v/>
      </c>
      <c r="T34" s="25" t="str">
        <f aca="false">IF(OR(A34="",B34="",C34=""),"",IF(OR(S34="",COUNTIFS($B$16:$B$215,B34,$S$16:$S$215,"&gt;=0")&lt;2),"No Data Yet",IFERROR(IF(S34/AVERAGEIFS($S$16:$S$215,$B$16:$B$215,B34)&gt;=1.2,"Good",IF(S34/AVERAGEIFS($S$16:$S$215,$B$16:$B$215,B34)&gt;=0.8,"Average","Below Standard")),"Average")))</f>
        <v/>
      </c>
      <c r="U34" s="23" t="str">
        <f aca="false">IF(OR(A34="",B34="",C34=""),"",COUNTIFS('Who Engaged'!$C$5:$C$1004,C34,'Who Engaged'!$P$5:$P$1004,"Yes",'Who Engaged'!$N$5:$N$1004,1))</f>
        <v/>
      </c>
      <c r="V34" s="23" t="str">
        <f aca="false">IF(OR(A34="",B34="",C34=""),"",COUNTIFS('Who Engaged'!$C$5:$C$1004,C34,'Who Engaged'!$P$5:$P$1004,"Yes",'Who Engaged'!$M$5:$M$1004,1))</f>
        <v/>
      </c>
      <c r="W34" s="26" t="str">
        <f aca="false" t="array" ref="W34:W34">IF(OR(A34="",B34="",C34=""),"",_xlfn.TEXTJOIN("; ",TRUE(),IF(('Who Engaged'!$C$5:$C$1004=C34)*('Who Engaged'!$P$5:$P$1004="Yes"),'Who Engaged'!$D$5:$D$1004&amp;" – "&amp;'Who Engaged'!$F$5:$F$1004&amp;IF('Who Engaged'!$M$5:$M$1004=1," (followed)",""),"")))</f>
        <v/>
      </c>
      <c r="X34" s="27"/>
      <c r="Y34" s="27"/>
      <c r="Z34" s="28"/>
      <c r="AA34" s="25" t="str">
        <f aca="false">IF(OR(A34="",B34="",C34=""),"","https://www.alphanodus.com/contact?utm_source="&amp;IF(B34="X","twitter",LOWER(B34))&amp;"&amp;utm_medium=social&amp;utm_campaign="&amp;IF(E34="","general",LOWER(SUBSTITUTE(SUBSTITUTE(E34," / ","-")," ","-")))&amp;"&amp;utm_content="&amp;LOWER(C34))</f>
        <v/>
      </c>
    </row>
    <row r="35" customFormat="false" ht="15" hidden="false" customHeight="false" outlineLevel="0" collapsed="false">
      <c r="A35" s="29"/>
      <c r="B35" s="28"/>
      <c r="C35" s="28"/>
      <c r="D35" s="27"/>
      <c r="E35" s="28"/>
      <c r="F35" s="28"/>
      <c r="G35" s="28"/>
      <c r="H35" s="22"/>
      <c r="I35" s="22"/>
      <c r="J35" s="22"/>
      <c r="K35" s="22"/>
      <c r="L35" s="22"/>
      <c r="M35" s="22"/>
      <c r="N35" s="22"/>
      <c r="O35" s="22"/>
      <c r="P35" s="23" t="str">
        <f aca="false">IF(OR(A35="",B35="",C35=""),"",IF(COUNT(J35:N35)=0,"",SUM(J35:N35)))</f>
        <v/>
      </c>
      <c r="Q35" s="23" t="str">
        <f aca="false">IF(OR(A35="",B35="",C35=""),"",SUMIFS('Who Engaged'!$I$5:$I$1004,'Who Engaged'!$C$5:$C$1004,C35,'Who Engaged'!$O$5:$O$1004,"Yes")+SUMIFS('Who Engaged'!$J$5:$J$1004,'Who Engaged'!$C$5:$C$1004,C35,'Who Engaged'!$O$5:$O$1004,"Yes")+SUMIFS('Who Engaged'!$K$5:$K$1004,'Who Engaged'!$C$5:$C$1004,C35,'Who Engaged'!$O$5:$O$1004,"Yes")+SUMIFS('Who Engaged'!$L$5:$L$1004,'Who Engaged'!$C$5:$C$1004,C35,'Who Engaged'!$O$5:$O$1004,"Yes"))</f>
        <v/>
      </c>
      <c r="R35" s="23" t="str">
        <f aca="false">IF(OR(OR(A35="",B35="",C35=""),P35=""),"",MAX(0,P35-N(Q35)))</f>
        <v/>
      </c>
      <c r="S35" s="24" t="str">
        <f aca="false">IF(OR(OR(A35="",B35="",C35=""),R35=""),"",IFERROR(R35/(IF(N(H35)&gt;0,H35,IF(N(I35)&gt;0,I35,IF(COUNTIFS($B$16:$B$215,B35,$H$16:$H$215,"&gt;0")+COUNTIFS($B$16:$B$215,B35,$I$16:$I$215,"&gt;0")&gt;0,"",INDEX($B$5:$B$7,MATCH(B35,$A$5:$A$7,0)))))),""))</f>
        <v/>
      </c>
      <c r="T35" s="25" t="str">
        <f aca="false">IF(OR(A35="",B35="",C35=""),"",IF(OR(S35="",COUNTIFS($B$16:$B$215,B35,$S$16:$S$215,"&gt;=0")&lt;2),"No Data Yet",IFERROR(IF(S35/AVERAGEIFS($S$16:$S$215,$B$16:$B$215,B35)&gt;=1.2,"Good",IF(S35/AVERAGEIFS($S$16:$S$215,$B$16:$B$215,B35)&gt;=0.8,"Average","Below Standard")),"Average")))</f>
        <v/>
      </c>
      <c r="U35" s="23" t="str">
        <f aca="false">IF(OR(A35="",B35="",C35=""),"",COUNTIFS('Who Engaged'!$C$5:$C$1004,C35,'Who Engaged'!$P$5:$P$1004,"Yes",'Who Engaged'!$N$5:$N$1004,1))</f>
        <v/>
      </c>
      <c r="V35" s="23" t="str">
        <f aca="false">IF(OR(A35="",B35="",C35=""),"",COUNTIFS('Who Engaged'!$C$5:$C$1004,C35,'Who Engaged'!$P$5:$P$1004,"Yes",'Who Engaged'!$M$5:$M$1004,1))</f>
        <v/>
      </c>
      <c r="W35" s="26" t="str">
        <f aca="false" t="array" ref="W35:W35">IF(OR(A35="",B35="",C35=""),"",_xlfn.TEXTJOIN("; ",TRUE(),IF(('Who Engaged'!$C$5:$C$1004=C35)*('Who Engaged'!$P$5:$P$1004="Yes"),'Who Engaged'!$D$5:$D$1004&amp;" – "&amp;'Who Engaged'!$F$5:$F$1004&amp;IF('Who Engaged'!$M$5:$M$1004=1," (followed)",""),"")))</f>
        <v/>
      </c>
      <c r="X35" s="27"/>
      <c r="Y35" s="27"/>
      <c r="Z35" s="28"/>
      <c r="AA35" s="25" t="str">
        <f aca="false">IF(OR(A35="",B35="",C35=""),"","https://www.alphanodus.com/contact?utm_source="&amp;IF(B35="X","twitter",LOWER(B35))&amp;"&amp;utm_medium=social&amp;utm_campaign="&amp;IF(E35="","general",LOWER(SUBSTITUTE(SUBSTITUTE(E35," / ","-")," ","-")))&amp;"&amp;utm_content="&amp;LOWER(C35))</f>
        <v/>
      </c>
    </row>
    <row r="36" customFormat="false" ht="15" hidden="false" customHeight="false" outlineLevel="0" collapsed="false">
      <c r="A36" s="29"/>
      <c r="B36" s="28"/>
      <c r="C36" s="28"/>
      <c r="D36" s="27"/>
      <c r="E36" s="28"/>
      <c r="F36" s="28"/>
      <c r="G36" s="28"/>
      <c r="H36" s="22"/>
      <c r="I36" s="22"/>
      <c r="J36" s="22"/>
      <c r="K36" s="22"/>
      <c r="L36" s="22"/>
      <c r="M36" s="22"/>
      <c r="N36" s="22"/>
      <c r="O36" s="22"/>
      <c r="P36" s="23" t="str">
        <f aca="false">IF(OR(A36="",B36="",C36=""),"",IF(COUNT(J36:N36)=0,"",SUM(J36:N36)))</f>
        <v/>
      </c>
      <c r="Q36" s="23" t="str">
        <f aca="false">IF(OR(A36="",B36="",C36=""),"",SUMIFS('Who Engaged'!$I$5:$I$1004,'Who Engaged'!$C$5:$C$1004,C36,'Who Engaged'!$O$5:$O$1004,"Yes")+SUMIFS('Who Engaged'!$J$5:$J$1004,'Who Engaged'!$C$5:$C$1004,C36,'Who Engaged'!$O$5:$O$1004,"Yes")+SUMIFS('Who Engaged'!$K$5:$K$1004,'Who Engaged'!$C$5:$C$1004,C36,'Who Engaged'!$O$5:$O$1004,"Yes")+SUMIFS('Who Engaged'!$L$5:$L$1004,'Who Engaged'!$C$5:$C$1004,C36,'Who Engaged'!$O$5:$O$1004,"Yes"))</f>
        <v/>
      </c>
      <c r="R36" s="23" t="str">
        <f aca="false">IF(OR(OR(A36="",B36="",C36=""),P36=""),"",MAX(0,P36-N(Q36)))</f>
        <v/>
      </c>
      <c r="S36" s="24" t="str">
        <f aca="false">IF(OR(OR(A36="",B36="",C36=""),R36=""),"",IFERROR(R36/(IF(N(H36)&gt;0,H36,IF(N(I36)&gt;0,I36,IF(COUNTIFS($B$16:$B$215,B36,$H$16:$H$215,"&gt;0")+COUNTIFS($B$16:$B$215,B36,$I$16:$I$215,"&gt;0")&gt;0,"",INDEX($B$5:$B$7,MATCH(B36,$A$5:$A$7,0)))))),""))</f>
        <v/>
      </c>
      <c r="T36" s="25" t="str">
        <f aca="false">IF(OR(A36="",B36="",C36=""),"",IF(OR(S36="",COUNTIFS($B$16:$B$215,B36,$S$16:$S$215,"&gt;=0")&lt;2),"No Data Yet",IFERROR(IF(S36/AVERAGEIFS($S$16:$S$215,$B$16:$B$215,B36)&gt;=1.2,"Good",IF(S36/AVERAGEIFS($S$16:$S$215,$B$16:$B$215,B36)&gt;=0.8,"Average","Below Standard")),"Average")))</f>
        <v/>
      </c>
      <c r="U36" s="23" t="str">
        <f aca="false">IF(OR(A36="",B36="",C36=""),"",COUNTIFS('Who Engaged'!$C$5:$C$1004,C36,'Who Engaged'!$P$5:$P$1004,"Yes",'Who Engaged'!$N$5:$N$1004,1))</f>
        <v/>
      </c>
      <c r="V36" s="23" t="str">
        <f aca="false">IF(OR(A36="",B36="",C36=""),"",COUNTIFS('Who Engaged'!$C$5:$C$1004,C36,'Who Engaged'!$P$5:$P$1004,"Yes",'Who Engaged'!$M$5:$M$1004,1))</f>
        <v/>
      </c>
      <c r="W36" s="26" t="str">
        <f aca="false" t="array" ref="W36:W36">IF(OR(A36="",B36="",C36=""),"",_xlfn.TEXTJOIN("; ",TRUE(),IF(('Who Engaged'!$C$5:$C$1004=C36)*('Who Engaged'!$P$5:$P$1004="Yes"),'Who Engaged'!$D$5:$D$1004&amp;" – "&amp;'Who Engaged'!$F$5:$F$1004&amp;IF('Who Engaged'!$M$5:$M$1004=1," (followed)",""),"")))</f>
        <v/>
      </c>
      <c r="X36" s="27"/>
      <c r="Y36" s="27"/>
      <c r="Z36" s="28"/>
      <c r="AA36" s="25" t="str">
        <f aca="false">IF(OR(A36="",B36="",C36=""),"","https://www.alphanodus.com/contact?utm_source="&amp;IF(B36="X","twitter",LOWER(B36))&amp;"&amp;utm_medium=social&amp;utm_campaign="&amp;IF(E36="","general",LOWER(SUBSTITUTE(SUBSTITUTE(E36," / ","-")," ","-")))&amp;"&amp;utm_content="&amp;LOWER(C36))</f>
        <v/>
      </c>
    </row>
    <row r="37" customFormat="false" ht="15" hidden="false" customHeight="false" outlineLevel="0" collapsed="false">
      <c r="A37" s="29"/>
      <c r="B37" s="28"/>
      <c r="C37" s="28"/>
      <c r="D37" s="27"/>
      <c r="E37" s="28"/>
      <c r="F37" s="28"/>
      <c r="G37" s="28"/>
      <c r="H37" s="22"/>
      <c r="I37" s="22"/>
      <c r="J37" s="22"/>
      <c r="K37" s="22"/>
      <c r="L37" s="22"/>
      <c r="M37" s="22"/>
      <c r="N37" s="22"/>
      <c r="O37" s="22"/>
      <c r="P37" s="23" t="str">
        <f aca="false">IF(OR(A37="",B37="",C37=""),"",IF(COUNT(J37:N37)=0,"",SUM(J37:N37)))</f>
        <v/>
      </c>
      <c r="Q37" s="23" t="str">
        <f aca="false">IF(OR(A37="",B37="",C37=""),"",SUMIFS('Who Engaged'!$I$5:$I$1004,'Who Engaged'!$C$5:$C$1004,C37,'Who Engaged'!$O$5:$O$1004,"Yes")+SUMIFS('Who Engaged'!$J$5:$J$1004,'Who Engaged'!$C$5:$C$1004,C37,'Who Engaged'!$O$5:$O$1004,"Yes")+SUMIFS('Who Engaged'!$K$5:$K$1004,'Who Engaged'!$C$5:$C$1004,C37,'Who Engaged'!$O$5:$O$1004,"Yes")+SUMIFS('Who Engaged'!$L$5:$L$1004,'Who Engaged'!$C$5:$C$1004,C37,'Who Engaged'!$O$5:$O$1004,"Yes"))</f>
        <v/>
      </c>
      <c r="R37" s="23" t="str">
        <f aca="false">IF(OR(OR(A37="",B37="",C37=""),P37=""),"",MAX(0,P37-N(Q37)))</f>
        <v/>
      </c>
      <c r="S37" s="24" t="str">
        <f aca="false">IF(OR(OR(A37="",B37="",C37=""),R37=""),"",IFERROR(R37/(IF(N(H37)&gt;0,H37,IF(N(I37)&gt;0,I37,IF(COUNTIFS($B$16:$B$215,B37,$H$16:$H$215,"&gt;0")+COUNTIFS($B$16:$B$215,B37,$I$16:$I$215,"&gt;0")&gt;0,"",INDEX($B$5:$B$7,MATCH(B37,$A$5:$A$7,0)))))),""))</f>
        <v/>
      </c>
      <c r="T37" s="25" t="str">
        <f aca="false">IF(OR(A37="",B37="",C37=""),"",IF(OR(S37="",COUNTIFS($B$16:$B$215,B37,$S$16:$S$215,"&gt;=0")&lt;2),"No Data Yet",IFERROR(IF(S37/AVERAGEIFS($S$16:$S$215,$B$16:$B$215,B37)&gt;=1.2,"Good",IF(S37/AVERAGEIFS($S$16:$S$215,$B$16:$B$215,B37)&gt;=0.8,"Average","Below Standard")),"Average")))</f>
        <v/>
      </c>
      <c r="U37" s="23" t="str">
        <f aca="false">IF(OR(A37="",B37="",C37=""),"",COUNTIFS('Who Engaged'!$C$5:$C$1004,C37,'Who Engaged'!$P$5:$P$1004,"Yes",'Who Engaged'!$N$5:$N$1004,1))</f>
        <v/>
      </c>
      <c r="V37" s="23" t="str">
        <f aca="false">IF(OR(A37="",B37="",C37=""),"",COUNTIFS('Who Engaged'!$C$5:$C$1004,C37,'Who Engaged'!$P$5:$P$1004,"Yes",'Who Engaged'!$M$5:$M$1004,1))</f>
        <v/>
      </c>
      <c r="W37" s="26" t="str">
        <f aca="false" t="array" ref="W37:W37">IF(OR(A37="",B37="",C37=""),"",_xlfn.TEXTJOIN("; ",TRUE(),IF(('Who Engaged'!$C$5:$C$1004=C37)*('Who Engaged'!$P$5:$P$1004="Yes"),'Who Engaged'!$D$5:$D$1004&amp;" – "&amp;'Who Engaged'!$F$5:$F$1004&amp;IF('Who Engaged'!$M$5:$M$1004=1," (followed)",""),"")))</f>
        <v/>
      </c>
      <c r="X37" s="27"/>
      <c r="Y37" s="27"/>
      <c r="Z37" s="28"/>
      <c r="AA37" s="25" t="str">
        <f aca="false">IF(OR(A37="",B37="",C37=""),"","https://www.alphanodus.com/contact?utm_source="&amp;IF(B37="X","twitter",LOWER(B37))&amp;"&amp;utm_medium=social&amp;utm_campaign="&amp;IF(E37="","general",LOWER(SUBSTITUTE(SUBSTITUTE(E37," / ","-")," ","-")))&amp;"&amp;utm_content="&amp;LOWER(C37))</f>
        <v/>
      </c>
    </row>
    <row r="38" customFormat="false" ht="15" hidden="false" customHeight="false" outlineLevel="0" collapsed="false">
      <c r="A38" s="29"/>
      <c r="B38" s="28"/>
      <c r="C38" s="28"/>
      <c r="D38" s="27"/>
      <c r="E38" s="28"/>
      <c r="F38" s="28"/>
      <c r="G38" s="28"/>
      <c r="H38" s="22"/>
      <c r="I38" s="22"/>
      <c r="J38" s="22"/>
      <c r="K38" s="22"/>
      <c r="L38" s="22"/>
      <c r="M38" s="22"/>
      <c r="N38" s="22"/>
      <c r="O38" s="22"/>
      <c r="P38" s="23" t="str">
        <f aca="false">IF(OR(A38="",B38="",C38=""),"",IF(COUNT(J38:N38)=0,"",SUM(J38:N38)))</f>
        <v/>
      </c>
      <c r="Q38" s="23" t="str">
        <f aca="false">IF(OR(A38="",B38="",C38=""),"",SUMIFS('Who Engaged'!$I$5:$I$1004,'Who Engaged'!$C$5:$C$1004,C38,'Who Engaged'!$O$5:$O$1004,"Yes")+SUMIFS('Who Engaged'!$J$5:$J$1004,'Who Engaged'!$C$5:$C$1004,C38,'Who Engaged'!$O$5:$O$1004,"Yes")+SUMIFS('Who Engaged'!$K$5:$K$1004,'Who Engaged'!$C$5:$C$1004,C38,'Who Engaged'!$O$5:$O$1004,"Yes")+SUMIFS('Who Engaged'!$L$5:$L$1004,'Who Engaged'!$C$5:$C$1004,C38,'Who Engaged'!$O$5:$O$1004,"Yes"))</f>
        <v/>
      </c>
      <c r="R38" s="23" t="str">
        <f aca="false">IF(OR(OR(A38="",B38="",C38=""),P38=""),"",MAX(0,P38-N(Q38)))</f>
        <v/>
      </c>
      <c r="S38" s="24" t="str">
        <f aca="false">IF(OR(OR(A38="",B38="",C38=""),R38=""),"",IFERROR(R38/(IF(N(H38)&gt;0,H38,IF(N(I38)&gt;0,I38,IF(COUNTIFS($B$16:$B$215,B38,$H$16:$H$215,"&gt;0")+COUNTIFS($B$16:$B$215,B38,$I$16:$I$215,"&gt;0")&gt;0,"",INDEX($B$5:$B$7,MATCH(B38,$A$5:$A$7,0)))))),""))</f>
        <v/>
      </c>
      <c r="T38" s="25" t="str">
        <f aca="false">IF(OR(A38="",B38="",C38=""),"",IF(OR(S38="",COUNTIFS($B$16:$B$215,B38,$S$16:$S$215,"&gt;=0")&lt;2),"No Data Yet",IFERROR(IF(S38/AVERAGEIFS($S$16:$S$215,$B$16:$B$215,B38)&gt;=1.2,"Good",IF(S38/AVERAGEIFS($S$16:$S$215,$B$16:$B$215,B38)&gt;=0.8,"Average","Below Standard")),"Average")))</f>
        <v/>
      </c>
      <c r="U38" s="23" t="str">
        <f aca="false">IF(OR(A38="",B38="",C38=""),"",COUNTIFS('Who Engaged'!$C$5:$C$1004,C38,'Who Engaged'!$P$5:$P$1004,"Yes",'Who Engaged'!$N$5:$N$1004,1))</f>
        <v/>
      </c>
      <c r="V38" s="23" t="str">
        <f aca="false">IF(OR(A38="",B38="",C38=""),"",COUNTIFS('Who Engaged'!$C$5:$C$1004,C38,'Who Engaged'!$P$5:$P$1004,"Yes",'Who Engaged'!$M$5:$M$1004,1))</f>
        <v/>
      </c>
      <c r="W38" s="26" t="str">
        <f aca="false" t="array" ref="W38:W38">IF(OR(A38="",B38="",C38=""),"",_xlfn.TEXTJOIN("; ",TRUE(),IF(('Who Engaged'!$C$5:$C$1004=C38)*('Who Engaged'!$P$5:$P$1004="Yes"),'Who Engaged'!$D$5:$D$1004&amp;" – "&amp;'Who Engaged'!$F$5:$F$1004&amp;IF('Who Engaged'!$M$5:$M$1004=1," (followed)",""),"")))</f>
        <v/>
      </c>
      <c r="X38" s="27"/>
      <c r="Y38" s="27"/>
      <c r="Z38" s="28"/>
      <c r="AA38" s="25" t="str">
        <f aca="false">IF(OR(A38="",B38="",C38=""),"","https://www.alphanodus.com/contact?utm_source="&amp;IF(B38="X","twitter",LOWER(B38))&amp;"&amp;utm_medium=social&amp;utm_campaign="&amp;IF(E38="","general",LOWER(SUBSTITUTE(SUBSTITUTE(E38," / ","-")," ","-")))&amp;"&amp;utm_content="&amp;LOWER(C38))</f>
        <v/>
      </c>
    </row>
    <row r="39" customFormat="false" ht="15" hidden="false" customHeight="false" outlineLevel="0" collapsed="false">
      <c r="A39" s="29"/>
      <c r="B39" s="28"/>
      <c r="C39" s="28"/>
      <c r="D39" s="27"/>
      <c r="E39" s="28"/>
      <c r="F39" s="28"/>
      <c r="G39" s="28"/>
      <c r="H39" s="22"/>
      <c r="I39" s="22"/>
      <c r="J39" s="22"/>
      <c r="K39" s="22"/>
      <c r="L39" s="22"/>
      <c r="M39" s="22"/>
      <c r="N39" s="22"/>
      <c r="O39" s="22"/>
      <c r="P39" s="23" t="str">
        <f aca="false">IF(OR(A39="",B39="",C39=""),"",IF(COUNT(J39:N39)=0,"",SUM(J39:N39)))</f>
        <v/>
      </c>
      <c r="Q39" s="23" t="str">
        <f aca="false">IF(OR(A39="",B39="",C39=""),"",SUMIFS('Who Engaged'!$I$5:$I$1004,'Who Engaged'!$C$5:$C$1004,C39,'Who Engaged'!$O$5:$O$1004,"Yes")+SUMIFS('Who Engaged'!$J$5:$J$1004,'Who Engaged'!$C$5:$C$1004,C39,'Who Engaged'!$O$5:$O$1004,"Yes")+SUMIFS('Who Engaged'!$K$5:$K$1004,'Who Engaged'!$C$5:$C$1004,C39,'Who Engaged'!$O$5:$O$1004,"Yes")+SUMIFS('Who Engaged'!$L$5:$L$1004,'Who Engaged'!$C$5:$C$1004,C39,'Who Engaged'!$O$5:$O$1004,"Yes"))</f>
        <v/>
      </c>
      <c r="R39" s="23" t="str">
        <f aca="false">IF(OR(OR(A39="",B39="",C39=""),P39=""),"",MAX(0,P39-N(Q39)))</f>
        <v/>
      </c>
      <c r="S39" s="24" t="str">
        <f aca="false">IF(OR(OR(A39="",B39="",C39=""),R39=""),"",IFERROR(R39/(IF(N(H39)&gt;0,H39,IF(N(I39)&gt;0,I39,IF(COUNTIFS($B$16:$B$215,B39,$H$16:$H$215,"&gt;0")+COUNTIFS($B$16:$B$215,B39,$I$16:$I$215,"&gt;0")&gt;0,"",INDEX($B$5:$B$7,MATCH(B39,$A$5:$A$7,0)))))),""))</f>
        <v/>
      </c>
      <c r="T39" s="25" t="str">
        <f aca="false">IF(OR(A39="",B39="",C39=""),"",IF(OR(S39="",COUNTIFS($B$16:$B$215,B39,$S$16:$S$215,"&gt;=0")&lt;2),"No Data Yet",IFERROR(IF(S39/AVERAGEIFS($S$16:$S$215,$B$16:$B$215,B39)&gt;=1.2,"Good",IF(S39/AVERAGEIFS($S$16:$S$215,$B$16:$B$215,B39)&gt;=0.8,"Average","Below Standard")),"Average")))</f>
        <v/>
      </c>
      <c r="U39" s="23" t="str">
        <f aca="false">IF(OR(A39="",B39="",C39=""),"",COUNTIFS('Who Engaged'!$C$5:$C$1004,C39,'Who Engaged'!$P$5:$P$1004,"Yes",'Who Engaged'!$N$5:$N$1004,1))</f>
        <v/>
      </c>
      <c r="V39" s="23" t="str">
        <f aca="false">IF(OR(A39="",B39="",C39=""),"",COUNTIFS('Who Engaged'!$C$5:$C$1004,C39,'Who Engaged'!$P$5:$P$1004,"Yes",'Who Engaged'!$M$5:$M$1004,1))</f>
        <v/>
      </c>
      <c r="W39" s="26" t="str">
        <f aca="false" t="array" ref="W39:W39">IF(OR(A39="",B39="",C39=""),"",_xlfn.TEXTJOIN("; ",TRUE(),IF(('Who Engaged'!$C$5:$C$1004=C39)*('Who Engaged'!$P$5:$P$1004="Yes"),'Who Engaged'!$D$5:$D$1004&amp;" – "&amp;'Who Engaged'!$F$5:$F$1004&amp;IF('Who Engaged'!$M$5:$M$1004=1," (followed)",""),"")))</f>
        <v/>
      </c>
      <c r="X39" s="27"/>
      <c r="Y39" s="27"/>
      <c r="Z39" s="28"/>
      <c r="AA39" s="25" t="str">
        <f aca="false">IF(OR(A39="",B39="",C39=""),"","https://www.alphanodus.com/contact?utm_source="&amp;IF(B39="X","twitter",LOWER(B39))&amp;"&amp;utm_medium=social&amp;utm_campaign="&amp;IF(E39="","general",LOWER(SUBSTITUTE(SUBSTITUTE(E39," / ","-")," ","-")))&amp;"&amp;utm_content="&amp;LOWER(C39))</f>
        <v/>
      </c>
    </row>
    <row r="40" customFormat="false" ht="15" hidden="false" customHeight="false" outlineLevel="0" collapsed="false">
      <c r="A40" s="29"/>
      <c r="B40" s="28"/>
      <c r="C40" s="28"/>
      <c r="D40" s="27"/>
      <c r="E40" s="28"/>
      <c r="F40" s="28"/>
      <c r="G40" s="28"/>
      <c r="H40" s="22"/>
      <c r="I40" s="22"/>
      <c r="J40" s="22"/>
      <c r="K40" s="22"/>
      <c r="L40" s="22"/>
      <c r="M40" s="22"/>
      <c r="N40" s="22"/>
      <c r="O40" s="22"/>
      <c r="P40" s="23" t="str">
        <f aca="false">IF(OR(A40="",B40="",C40=""),"",IF(COUNT(J40:N40)=0,"",SUM(J40:N40)))</f>
        <v/>
      </c>
      <c r="Q40" s="23" t="str">
        <f aca="false">IF(OR(A40="",B40="",C40=""),"",SUMIFS('Who Engaged'!$I$5:$I$1004,'Who Engaged'!$C$5:$C$1004,C40,'Who Engaged'!$O$5:$O$1004,"Yes")+SUMIFS('Who Engaged'!$J$5:$J$1004,'Who Engaged'!$C$5:$C$1004,C40,'Who Engaged'!$O$5:$O$1004,"Yes")+SUMIFS('Who Engaged'!$K$5:$K$1004,'Who Engaged'!$C$5:$C$1004,C40,'Who Engaged'!$O$5:$O$1004,"Yes")+SUMIFS('Who Engaged'!$L$5:$L$1004,'Who Engaged'!$C$5:$C$1004,C40,'Who Engaged'!$O$5:$O$1004,"Yes"))</f>
        <v/>
      </c>
      <c r="R40" s="23" t="str">
        <f aca="false">IF(OR(OR(A40="",B40="",C40=""),P40=""),"",MAX(0,P40-N(Q40)))</f>
        <v/>
      </c>
      <c r="S40" s="24" t="str">
        <f aca="false">IF(OR(OR(A40="",B40="",C40=""),R40=""),"",IFERROR(R40/(IF(N(H40)&gt;0,H40,IF(N(I40)&gt;0,I40,IF(COUNTIFS($B$16:$B$215,B40,$H$16:$H$215,"&gt;0")+COUNTIFS($B$16:$B$215,B40,$I$16:$I$215,"&gt;0")&gt;0,"",INDEX($B$5:$B$7,MATCH(B40,$A$5:$A$7,0)))))),""))</f>
        <v/>
      </c>
      <c r="T40" s="25" t="str">
        <f aca="false">IF(OR(A40="",B40="",C40=""),"",IF(OR(S40="",COUNTIFS($B$16:$B$215,B40,$S$16:$S$215,"&gt;=0")&lt;2),"No Data Yet",IFERROR(IF(S40/AVERAGEIFS($S$16:$S$215,$B$16:$B$215,B40)&gt;=1.2,"Good",IF(S40/AVERAGEIFS($S$16:$S$215,$B$16:$B$215,B40)&gt;=0.8,"Average","Below Standard")),"Average")))</f>
        <v/>
      </c>
      <c r="U40" s="23" t="str">
        <f aca="false">IF(OR(A40="",B40="",C40=""),"",COUNTIFS('Who Engaged'!$C$5:$C$1004,C40,'Who Engaged'!$P$5:$P$1004,"Yes",'Who Engaged'!$N$5:$N$1004,1))</f>
        <v/>
      </c>
      <c r="V40" s="23" t="str">
        <f aca="false">IF(OR(A40="",B40="",C40=""),"",COUNTIFS('Who Engaged'!$C$5:$C$1004,C40,'Who Engaged'!$P$5:$P$1004,"Yes",'Who Engaged'!$M$5:$M$1004,1))</f>
        <v/>
      </c>
      <c r="W40" s="26" t="str">
        <f aca="false" t="array" ref="W40:W40">IF(OR(A40="",B40="",C40=""),"",_xlfn.TEXTJOIN("; ",TRUE(),IF(('Who Engaged'!$C$5:$C$1004=C40)*('Who Engaged'!$P$5:$P$1004="Yes"),'Who Engaged'!$D$5:$D$1004&amp;" – "&amp;'Who Engaged'!$F$5:$F$1004&amp;IF('Who Engaged'!$M$5:$M$1004=1," (followed)",""),"")))</f>
        <v/>
      </c>
      <c r="X40" s="27"/>
      <c r="Y40" s="27"/>
      <c r="Z40" s="28"/>
      <c r="AA40" s="25" t="str">
        <f aca="false">IF(OR(A40="",B40="",C40=""),"","https://www.alphanodus.com/contact?utm_source="&amp;IF(B40="X","twitter",LOWER(B40))&amp;"&amp;utm_medium=social&amp;utm_campaign="&amp;IF(E40="","general",LOWER(SUBSTITUTE(SUBSTITUTE(E40," / ","-")," ","-")))&amp;"&amp;utm_content="&amp;LOWER(C40))</f>
        <v/>
      </c>
    </row>
    <row r="41" customFormat="false" ht="15" hidden="false" customHeight="false" outlineLevel="0" collapsed="false">
      <c r="A41" s="29"/>
      <c r="B41" s="28"/>
      <c r="C41" s="28"/>
      <c r="D41" s="27"/>
      <c r="E41" s="28"/>
      <c r="F41" s="28"/>
      <c r="G41" s="28"/>
      <c r="H41" s="22"/>
      <c r="I41" s="22"/>
      <c r="J41" s="22"/>
      <c r="K41" s="22"/>
      <c r="L41" s="22"/>
      <c r="M41" s="22"/>
      <c r="N41" s="22"/>
      <c r="O41" s="22"/>
      <c r="P41" s="23" t="str">
        <f aca="false">IF(OR(A41="",B41="",C41=""),"",IF(COUNT(J41:N41)=0,"",SUM(J41:N41)))</f>
        <v/>
      </c>
      <c r="Q41" s="23" t="str">
        <f aca="false">IF(OR(A41="",B41="",C41=""),"",SUMIFS('Who Engaged'!$I$5:$I$1004,'Who Engaged'!$C$5:$C$1004,C41,'Who Engaged'!$O$5:$O$1004,"Yes")+SUMIFS('Who Engaged'!$J$5:$J$1004,'Who Engaged'!$C$5:$C$1004,C41,'Who Engaged'!$O$5:$O$1004,"Yes")+SUMIFS('Who Engaged'!$K$5:$K$1004,'Who Engaged'!$C$5:$C$1004,C41,'Who Engaged'!$O$5:$O$1004,"Yes")+SUMIFS('Who Engaged'!$L$5:$L$1004,'Who Engaged'!$C$5:$C$1004,C41,'Who Engaged'!$O$5:$O$1004,"Yes"))</f>
        <v/>
      </c>
      <c r="R41" s="23" t="str">
        <f aca="false">IF(OR(OR(A41="",B41="",C41=""),P41=""),"",MAX(0,P41-N(Q41)))</f>
        <v/>
      </c>
      <c r="S41" s="24" t="str">
        <f aca="false">IF(OR(OR(A41="",B41="",C41=""),R41=""),"",IFERROR(R41/(IF(N(H41)&gt;0,H41,IF(N(I41)&gt;0,I41,IF(COUNTIFS($B$16:$B$215,B41,$H$16:$H$215,"&gt;0")+COUNTIFS($B$16:$B$215,B41,$I$16:$I$215,"&gt;0")&gt;0,"",INDEX($B$5:$B$7,MATCH(B41,$A$5:$A$7,0)))))),""))</f>
        <v/>
      </c>
      <c r="T41" s="25" t="str">
        <f aca="false">IF(OR(A41="",B41="",C41=""),"",IF(OR(S41="",COUNTIFS($B$16:$B$215,B41,$S$16:$S$215,"&gt;=0")&lt;2),"No Data Yet",IFERROR(IF(S41/AVERAGEIFS($S$16:$S$215,$B$16:$B$215,B41)&gt;=1.2,"Good",IF(S41/AVERAGEIFS($S$16:$S$215,$B$16:$B$215,B41)&gt;=0.8,"Average","Below Standard")),"Average")))</f>
        <v/>
      </c>
      <c r="U41" s="23" t="str">
        <f aca="false">IF(OR(A41="",B41="",C41=""),"",COUNTIFS('Who Engaged'!$C$5:$C$1004,C41,'Who Engaged'!$P$5:$P$1004,"Yes",'Who Engaged'!$N$5:$N$1004,1))</f>
        <v/>
      </c>
      <c r="V41" s="23" t="str">
        <f aca="false">IF(OR(A41="",B41="",C41=""),"",COUNTIFS('Who Engaged'!$C$5:$C$1004,C41,'Who Engaged'!$P$5:$P$1004,"Yes",'Who Engaged'!$M$5:$M$1004,1))</f>
        <v/>
      </c>
      <c r="W41" s="26" t="str">
        <f aca="false" t="array" ref="W41:W41">IF(OR(A41="",B41="",C41=""),"",_xlfn.TEXTJOIN("; ",TRUE(),IF(('Who Engaged'!$C$5:$C$1004=C41)*('Who Engaged'!$P$5:$P$1004="Yes"),'Who Engaged'!$D$5:$D$1004&amp;" – "&amp;'Who Engaged'!$F$5:$F$1004&amp;IF('Who Engaged'!$M$5:$M$1004=1," (followed)",""),"")))</f>
        <v/>
      </c>
      <c r="X41" s="27"/>
      <c r="Y41" s="27"/>
      <c r="Z41" s="28"/>
      <c r="AA41" s="25" t="str">
        <f aca="false">IF(OR(A41="",B41="",C41=""),"","https://www.alphanodus.com/contact?utm_source="&amp;IF(B41="X","twitter",LOWER(B41))&amp;"&amp;utm_medium=social&amp;utm_campaign="&amp;IF(E41="","general",LOWER(SUBSTITUTE(SUBSTITUTE(E41," / ","-")," ","-")))&amp;"&amp;utm_content="&amp;LOWER(C41))</f>
        <v/>
      </c>
    </row>
    <row r="42" customFormat="false" ht="15" hidden="false" customHeight="false" outlineLevel="0" collapsed="false">
      <c r="A42" s="29"/>
      <c r="B42" s="28"/>
      <c r="C42" s="28"/>
      <c r="D42" s="27"/>
      <c r="E42" s="28"/>
      <c r="F42" s="28"/>
      <c r="G42" s="28"/>
      <c r="H42" s="22"/>
      <c r="I42" s="22"/>
      <c r="J42" s="22"/>
      <c r="K42" s="22"/>
      <c r="L42" s="22"/>
      <c r="M42" s="22"/>
      <c r="N42" s="22"/>
      <c r="O42" s="22"/>
      <c r="P42" s="23" t="str">
        <f aca="false">IF(OR(A42="",B42="",C42=""),"",IF(COUNT(J42:N42)=0,"",SUM(J42:N42)))</f>
        <v/>
      </c>
      <c r="Q42" s="23" t="str">
        <f aca="false">IF(OR(A42="",B42="",C42=""),"",SUMIFS('Who Engaged'!$I$5:$I$1004,'Who Engaged'!$C$5:$C$1004,C42,'Who Engaged'!$O$5:$O$1004,"Yes")+SUMIFS('Who Engaged'!$J$5:$J$1004,'Who Engaged'!$C$5:$C$1004,C42,'Who Engaged'!$O$5:$O$1004,"Yes")+SUMIFS('Who Engaged'!$K$5:$K$1004,'Who Engaged'!$C$5:$C$1004,C42,'Who Engaged'!$O$5:$O$1004,"Yes")+SUMIFS('Who Engaged'!$L$5:$L$1004,'Who Engaged'!$C$5:$C$1004,C42,'Who Engaged'!$O$5:$O$1004,"Yes"))</f>
        <v/>
      </c>
      <c r="R42" s="23" t="str">
        <f aca="false">IF(OR(OR(A42="",B42="",C42=""),P42=""),"",MAX(0,P42-N(Q42)))</f>
        <v/>
      </c>
      <c r="S42" s="24" t="str">
        <f aca="false">IF(OR(OR(A42="",B42="",C42=""),R42=""),"",IFERROR(R42/(IF(N(H42)&gt;0,H42,IF(N(I42)&gt;0,I42,IF(COUNTIFS($B$16:$B$215,B42,$H$16:$H$215,"&gt;0")+COUNTIFS($B$16:$B$215,B42,$I$16:$I$215,"&gt;0")&gt;0,"",INDEX($B$5:$B$7,MATCH(B42,$A$5:$A$7,0)))))),""))</f>
        <v/>
      </c>
      <c r="T42" s="25" t="str">
        <f aca="false">IF(OR(A42="",B42="",C42=""),"",IF(OR(S42="",COUNTIFS($B$16:$B$215,B42,$S$16:$S$215,"&gt;=0")&lt;2),"No Data Yet",IFERROR(IF(S42/AVERAGEIFS($S$16:$S$215,$B$16:$B$215,B42)&gt;=1.2,"Good",IF(S42/AVERAGEIFS($S$16:$S$215,$B$16:$B$215,B42)&gt;=0.8,"Average","Below Standard")),"Average")))</f>
        <v/>
      </c>
      <c r="U42" s="23" t="str">
        <f aca="false">IF(OR(A42="",B42="",C42=""),"",COUNTIFS('Who Engaged'!$C$5:$C$1004,C42,'Who Engaged'!$P$5:$P$1004,"Yes",'Who Engaged'!$N$5:$N$1004,1))</f>
        <v/>
      </c>
      <c r="V42" s="23" t="str">
        <f aca="false">IF(OR(A42="",B42="",C42=""),"",COUNTIFS('Who Engaged'!$C$5:$C$1004,C42,'Who Engaged'!$P$5:$P$1004,"Yes",'Who Engaged'!$M$5:$M$1004,1))</f>
        <v/>
      </c>
      <c r="W42" s="26" t="str">
        <f aca="false" t="array" ref="W42:W42">IF(OR(A42="",B42="",C42=""),"",_xlfn.TEXTJOIN("; ",TRUE(),IF(('Who Engaged'!$C$5:$C$1004=C42)*('Who Engaged'!$P$5:$P$1004="Yes"),'Who Engaged'!$D$5:$D$1004&amp;" – "&amp;'Who Engaged'!$F$5:$F$1004&amp;IF('Who Engaged'!$M$5:$M$1004=1," (followed)",""),"")))</f>
        <v/>
      </c>
      <c r="X42" s="27"/>
      <c r="Y42" s="27"/>
      <c r="Z42" s="28"/>
      <c r="AA42" s="25" t="str">
        <f aca="false">IF(OR(A42="",B42="",C42=""),"","https://www.alphanodus.com/contact?utm_source="&amp;IF(B42="X","twitter",LOWER(B42))&amp;"&amp;utm_medium=social&amp;utm_campaign="&amp;IF(E42="","general",LOWER(SUBSTITUTE(SUBSTITUTE(E42," / ","-")," ","-")))&amp;"&amp;utm_content="&amp;LOWER(C42))</f>
        <v/>
      </c>
    </row>
    <row r="43" customFormat="false" ht="15" hidden="false" customHeight="false" outlineLevel="0" collapsed="false">
      <c r="A43" s="29"/>
      <c r="B43" s="28"/>
      <c r="C43" s="28"/>
      <c r="D43" s="27"/>
      <c r="E43" s="28"/>
      <c r="F43" s="28"/>
      <c r="G43" s="28"/>
      <c r="H43" s="22"/>
      <c r="I43" s="22"/>
      <c r="J43" s="22"/>
      <c r="K43" s="22"/>
      <c r="L43" s="22"/>
      <c r="M43" s="22"/>
      <c r="N43" s="22"/>
      <c r="O43" s="22"/>
      <c r="P43" s="23" t="str">
        <f aca="false">IF(OR(A43="",B43="",C43=""),"",IF(COUNT(J43:N43)=0,"",SUM(J43:N43)))</f>
        <v/>
      </c>
      <c r="Q43" s="23" t="str">
        <f aca="false">IF(OR(A43="",B43="",C43=""),"",SUMIFS('Who Engaged'!$I$5:$I$1004,'Who Engaged'!$C$5:$C$1004,C43,'Who Engaged'!$O$5:$O$1004,"Yes")+SUMIFS('Who Engaged'!$J$5:$J$1004,'Who Engaged'!$C$5:$C$1004,C43,'Who Engaged'!$O$5:$O$1004,"Yes")+SUMIFS('Who Engaged'!$K$5:$K$1004,'Who Engaged'!$C$5:$C$1004,C43,'Who Engaged'!$O$5:$O$1004,"Yes")+SUMIFS('Who Engaged'!$L$5:$L$1004,'Who Engaged'!$C$5:$C$1004,C43,'Who Engaged'!$O$5:$O$1004,"Yes"))</f>
        <v/>
      </c>
      <c r="R43" s="23" t="str">
        <f aca="false">IF(OR(OR(A43="",B43="",C43=""),P43=""),"",MAX(0,P43-N(Q43)))</f>
        <v/>
      </c>
      <c r="S43" s="24" t="str">
        <f aca="false">IF(OR(OR(A43="",B43="",C43=""),R43=""),"",IFERROR(R43/(IF(N(H43)&gt;0,H43,IF(N(I43)&gt;0,I43,IF(COUNTIFS($B$16:$B$215,B43,$H$16:$H$215,"&gt;0")+COUNTIFS($B$16:$B$215,B43,$I$16:$I$215,"&gt;0")&gt;0,"",INDEX($B$5:$B$7,MATCH(B43,$A$5:$A$7,0)))))),""))</f>
        <v/>
      </c>
      <c r="T43" s="25" t="str">
        <f aca="false">IF(OR(A43="",B43="",C43=""),"",IF(OR(S43="",COUNTIFS($B$16:$B$215,B43,$S$16:$S$215,"&gt;=0")&lt;2),"No Data Yet",IFERROR(IF(S43/AVERAGEIFS($S$16:$S$215,$B$16:$B$215,B43)&gt;=1.2,"Good",IF(S43/AVERAGEIFS($S$16:$S$215,$B$16:$B$215,B43)&gt;=0.8,"Average","Below Standard")),"Average")))</f>
        <v/>
      </c>
      <c r="U43" s="23" t="str">
        <f aca="false">IF(OR(A43="",B43="",C43=""),"",COUNTIFS('Who Engaged'!$C$5:$C$1004,C43,'Who Engaged'!$P$5:$P$1004,"Yes",'Who Engaged'!$N$5:$N$1004,1))</f>
        <v/>
      </c>
      <c r="V43" s="23" t="str">
        <f aca="false">IF(OR(A43="",B43="",C43=""),"",COUNTIFS('Who Engaged'!$C$5:$C$1004,C43,'Who Engaged'!$P$5:$P$1004,"Yes",'Who Engaged'!$M$5:$M$1004,1))</f>
        <v/>
      </c>
      <c r="W43" s="26" t="str">
        <f aca="false" t="array" ref="W43:W43">IF(OR(A43="",B43="",C43=""),"",_xlfn.TEXTJOIN("; ",TRUE(),IF(('Who Engaged'!$C$5:$C$1004=C43)*('Who Engaged'!$P$5:$P$1004="Yes"),'Who Engaged'!$D$5:$D$1004&amp;" – "&amp;'Who Engaged'!$F$5:$F$1004&amp;IF('Who Engaged'!$M$5:$M$1004=1," (followed)",""),"")))</f>
        <v/>
      </c>
      <c r="X43" s="27"/>
      <c r="Y43" s="27"/>
      <c r="Z43" s="28"/>
      <c r="AA43" s="25" t="str">
        <f aca="false">IF(OR(A43="",B43="",C43=""),"","https://www.alphanodus.com/contact?utm_source="&amp;IF(B43="X","twitter",LOWER(B43))&amp;"&amp;utm_medium=social&amp;utm_campaign="&amp;IF(E43="","general",LOWER(SUBSTITUTE(SUBSTITUTE(E43," / ","-")," ","-")))&amp;"&amp;utm_content="&amp;LOWER(C43))</f>
        <v/>
      </c>
    </row>
    <row r="44" customFormat="false" ht="15" hidden="false" customHeight="false" outlineLevel="0" collapsed="false">
      <c r="A44" s="29"/>
      <c r="B44" s="28"/>
      <c r="C44" s="28"/>
      <c r="D44" s="27"/>
      <c r="E44" s="28"/>
      <c r="F44" s="28"/>
      <c r="G44" s="28"/>
      <c r="H44" s="22"/>
      <c r="I44" s="22"/>
      <c r="J44" s="22"/>
      <c r="K44" s="22"/>
      <c r="L44" s="22"/>
      <c r="M44" s="22"/>
      <c r="N44" s="22"/>
      <c r="O44" s="22"/>
      <c r="P44" s="23" t="str">
        <f aca="false">IF(OR(A44="",B44="",C44=""),"",IF(COUNT(J44:N44)=0,"",SUM(J44:N44)))</f>
        <v/>
      </c>
      <c r="Q44" s="23" t="str">
        <f aca="false">IF(OR(A44="",B44="",C44=""),"",SUMIFS('Who Engaged'!$I$5:$I$1004,'Who Engaged'!$C$5:$C$1004,C44,'Who Engaged'!$O$5:$O$1004,"Yes")+SUMIFS('Who Engaged'!$J$5:$J$1004,'Who Engaged'!$C$5:$C$1004,C44,'Who Engaged'!$O$5:$O$1004,"Yes")+SUMIFS('Who Engaged'!$K$5:$K$1004,'Who Engaged'!$C$5:$C$1004,C44,'Who Engaged'!$O$5:$O$1004,"Yes")+SUMIFS('Who Engaged'!$L$5:$L$1004,'Who Engaged'!$C$5:$C$1004,C44,'Who Engaged'!$O$5:$O$1004,"Yes"))</f>
        <v/>
      </c>
      <c r="R44" s="23" t="str">
        <f aca="false">IF(OR(OR(A44="",B44="",C44=""),P44=""),"",MAX(0,P44-N(Q44)))</f>
        <v/>
      </c>
      <c r="S44" s="24" t="str">
        <f aca="false">IF(OR(OR(A44="",B44="",C44=""),R44=""),"",IFERROR(R44/(IF(N(H44)&gt;0,H44,IF(N(I44)&gt;0,I44,IF(COUNTIFS($B$16:$B$215,B44,$H$16:$H$215,"&gt;0")+COUNTIFS($B$16:$B$215,B44,$I$16:$I$215,"&gt;0")&gt;0,"",INDEX($B$5:$B$7,MATCH(B44,$A$5:$A$7,0)))))),""))</f>
        <v/>
      </c>
      <c r="T44" s="25" t="str">
        <f aca="false">IF(OR(A44="",B44="",C44=""),"",IF(OR(S44="",COUNTIFS($B$16:$B$215,B44,$S$16:$S$215,"&gt;=0")&lt;2),"No Data Yet",IFERROR(IF(S44/AVERAGEIFS($S$16:$S$215,$B$16:$B$215,B44)&gt;=1.2,"Good",IF(S44/AVERAGEIFS($S$16:$S$215,$B$16:$B$215,B44)&gt;=0.8,"Average","Below Standard")),"Average")))</f>
        <v/>
      </c>
      <c r="U44" s="23" t="str">
        <f aca="false">IF(OR(A44="",B44="",C44=""),"",COUNTIFS('Who Engaged'!$C$5:$C$1004,C44,'Who Engaged'!$P$5:$P$1004,"Yes",'Who Engaged'!$N$5:$N$1004,1))</f>
        <v/>
      </c>
      <c r="V44" s="23" t="str">
        <f aca="false">IF(OR(A44="",B44="",C44=""),"",COUNTIFS('Who Engaged'!$C$5:$C$1004,C44,'Who Engaged'!$P$5:$P$1004,"Yes",'Who Engaged'!$M$5:$M$1004,1))</f>
        <v/>
      </c>
      <c r="W44" s="26" t="str">
        <f aca="false" t="array" ref="W44:W44">IF(OR(A44="",B44="",C44=""),"",_xlfn.TEXTJOIN("; ",TRUE(),IF(('Who Engaged'!$C$5:$C$1004=C44)*('Who Engaged'!$P$5:$P$1004="Yes"),'Who Engaged'!$D$5:$D$1004&amp;" – "&amp;'Who Engaged'!$F$5:$F$1004&amp;IF('Who Engaged'!$M$5:$M$1004=1," (followed)",""),"")))</f>
        <v/>
      </c>
      <c r="X44" s="27"/>
      <c r="Y44" s="27"/>
      <c r="Z44" s="28"/>
      <c r="AA44" s="25" t="str">
        <f aca="false">IF(OR(A44="",B44="",C44=""),"","https://www.alphanodus.com/contact?utm_source="&amp;IF(B44="X","twitter",LOWER(B44))&amp;"&amp;utm_medium=social&amp;utm_campaign="&amp;IF(E44="","general",LOWER(SUBSTITUTE(SUBSTITUTE(E44," / ","-")," ","-")))&amp;"&amp;utm_content="&amp;LOWER(C44))</f>
        <v/>
      </c>
    </row>
    <row r="45" customFormat="false" ht="15" hidden="false" customHeight="false" outlineLevel="0" collapsed="false">
      <c r="A45" s="29"/>
      <c r="B45" s="28"/>
      <c r="C45" s="28"/>
      <c r="D45" s="27"/>
      <c r="E45" s="28"/>
      <c r="F45" s="28"/>
      <c r="G45" s="28"/>
      <c r="H45" s="22"/>
      <c r="I45" s="22"/>
      <c r="J45" s="22"/>
      <c r="K45" s="22"/>
      <c r="L45" s="22"/>
      <c r="M45" s="22"/>
      <c r="N45" s="22"/>
      <c r="O45" s="22"/>
      <c r="P45" s="23" t="str">
        <f aca="false">IF(OR(A45="",B45="",C45=""),"",IF(COUNT(J45:N45)=0,"",SUM(J45:N45)))</f>
        <v/>
      </c>
      <c r="Q45" s="23" t="str">
        <f aca="false">IF(OR(A45="",B45="",C45=""),"",SUMIFS('Who Engaged'!$I$5:$I$1004,'Who Engaged'!$C$5:$C$1004,C45,'Who Engaged'!$O$5:$O$1004,"Yes")+SUMIFS('Who Engaged'!$J$5:$J$1004,'Who Engaged'!$C$5:$C$1004,C45,'Who Engaged'!$O$5:$O$1004,"Yes")+SUMIFS('Who Engaged'!$K$5:$K$1004,'Who Engaged'!$C$5:$C$1004,C45,'Who Engaged'!$O$5:$O$1004,"Yes")+SUMIFS('Who Engaged'!$L$5:$L$1004,'Who Engaged'!$C$5:$C$1004,C45,'Who Engaged'!$O$5:$O$1004,"Yes"))</f>
        <v/>
      </c>
      <c r="R45" s="23" t="str">
        <f aca="false">IF(OR(OR(A45="",B45="",C45=""),P45=""),"",MAX(0,P45-N(Q45)))</f>
        <v/>
      </c>
      <c r="S45" s="24" t="str">
        <f aca="false">IF(OR(OR(A45="",B45="",C45=""),R45=""),"",IFERROR(R45/(IF(N(H45)&gt;0,H45,IF(N(I45)&gt;0,I45,IF(COUNTIFS($B$16:$B$215,B45,$H$16:$H$215,"&gt;0")+COUNTIFS($B$16:$B$215,B45,$I$16:$I$215,"&gt;0")&gt;0,"",INDEX($B$5:$B$7,MATCH(B45,$A$5:$A$7,0)))))),""))</f>
        <v/>
      </c>
      <c r="T45" s="25" t="str">
        <f aca="false">IF(OR(A45="",B45="",C45=""),"",IF(OR(S45="",COUNTIFS($B$16:$B$215,B45,$S$16:$S$215,"&gt;=0")&lt;2),"No Data Yet",IFERROR(IF(S45/AVERAGEIFS($S$16:$S$215,$B$16:$B$215,B45)&gt;=1.2,"Good",IF(S45/AVERAGEIFS($S$16:$S$215,$B$16:$B$215,B45)&gt;=0.8,"Average","Below Standard")),"Average")))</f>
        <v/>
      </c>
      <c r="U45" s="23" t="str">
        <f aca="false">IF(OR(A45="",B45="",C45=""),"",COUNTIFS('Who Engaged'!$C$5:$C$1004,C45,'Who Engaged'!$P$5:$P$1004,"Yes",'Who Engaged'!$N$5:$N$1004,1))</f>
        <v/>
      </c>
      <c r="V45" s="23" t="str">
        <f aca="false">IF(OR(A45="",B45="",C45=""),"",COUNTIFS('Who Engaged'!$C$5:$C$1004,C45,'Who Engaged'!$P$5:$P$1004,"Yes",'Who Engaged'!$M$5:$M$1004,1))</f>
        <v/>
      </c>
      <c r="W45" s="26" t="str">
        <f aca="false" t="array" ref="W45:W45">IF(OR(A45="",B45="",C45=""),"",_xlfn.TEXTJOIN("; ",TRUE(),IF(('Who Engaged'!$C$5:$C$1004=C45)*('Who Engaged'!$P$5:$P$1004="Yes"),'Who Engaged'!$D$5:$D$1004&amp;" – "&amp;'Who Engaged'!$F$5:$F$1004&amp;IF('Who Engaged'!$M$5:$M$1004=1," (followed)",""),"")))</f>
        <v/>
      </c>
      <c r="X45" s="27"/>
      <c r="Y45" s="27"/>
      <c r="Z45" s="28"/>
      <c r="AA45" s="25" t="str">
        <f aca="false">IF(OR(A45="",B45="",C45=""),"","https://www.alphanodus.com/contact?utm_source="&amp;IF(B45="X","twitter",LOWER(B45))&amp;"&amp;utm_medium=social&amp;utm_campaign="&amp;IF(E45="","general",LOWER(SUBSTITUTE(SUBSTITUTE(E45," / ","-")," ","-")))&amp;"&amp;utm_content="&amp;LOWER(C45))</f>
        <v/>
      </c>
    </row>
    <row r="46" customFormat="false" ht="15" hidden="false" customHeight="false" outlineLevel="0" collapsed="false">
      <c r="A46" s="29"/>
      <c r="B46" s="28"/>
      <c r="C46" s="28"/>
      <c r="D46" s="27"/>
      <c r="E46" s="28"/>
      <c r="F46" s="28"/>
      <c r="G46" s="28"/>
      <c r="H46" s="22"/>
      <c r="I46" s="22"/>
      <c r="J46" s="22"/>
      <c r="K46" s="22"/>
      <c r="L46" s="22"/>
      <c r="M46" s="22"/>
      <c r="N46" s="22"/>
      <c r="O46" s="22"/>
      <c r="P46" s="23" t="str">
        <f aca="false">IF(OR(A46="",B46="",C46=""),"",IF(COUNT(J46:N46)=0,"",SUM(J46:N46)))</f>
        <v/>
      </c>
      <c r="Q46" s="23" t="str">
        <f aca="false">IF(OR(A46="",B46="",C46=""),"",SUMIFS('Who Engaged'!$I$5:$I$1004,'Who Engaged'!$C$5:$C$1004,C46,'Who Engaged'!$O$5:$O$1004,"Yes")+SUMIFS('Who Engaged'!$J$5:$J$1004,'Who Engaged'!$C$5:$C$1004,C46,'Who Engaged'!$O$5:$O$1004,"Yes")+SUMIFS('Who Engaged'!$K$5:$K$1004,'Who Engaged'!$C$5:$C$1004,C46,'Who Engaged'!$O$5:$O$1004,"Yes")+SUMIFS('Who Engaged'!$L$5:$L$1004,'Who Engaged'!$C$5:$C$1004,C46,'Who Engaged'!$O$5:$O$1004,"Yes"))</f>
        <v/>
      </c>
      <c r="R46" s="23" t="str">
        <f aca="false">IF(OR(OR(A46="",B46="",C46=""),P46=""),"",MAX(0,P46-N(Q46)))</f>
        <v/>
      </c>
      <c r="S46" s="24" t="str">
        <f aca="false">IF(OR(OR(A46="",B46="",C46=""),R46=""),"",IFERROR(R46/(IF(N(H46)&gt;0,H46,IF(N(I46)&gt;0,I46,IF(COUNTIFS($B$16:$B$215,B46,$H$16:$H$215,"&gt;0")+COUNTIFS($B$16:$B$215,B46,$I$16:$I$215,"&gt;0")&gt;0,"",INDEX($B$5:$B$7,MATCH(B46,$A$5:$A$7,0)))))),""))</f>
        <v/>
      </c>
      <c r="T46" s="25" t="str">
        <f aca="false">IF(OR(A46="",B46="",C46=""),"",IF(OR(S46="",COUNTIFS($B$16:$B$215,B46,$S$16:$S$215,"&gt;=0")&lt;2),"No Data Yet",IFERROR(IF(S46/AVERAGEIFS($S$16:$S$215,$B$16:$B$215,B46)&gt;=1.2,"Good",IF(S46/AVERAGEIFS($S$16:$S$215,$B$16:$B$215,B46)&gt;=0.8,"Average","Below Standard")),"Average")))</f>
        <v/>
      </c>
      <c r="U46" s="23" t="str">
        <f aca="false">IF(OR(A46="",B46="",C46=""),"",COUNTIFS('Who Engaged'!$C$5:$C$1004,C46,'Who Engaged'!$P$5:$P$1004,"Yes",'Who Engaged'!$N$5:$N$1004,1))</f>
        <v/>
      </c>
      <c r="V46" s="23" t="str">
        <f aca="false">IF(OR(A46="",B46="",C46=""),"",COUNTIFS('Who Engaged'!$C$5:$C$1004,C46,'Who Engaged'!$P$5:$P$1004,"Yes",'Who Engaged'!$M$5:$M$1004,1))</f>
        <v/>
      </c>
      <c r="W46" s="26" t="str">
        <f aca="false" t="array" ref="W46:W46">IF(OR(A46="",B46="",C46=""),"",_xlfn.TEXTJOIN("; ",TRUE(),IF(('Who Engaged'!$C$5:$C$1004=C46)*('Who Engaged'!$P$5:$P$1004="Yes"),'Who Engaged'!$D$5:$D$1004&amp;" – "&amp;'Who Engaged'!$F$5:$F$1004&amp;IF('Who Engaged'!$M$5:$M$1004=1," (followed)",""),"")))</f>
        <v/>
      </c>
      <c r="X46" s="27"/>
      <c r="Y46" s="27"/>
      <c r="Z46" s="28"/>
      <c r="AA46" s="25" t="str">
        <f aca="false">IF(OR(A46="",B46="",C46=""),"","https://www.alphanodus.com/contact?utm_source="&amp;IF(B46="X","twitter",LOWER(B46))&amp;"&amp;utm_medium=social&amp;utm_campaign="&amp;IF(E46="","general",LOWER(SUBSTITUTE(SUBSTITUTE(E46," / ","-")," ","-")))&amp;"&amp;utm_content="&amp;LOWER(C46))</f>
        <v/>
      </c>
    </row>
    <row r="47" customFormat="false" ht="15" hidden="false" customHeight="false" outlineLevel="0" collapsed="false">
      <c r="A47" s="29"/>
      <c r="B47" s="28"/>
      <c r="C47" s="28"/>
      <c r="D47" s="27"/>
      <c r="E47" s="28"/>
      <c r="F47" s="28"/>
      <c r="G47" s="28"/>
      <c r="H47" s="22"/>
      <c r="I47" s="22"/>
      <c r="J47" s="22"/>
      <c r="K47" s="22"/>
      <c r="L47" s="22"/>
      <c r="M47" s="22"/>
      <c r="N47" s="22"/>
      <c r="O47" s="22"/>
      <c r="P47" s="23" t="str">
        <f aca="false">IF(OR(A47="",B47="",C47=""),"",IF(COUNT(J47:N47)=0,"",SUM(J47:N47)))</f>
        <v/>
      </c>
      <c r="Q47" s="23" t="str">
        <f aca="false">IF(OR(A47="",B47="",C47=""),"",SUMIFS('Who Engaged'!$I$5:$I$1004,'Who Engaged'!$C$5:$C$1004,C47,'Who Engaged'!$O$5:$O$1004,"Yes")+SUMIFS('Who Engaged'!$J$5:$J$1004,'Who Engaged'!$C$5:$C$1004,C47,'Who Engaged'!$O$5:$O$1004,"Yes")+SUMIFS('Who Engaged'!$K$5:$K$1004,'Who Engaged'!$C$5:$C$1004,C47,'Who Engaged'!$O$5:$O$1004,"Yes")+SUMIFS('Who Engaged'!$L$5:$L$1004,'Who Engaged'!$C$5:$C$1004,C47,'Who Engaged'!$O$5:$O$1004,"Yes"))</f>
        <v/>
      </c>
      <c r="R47" s="23" t="str">
        <f aca="false">IF(OR(OR(A47="",B47="",C47=""),P47=""),"",MAX(0,P47-N(Q47)))</f>
        <v/>
      </c>
      <c r="S47" s="24" t="str">
        <f aca="false">IF(OR(OR(A47="",B47="",C47=""),R47=""),"",IFERROR(R47/(IF(N(H47)&gt;0,H47,IF(N(I47)&gt;0,I47,IF(COUNTIFS($B$16:$B$215,B47,$H$16:$H$215,"&gt;0")+COUNTIFS($B$16:$B$215,B47,$I$16:$I$215,"&gt;0")&gt;0,"",INDEX($B$5:$B$7,MATCH(B47,$A$5:$A$7,0)))))),""))</f>
        <v/>
      </c>
      <c r="T47" s="25" t="str">
        <f aca="false">IF(OR(A47="",B47="",C47=""),"",IF(OR(S47="",COUNTIFS($B$16:$B$215,B47,$S$16:$S$215,"&gt;=0")&lt;2),"No Data Yet",IFERROR(IF(S47/AVERAGEIFS($S$16:$S$215,$B$16:$B$215,B47)&gt;=1.2,"Good",IF(S47/AVERAGEIFS($S$16:$S$215,$B$16:$B$215,B47)&gt;=0.8,"Average","Below Standard")),"Average")))</f>
        <v/>
      </c>
      <c r="U47" s="23" t="str">
        <f aca="false">IF(OR(A47="",B47="",C47=""),"",COUNTIFS('Who Engaged'!$C$5:$C$1004,C47,'Who Engaged'!$P$5:$P$1004,"Yes",'Who Engaged'!$N$5:$N$1004,1))</f>
        <v/>
      </c>
      <c r="V47" s="23" t="str">
        <f aca="false">IF(OR(A47="",B47="",C47=""),"",COUNTIFS('Who Engaged'!$C$5:$C$1004,C47,'Who Engaged'!$P$5:$P$1004,"Yes",'Who Engaged'!$M$5:$M$1004,1))</f>
        <v/>
      </c>
      <c r="W47" s="26" t="str">
        <f aca="false" t="array" ref="W47:W47">IF(OR(A47="",B47="",C47=""),"",_xlfn.TEXTJOIN("; ",TRUE(),IF(('Who Engaged'!$C$5:$C$1004=C47)*('Who Engaged'!$P$5:$P$1004="Yes"),'Who Engaged'!$D$5:$D$1004&amp;" – "&amp;'Who Engaged'!$F$5:$F$1004&amp;IF('Who Engaged'!$M$5:$M$1004=1," (followed)",""),"")))</f>
        <v/>
      </c>
      <c r="X47" s="27"/>
      <c r="Y47" s="27"/>
      <c r="Z47" s="28"/>
      <c r="AA47" s="25" t="str">
        <f aca="false">IF(OR(A47="",B47="",C47=""),"","https://www.alphanodus.com/contact?utm_source="&amp;IF(B47="X","twitter",LOWER(B47))&amp;"&amp;utm_medium=social&amp;utm_campaign="&amp;IF(E47="","general",LOWER(SUBSTITUTE(SUBSTITUTE(E47," / ","-")," ","-")))&amp;"&amp;utm_content="&amp;LOWER(C47))</f>
        <v/>
      </c>
    </row>
    <row r="48" customFormat="false" ht="15" hidden="false" customHeight="false" outlineLevel="0" collapsed="false">
      <c r="A48" s="29"/>
      <c r="B48" s="28"/>
      <c r="C48" s="28"/>
      <c r="D48" s="27"/>
      <c r="E48" s="28"/>
      <c r="F48" s="28"/>
      <c r="G48" s="28"/>
      <c r="H48" s="22"/>
      <c r="I48" s="22"/>
      <c r="J48" s="22"/>
      <c r="K48" s="22"/>
      <c r="L48" s="22"/>
      <c r="M48" s="22"/>
      <c r="N48" s="22"/>
      <c r="O48" s="22"/>
      <c r="P48" s="23" t="str">
        <f aca="false">IF(OR(A48="",B48="",C48=""),"",IF(COUNT(J48:N48)=0,"",SUM(J48:N48)))</f>
        <v/>
      </c>
      <c r="Q48" s="23" t="str">
        <f aca="false">IF(OR(A48="",B48="",C48=""),"",SUMIFS('Who Engaged'!$I$5:$I$1004,'Who Engaged'!$C$5:$C$1004,C48,'Who Engaged'!$O$5:$O$1004,"Yes")+SUMIFS('Who Engaged'!$J$5:$J$1004,'Who Engaged'!$C$5:$C$1004,C48,'Who Engaged'!$O$5:$O$1004,"Yes")+SUMIFS('Who Engaged'!$K$5:$K$1004,'Who Engaged'!$C$5:$C$1004,C48,'Who Engaged'!$O$5:$O$1004,"Yes")+SUMIFS('Who Engaged'!$L$5:$L$1004,'Who Engaged'!$C$5:$C$1004,C48,'Who Engaged'!$O$5:$O$1004,"Yes"))</f>
        <v/>
      </c>
      <c r="R48" s="23" t="str">
        <f aca="false">IF(OR(OR(A48="",B48="",C48=""),P48=""),"",MAX(0,P48-N(Q48)))</f>
        <v/>
      </c>
      <c r="S48" s="24" t="str">
        <f aca="false">IF(OR(OR(A48="",B48="",C48=""),R48=""),"",IFERROR(R48/(IF(N(H48)&gt;0,H48,IF(N(I48)&gt;0,I48,IF(COUNTIFS($B$16:$B$215,B48,$H$16:$H$215,"&gt;0")+COUNTIFS($B$16:$B$215,B48,$I$16:$I$215,"&gt;0")&gt;0,"",INDEX($B$5:$B$7,MATCH(B48,$A$5:$A$7,0)))))),""))</f>
        <v/>
      </c>
      <c r="T48" s="25" t="str">
        <f aca="false">IF(OR(A48="",B48="",C48=""),"",IF(OR(S48="",COUNTIFS($B$16:$B$215,B48,$S$16:$S$215,"&gt;=0")&lt;2),"No Data Yet",IFERROR(IF(S48/AVERAGEIFS($S$16:$S$215,$B$16:$B$215,B48)&gt;=1.2,"Good",IF(S48/AVERAGEIFS($S$16:$S$215,$B$16:$B$215,B48)&gt;=0.8,"Average","Below Standard")),"Average")))</f>
        <v/>
      </c>
      <c r="U48" s="23" t="str">
        <f aca="false">IF(OR(A48="",B48="",C48=""),"",COUNTIFS('Who Engaged'!$C$5:$C$1004,C48,'Who Engaged'!$P$5:$P$1004,"Yes",'Who Engaged'!$N$5:$N$1004,1))</f>
        <v/>
      </c>
      <c r="V48" s="23" t="str">
        <f aca="false">IF(OR(A48="",B48="",C48=""),"",COUNTIFS('Who Engaged'!$C$5:$C$1004,C48,'Who Engaged'!$P$5:$P$1004,"Yes",'Who Engaged'!$M$5:$M$1004,1))</f>
        <v/>
      </c>
      <c r="W48" s="26" t="str">
        <f aca="false" t="array" ref="W48:W48">IF(OR(A48="",B48="",C48=""),"",_xlfn.TEXTJOIN("; ",TRUE(),IF(('Who Engaged'!$C$5:$C$1004=C48)*('Who Engaged'!$P$5:$P$1004="Yes"),'Who Engaged'!$D$5:$D$1004&amp;" – "&amp;'Who Engaged'!$F$5:$F$1004&amp;IF('Who Engaged'!$M$5:$M$1004=1," (followed)",""),"")))</f>
        <v/>
      </c>
      <c r="X48" s="27"/>
      <c r="Y48" s="27"/>
      <c r="Z48" s="28"/>
      <c r="AA48" s="25" t="str">
        <f aca="false">IF(OR(A48="",B48="",C48=""),"","https://www.alphanodus.com/contact?utm_source="&amp;IF(B48="X","twitter",LOWER(B48))&amp;"&amp;utm_medium=social&amp;utm_campaign="&amp;IF(E48="","general",LOWER(SUBSTITUTE(SUBSTITUTE(E48," / ","-")," ","-")))&amp;"&amp;utm_content="&amp;LOWER(C48))</f>
        <v/>
      </c>
    </row>
    <row r="49" customFormat="false" ht="15" hidden="false" customHeight="false" outlineLevel="0" collapsed="false">
      <c r="A49" s="29"/>
      <c r="B49" s="28"/>
      <c r="C49" s="28"/>
      <c r="D49" s="27"/>
      <c r="E49" s="28"/>
      <c r="F49" s="28"/>
      <c r="G49" s="28"/>
      <c r="H49" s="22"/>
      <c r="I49" s="22"/>
      <c r="J49" s="22"/>
      <c r="K49" s="22"/>
      <c r="L49" s="22"/>
      <c r="M49" s="22"/>
      <c r="N49" s="22"/>
      <c r="O49" s="22"/>
      <c r="P49" s="23" t="str">
        <f aca="false">IF(OR(A49="",B49="",C49=""),"",IF(COUNT(J49:N49)=0,"",SUM(J49:N49)))</f>
        <v/>
      </c>
      <c r="Q49" s="23" t="str">
        <f aca="false">IF(OR(A49="",B49="",C49=""),"",SUMIFS('Who Engaged'!$I$5:$I$1004,'Who Engaged'!$C$5:$C$1004,C49,'Who Engaged'!$O$5:$O$1004,"Yes")+SUMIFS('Who Engaged'!$J$5:$J$1004,'Who Engaged'!$C$5:$C$1004,C49,'Who Engaged'!$O$5:$O$1004,"Yes")+SUMIFS('Who Engaged'!$K$5:$K$1004,'Who Engaged'!$C$5:$C$1004,C49,'Who Engaged'!$O$5:$O$1004,"Yes")+SUMIFS('Who Engaged'!$L$5:$L$1004,'Who Engaged'!$C$5:$C$1004,C49,'Who Engaged'!$O$5:$O$1004,"Yes"))</f>
        <v/>
      </c>
      <c r="R49" s="23" t="str">
        <f aca="false">IF(OR(OR(A49="",B49="",C49=""),P49=""),"",MAX(0,P49-N(Q49)))</f>
        <v/>
      </c>
      <c r="S49" s="24" t="str">
        <f aca="false">IF(OR(OR(A49="",B49="",C49=""),R49=""),"",IFERROR(R49/(IF(N(H49)&gt;0,H49,IF(N(I49)&gt;0,I49,IF(COUNTIFS($B$16:$B$215,B49,$H$16:$H$215,"&gt;0")+COUNTIFS($B$16:$B$215,B49,$I$16:$I$215,"&gt;0")&gt;0,"",INDEX($B$5:$B$7,MATCH(B49,$A$5:$A$7,0)))))),""))</f>
        <v/>
      </c>
      <c r="T49" s="25" t="str">
        <f aca="false">IF(OR(A49="",B49="",C49=""),"",IF(OR(S49="",COUNTIFS($B$16:$B$215,B49,$S$16:$S$215,"&gt;=0")&lt;2),"No Data Yet",IFERROR(IF(S49/AVERAGEIFS($S$16:$S$215,$B$16:$B$215,B49)&gt;=1.2,"Good",IF(S49/AVERAGEIFS($S$16:$S$215,$B$16:$B$215,B49)&gt;=0.8,"Average","Below Standard")),"Average")))</f>
        <v/>
      </c>
      <c r="U49" s="23" t="str">
        <f aca="false">IF(OR(A49="",B49="",C49=""),"",COUNTIFS('Who Engaged'!$C$5:$C$1004,C49,'Who Engaged'!$P$5:$P$1004,"Yes",'Who Engaged'!$N$5:$N$1004,1))</f>
        <v/>
      </c>
      <c r="V49" s="23" t="str">
        <f aca="false">IF(OR(A49="",B49="",C49=""),"",COUNTIFS('Who Engaged'!$C$5:$C$1004,C49,'Who Engaged'!$P$5:$P$1004,"Yes",'Who Engaged'!$M$5:$M$1004,1))</f>
        <v/>
      </c>
      <c r="W49" s="26" t="str">
        <f aca="false" t="array" ref="W49:W49">IF(OR(A49="",B49="",C49=""),"",_xlfn.TEXTJOIN("; ",TRUE(),IF(('Who Engaged'!$C$5:$C$1004=C49)*('Who Engaged'!$P$5:$P$1004="Yes"),'Who Engaged'!$D$5:$D$1004&amp;" – "&amp;'Who Engaged'!$F$5:$F$1004&amp;IF('Who Engaged'!$M$5:$M$1004=1," (followed)",""),"")))</f>
        <v/>
      </c>
      <c r="X49" s="27"/>
      <c r="Y49" s="27"/>
      <c r="Z49" s="28"/>
      <c r="AA49" s="25" t="str">
        <f aca="false">IF(OR(A49="",B49="",C49=""),"","https://www.alphanodus.com/contact?utm_source="&amp;IF(B49="X","twitter",LOWER(B49))&amp;"&amp;utm_medium=social&amp;utm_campaign="&amp;IF(E49="","general",LOWER(SUBSTITUTE(SUBSTITUTE(E49," / ","-")," ","-")))&amp;"&amp;utm_content="&amp;LOWER(C49))</f>
        <v/>
      </c>
    </row>
    <row r="50" customFormat="false" ht="15" hidden="false" customHeight="false" outlineLevel="0" collapsed="false">
      <c r="A50" s="29"/>
      <c r="B50" s="28"/>
      <c r="C50" s="28"/>
      <c r="D50" s="27"/>
      <c r="E50" s="28"/>
      <c r="F50" s="28"/>
      <c r="G50" s="28"/>
      <c r="H50" s="22"/>
      <c r="I50" s="22"/>
      <c r="J50" s="22"/>
      <c r="K50" s="22"/>
      <c r="L50" s="22"/>
      <c r="M50" s="22"/>
      <c r="N50" s="22"/>
      <c r="O50" s="22"/>
      <c r="P50" s="23" t="str">
        <f aca="false">IF(OR(A50="",B50="",C50=""),"",IF(COUNT(J50:N50)=0,"",SUM(J50:N50)))</f>
        <v/>
      </c>
      <c r="Q50" s="23" t="str">
        <f aca="false">IF(OR(A50="",B50="",C50=""),"",SUMIFS('Who Engaged'!$I$5:$I$1004,'Who Engaged'!$C$5:$C$1004,C50,'Who Engaged'!$O$5:$O$1004,"Yes")+SUMIFS('Who Engaged'!$J$5:$J$1004,'Who Engaged'!$C$5:$C$1004,C50,'Who Engaged'!$O$5:$O$1004,"Yes")+SUMIFS('Who Engaged'!$K$5:$K$1004,'Who Engaged'!$C$5:$C$1004,C50,'Who Engaged'!$O$5:$O$1004,"Yes")+SUMIFS('Who Engaged'!$L$5:$L$1004,'Who Engaged'!$C$5:$C$1004,C50,'Who Engaged'!$O$5:$O$1004,"Yes"))</f>
        <v/>
      </c>
      <c r="R50" s="23" t="str">
        <f aca="false">IF(OR(OR(A50="",B50="",C50=""),P50=""),"",MAX(0,P50-N(Q50)))</f>
        <v/>
      </c>
      <c r="S50" s="24" t="str">
        <f aca="false">IF(OR(OR(A50="",B50="",C50=""),R50=""),"",IFERROR(R50/(IF(N(H50)&gt;0,H50,IF(N(I50)&gt;0,I50,IF(COUNTIFS($B$16:$B$215,B50,$H$16:$H$215,"&gt;0")+COUNTIFS($B$16:$B$215,B50,$I$16:$I$215,"&gt;0")&gt;0,"",INDEX($B$5:$B$7,MATCH(B50,$A$5:$A$7,0)))))),""))</f>
        <v/>
      </c>
      <c r="T50" s="25" t="str">
        <f aca="false">IF(OR(A50="",B50="",C50=""),"",IF(OR(S50="",COUNTIFS($B$16:$B$215,B50,$S$16:$S$215,"&gt;=0")&lt;2),"No Data Yet",IFERROR(IF(S50/AVERAGEIFS($S$16:$S$215,$B$16:$B$215,B50)&gt;=1.2,"Good",IF(S50/AVERAGEIFS($S$16:$S$215,$B$16:$B$215,B50)&gt;=0.8,"Average","Below Standard")),"Average")))</f>
        <v/>
      </c>
      <c r="U50" s="23" t="str">
        <f aca="false">IF(OR(A50="",B50="",C50=""),"",COUNTIFS('Who Engaged'!$C$5:$C$1004,C50,'Who Engaged'!$P$5:$P$1004,"Yes",'Who Engaged'!$N$5:$N$1004,1))</f>
        <v/>
      </c>
      <c r="V50" s="23" t="str">
        <f aca="false">IF(OR(A50="",B50="",C50=""),"",COUNTIFS('Who Engaged'!$C$5:$C$1004,C50,'Who Engaged'!$P$5:$P$1004,"Yes",'Who Engaged'!$M$5:$M$1004,1))</f>
        <v/>
      </c>
      <c r="W50" s="26" t="str">
        <f aca="false" t="array" ref="W50:W50">IF(OR(A50="",B50="",C50=""),"",_xlfn.TEXTJOIN("; ",TRUE(),IF(('Who Engaged'!$C$5:$C$1004=C50)*('Who Engaged'!$P$5:$P$1004="Yes"),'Who Engaged'!$D$5:$D$1004&amp;" – "&amp;'Who Engaged'!$F$5:$F$1004&amp;IF('Who Engaged'!$M$5:$M$1004=1," (followed)",""),"")))</f>
        <v/>
      </c>
      <c r="X50" s="27"/>
      <c r="Y50" s="27"/>
      <c r="Z50" s="28"/>
      <c r="AA50" s="25" t="str">
        <f aca="false">IF(OR(A50="",B50="",C50=""),"","https://www.alphanodus.com/contact?utm_source="&amp;IF(B50="X","twitter",LOWER(B50))&amp;"&amp;utm_medium=social&amp;utm_campaign="&amp;IF(E50="","general",LOWER(SUBSTITUTE(SUBSTITUTE(E50," / ","-")," ","-")))&amp;"&amp;utm_content="&amp;LOWER(C50))</f>
        <v/>
      </c>
    </row>
    <row r="51" customFormat="false" ht="15" hidden="false" customHeight="false" outlineLevel="0" collapsed="false">
      <c r="A51" s="29"/>
      <c r="B51" s="28"/>
      <c r="C51" s="28"/>
      <c r="D51" s="27"/>
      <c r="E51" s="28"/>
      <c r="F51" s="28"/>
      <c r="G51" s="28"/>
      <c r="H51" s="22"/>
      <c r="I51" s="22"/>
      <c r="J51" s="22"/>
      <c r="K51" s="22"/>
      <c r="L51" s="22"/>
      <c r="M51" s="22"/>
      <c r="N51" s="22"/>
      <c r="O51" s="22"/>
      <c r="P51" s="23" t="str">
        <f aca="false">IF(OR(A51="",B51="",C51=""),"",IF(COUNT(J51:N51)=0,"",SUM(J51:N51)))</f>
        <v/>
      </c>
      <c r="Q51" s="23" t="str">
        <f aca="false">IF(OR(A51="",B51="",C51=""),"",SUMIFS('Who Engaged'!$I$5:$I$1004,'Who Engaged'!$C$5:$C$1004,C51,'Who Engaged'!$O$5:$O$1004,"Yes")+SUMIFS('Who Engaged'!$J$5:$J$1004,'Who Engaged'!$C$5:$C$1004,C51,'Who Engaged'!$O$5:$O$1004,"Yes")+SUMIFS('Who Engaged'!$K$5:$K$1004,'Who Engaged'!$C$5:$C$1004,C51,'Who Engaged'!$O$5:$O$1004,"Yes")+SUMIFS('Who Engaged'!$L$5:$L$1004,'Who Engaged'!$C$5:$C$1004,C51,'Who Engaged'!$O$5:$O$1004,"Yes"))</f>
        <v/>
      </c>
      <c r="R51" s="23" t="str">
        <f aca="false">IF(OR(OR(A51="",B51="",C51=""),P51=""),"",MAX(0,P51-N(Q51)))</f>
        <v/>
      </c>
      <c r="S51" s="24" t="str">
        <f aca="false">IF(OR(OR(A51="",B51="",C51=""),R51=""),"",IFERROR(R51/(IF(N(H51)&gt;0,H51,IF(N(I51)&gt;0,I51,IF(COUNTIFS($B$16:$B$215,B51,$H$16:$H$215,"&gt;0")+COUNTIFS($B$16:$B$215,B51,$I$16:$I$215,"&gt;0")&gt;0,"",INDEX($B$5:$B$7,MATCH(B51,$A$5:$A$7,0)))))),""))</f>
        <v/>
      </c>
      <c r="T51" s="25" t="str">
        <f aca="false">IF(OR(A51="",B51="",C51=""),"",IF(OR(S51="",COUNTIFS($B$16:$B$215,B51,$S$16:$S$215,"&gt;=0")&lt;2),"No Data Yet",IFERROR(IF(S51/AVERAGEIFS($S$16:$S$215,$B$16:$B$215,B51)&gt;=1.2,"Good",IF(S51/AVERAGEIFS($S$16:$S$215,$B$16:$B$215,B51)&gt;=0.8,"Average","Below Standard")),"Average")))</f>
        <v/>
      </c>
      <c r="U51" s="23" t="str">
        <f aca="false">IF(OR(A51="",B51="",C51=""),"",COUNTIFS('Who Engaged'!$C$5:$C$1004,C51,'Who Engaged'!$P$5:$P$1004,"Yes",'Who Engaged'!$N$5:$N$1004,1))</f>
        <v/>
      </c>
      <c r="V51" s="23" t="str">
        <f aca="false">IF(OR(A51="",B51="",C51=""),"",COUNTIFS('Who Engaged'!$C$5:$C$1004,C51,'Who Engaged'!$P$5:$P$1004,"Yes",'Who Engaged'!$M$5:$M$1004,1))</f>
        <v/>
      </c>
      <c r="W51" s="26" t="str">
        <f aca="false" t="array" ref="W51:W51">IF(OR(A51="",B51="",C51=""),"",_xlfn.TEXTJOIN("; ",TRUE(),IF(('Who Engaged'!$C$5:$C$1004=C51)*('Who Engaged'!$P$5:$P$1004="Yes"),'Who Engaged'!$D$5:$D$1004&amp;" – "&amp;'Who Engaged'!$F$5:$F$1004&amp;IF('Who Engaged'!$M$5:$M$1004=1," (followed)",""),"")))</f>
        <v/>
      </c>
      <c r="X51" s="27"/>
      <c r="Y51" s="27"/>
      <c r="Z51" s="28"/>
      <c r="AA51" s="25" t="str">
        <f aca="false">IF(OR(A51="",B51="",C51=""),"","https://www.alphanodus.com/contact?utm_source="&amp;IF(B51="X","twitter",LOWER(B51))&amp;"&amp;utm_medium=social&amp;utm_campaign="&amp;IF(E51="","general",LOWER(SUBSTITUTE(SUBSTITUTE(E51," / ","-")," ","-")))&amp;"&amp;utm_content="&amp;LOWER(C51))</f>
        <v/>
      </c>
    </row>
    <row r="52" customFormat="false" ht="15" hidden="false" customHeight="false" outlineLevel="0" collapsed="false">
      <c r="A52" s="29"/>
      <c r="B52" s="28"/>
      <c r="C52" s="28"/>
      <c r="D52" s="27"/>
      <c r="E52" s="28"/>
      <c r="F52" s="28"/>
      <c r="G52" s="28"/>
      <c r="H52" s="22"/>
      <c r="I52" s="22"/>
      <c r="J52" s="22"/>
      <c r="K52" s="22"/>
      <c r="L52" s="22"/>
      <c r="M52" s="22"/>
      <c r="N52" s="22"/>
      <c r="O52" s="22"/>
      <c r="P52" s="23" t="str">
        <f aca="false">IF(OR(A52="",B52="",C52=""),"",IF(COUNT(J52:N52)=0,"",SUM(J52:N52)))</f>
        <v/>
      </c>
      <c r="Q52" s="23" t="str">
        <f aca="false">IF(OR(A52="",B52="",C52=""),"",SUMIFS('Who Engaged'!$I$5:$I$1004,'Who Engaged'!$C$5:$C$1004,C52,'Who Engaged'!$O$5:$O$1004,"Yes")+SUMIFS('Who Engaged'!$J$5:$J$1004,'Who Engaged'!$C$5:$C$1004,C52,'Who Engaged'!$O$5:$O$1004,"Yes")+SUMIFS('Who Engaged'!$K$5:$K$1004,'Who Engaged'!$C$5:$C$1004,C52,'Who Engaged'!$O$5:$O$1004,"Yes")+SUMIFS('Who Engaged'!$L$5:$L$1004,'Who Engaged'!$C$5:$C$1004,C52,'Who Engaged'!$O$5:$O$1004,"Yes"))</f>
        <v/>
      </c>
      <c r="R52" s="23" t="str">
        <f aca="false">IF(OR(OR(A52="",B52="",C52=""),P52=""),"",MAX(0,P52-N(Q52)))</f>
        <v/>
      </c>
      <c r="S52" s="24" t="str">
        <f aca="false">IF(OR(OR(A52="",B52="",C52=""),R52=""),"",IFERROR(R52/(IF(N(H52)&gt;0,H52,IF(N(I52)&gt;0,I52,IF(COUNTIFS($B$16:$B$215,B52,$H$16:$H$215,"&gt;0")+COUNTIFS($B$16:$B$215,B52,$I$16:$I$215,"&gt;0")&gt;0,"",INDEX($B$5:$B$7,MATCH(B52,$A$5:$A$7,0)))))),""))</f>
        <v/>
      </c>
      <c r="T52" s="25" t="str">
        <f aca="false">IF(OR(A52="",B52="",C52=""),"",IF(OR(S52="",COUNTIFS($B$16:$B$215,B52,$S$16:$S$215,"&gt;=0")&lt;2),"No Data Yet",IFERROR(IF(S52/AVERAGEIFS($S$16:$S$215,$B$16:$B$215,B52)&gt;=1.2,"Good",IF(S52/AVERAGEIFS($S$16:$S$215,$B$16:$B$215,B52)&gt;=0.8,"Average","Below Standard")),"Average")))</f>
        <v/>
      </c>
      <c r="U52" s="23" t="str">
        <f aca="false">IF(OR(A52="",B52="",C52=""),"",COUNTIFS('Who Engaged'!$C$5:$C$1004,C52,'Who Engaged'!$P$5:$P$1004,"Yes",'Who Engaged'!$N$5:$N$1004,1))</f>
        <v/>
      </c>
      <c r="V52" s="23" t="str">
        <f aca="false">IF(OR(A52="",B52="",C52=""),"",COUNTIFS('Who Engaged'!$C$5:$C$1004,C52,'Who Engaged'!$P$5:$P$1004,"Yes",'Who Engaged'!$M$5:$M$1004,1))</f>
        <v/>
      </c>
      <c r="W52" s="26" t="str">
        <f aca="false" t="array" ref="W52:W52">IF(OR(A52="",B52="",C52=""),"",_xlfn.TEXTJOIN("; ",TRUE(),IF(('Who Engaged'!$C$5:$C$1004=C52)*('Who Engaged'!$P$5:$P$1004="Yes"),'Who Engaged'!$D$5:$D$1004&amp;" – "&amp;'Who Engaged'!$F$5:$F$1004&amp;IF('Who Engaged'!$M$5:$M$1004=1," (followed)",""),"")))</f>
        <v/>
      </c>
      <c r="X52" s="27"/>
      <c r="Y52" s="27"/>
      <c r="Z52" s="28"/>
      <c r="AA52" s="25" t="str">
        <f aca="false">IF(OR(A52="",B52="",C52=""),"","https://www.alphanodus.com/contact?utm_source="&amp;IF(B52="X","twitter",LOWER(B52))&amp;"&amp;utm_medium=social&amp;utm_campaign="&amp;IF(E52="","general",LOWER(SUBSTITUTE(SUBSTITUTE(E52," / ","-")," ","-")))&amp;"&amp;utm_content="&amp;LOWER(C52))</f>
        <v/>
      </c>
    </row>
    <row r="53" customFormat="false" ht="15" hidden="false" customHeight="false" outlineLevel="0" collapsed="false">
      <c r="A53" s="29"/>
      <c r="B53" s="28"/>
      <c r="C53" s="28"/>
      <c r="D53" s="27"/>
      <c r="E53" s="28"/>
      <c r="F53" s="28"/>
      <c r="G53" s="28"/>
      <c r="H53" s="22"/>
      <c r="I53" s="22"/>
      <c r="J53" s="22"/>
      <c r="K53" s="22"/>
      <c r="L53" s="22"/>
      <c r="M53" s="22"/>
      <c r="N53" s="22"/>
      <c r="O53" s="22"/>
      <c r="P53" s="23" t="str">
        <f aca="false">IF(OR(A53="",B53="",C53=""),"",IF(COUNT(J53:N53)=0,"",SUM(J53:N53)))</f>
        <v/>
      </c>
      <c r="Q53" s="23" t="str">
        <f aca="false">IF(OR(A53="",B53="",C53=""),"",SUMIFS('Who Engaged'!$I$5:$I$1004,'Who Engaged'!$C$5:$C$1004,C53,'Who Engaged'!$O$5:$O$1004,"Yes")+SUMIFS('Who Engaged'!$J$5:$J$1004,'Who Engaged'!$C$5:$C$1004,C53,'Who Engaged'!$O$5:$O$1004,"Yes")+SUMIFS('Who Engaged'!$K$5:$K$1004,'Who Engaged'!$C$5:$C$1004,C53,'Who Engaged'!$O$5:$O$1004,"Yes")+SUMIFS('Who Engaged'!$L$5:$L$1004,'Who Engaged'!$C$5:$C$1004,C53,'Who Engaged'!$O$5:$O$1004,"Yes"))</f>
        <v/>
      </c>
      <c r="R53" s="23" t="str">
        <f aca="false">IF(OR(OR(A53="",B53="",C53=""),P53=""),"",MAX(0,P53-N(Q53)))</f>
        <v/>
      </c>
      <c r="S53" s="24" t="str">
        <f aca="false">IF(OR(OR(A53="",B53="",C53=""),R53=""),"",IFERROR(R53/(IF(N(H53)&gt;0,H53,IF(N(I53)&gt;0,I53,IF(COUNTIFS($B$16:$B$215,B53,$H$16:$H$215,"&gt;0")+COUNTIFS($B$16:$B$215,B53,$I$16:$I$215,"&gt;0")&gt;0,"",INDEX($B$5:$B$7,MATCH(B53,$A$5:$A$7,0)))))),""))</f>
        <v/>
      </c>
      <c r="T53" s="25" t="str">
        <f aca="false">IF(OR(A53="",B53="",C53=""),"",IF(OR(S53="",COUNTIFS($B$16:$B$215,B53,$S$16:$S$215,"&gt;=0")&lt;2),"No Data Yet",IFERROR(IF(S53/AVERAGEIFS($S$16:$S$215,$B$16:$B$215,B53)&gt;=1.2,"Good",IF(S53/AVERAGEIFS($S$16:$S$215,$B$16:$B$215,B53)&gt;=0.8,"Average","Below Standard")),"Average")))</f>
        <v/>
      </c>
      <c r="U53" s="23" t="str">
        <f aca="false">IF(OR(A53="",B53="",C53=""),"",COUNTIFS('Who Engaged'!$C$5:$C$1004,C53,'Who Engaged'!$P$5:$P$1004,"Yes",'Who Engaged'!$N$5:$N$1004,1))</f>
        <v/>
      </c>
      <c r="V53" s="23" t="str">
        <f aca="false">IF(OR(A53="",B53="",C53=""),"",COUNTIFS('Who Engaged'!$C$5:$C$1004,C53,'Who Engaged'!$P$5:$P$1004,"Yes",'Who Engaged'!$M$5:$M$1004,1))</f>
        <v/>
      </c>
      <c r="W53" s="26" t="str">
        <f aca="false" t="array" ref="W53:W53">IF(OR(A53="",B53="",C53=""),"",_xlfn.TEXTJOIN("; ",TRUE(),IF(('Who Engaged'!$C$5:$C$1004=C53)*('Who Engaged'!$P$5:$P$1004="Yes"),'Who Engaged'!$D$5:$D$1004&amp;" – "&amp;'Who Engaged'!$F$5:$F$1004&amp;IF('Who Engaged'!$M$5:$M$1004=1," (followed)",""),"")))</f>
        <v/>
      </c>
      <c r="X53" s="27"/>
      <c r="Y53" s="27"/>
      <c r="Z53" s="28"/>
      <c r="AA53" s="25" t="str">
        <f aca="false">IF(OR(A53="",B53="",C53=""),"","https://www.alphanodus.com/contact?utm_source="&amp;IF(B53="X","twitter",LOWER(B53))&amp;"&amp;utm_medium=social&amp;utm_campaign="&amp;IF(E53="","general",LOWER(SUBSTITUTE(SUBSTITUTE(E53," / ","-")," ","-")))&amp;"&amp;utm_content="&amp;LOWER(C53))</f>
        <v/>
      </c>
    </row>
    <row r="54" customFormat="false" ht="15" hidden="false" customHeight="false" outlineLevel="0" collapsed="false">
      <c r="A54" s="29"/>
      <c r="B54" s="28"/>
      <c r="C54" s="28"/>
      <c r="D54" s="27"/>
      <c r="E54" s="28"/>
      <c r="F54" s="28"/>
      <c r="G54" s="28"/>
      <c r="H54" s="22"/>
      <c r="I54" s="22"/>
      <c r="J54" s="22"/>
      <c r="K54" s="22"/>
      <c r="L54" s="22"/>
      <c r="M54" s="22"/>
      <c r="N54" s="22"/>
      <c r="O54" s="22"/>
      <c r="P54" s="23" t="str">
        <f aca="false">IF(OR(A54="",B54="",C54=""),"",IF(COUNT(J54:N54)=0,"",SUM(J54:N54)))</f>
        <v/>
      </c>
      <c r="Q54" s="23" t="str">
        <f aca="false">IF(OR(A54="",B54="",C54=""),"",SUMIFS('Who Engaged'!$I$5:$I$1004,'Who Engaged'!$C$5:$C$1004,C54,'Who Engaged'!$O$5:$O$1004,"Yes")+SUMIFS('Who Engaged'!$J$5:$J$1004,'Who Engaged'!$C$5:$C$1004,C54,'Who Engaged'!$O$5:$O$1004,"Yes")+SUMIFS('Who Engaged'!$K$5:$K$1004,'Who Engaged'!$C$5:$C$1004,C54,'Who Engaged'!$O$5:$O$1004,"Yes")+SUMIFS('Who Engaged'!$L$5:$L$1004,'Who Engaged'!$C$5:$C$1004,C54,'Who Engaged'!$O$5:$O$1004,"Yes"))</f>
        <v/>
      </c>
      <c r="R54" s="23" t="str">
        <f aca="false">IF(OR(OR(A54="",B54="",C54=""),P54=""),"",MAX(0,P54-N(Q54)))</f>
        <v/>
      </c>
      <c r="S54" s="24" t="str">
        <f aca="false">IF(OR(OR(A54="",B54="",C54=""),R54=""),"",IFERROR(R54/(IF(N(H54)&gt;0,H54,IF(N(I54)&gt;0,I54,IF(COUNTIFS($B$16:$B$215,B54,$H$16:$H$215,"&gt;0")+COUNTIFS($B$16:$B$215,B54,$I$16:$I$215,"&gt;0")&gt;0,"",INDEX($B$5:$B$7,MATCH(B54,$A$5:$A$7,0)))))),""))</f>
        <v/>
      </c>
      <c r="T54" s="25" t="str">
        <f aca="false">IF(OR(A54="",B54="",C54=""),"",IF(OR(S54="",COUNTIFS($B$16:$B$215,B54,$S$16:$S$215,"&gt;=0")&lt;2),"No Data Yet",IFERROR(IF(S54/AVERAGEIFS($S$16:$S$215,$B$16:$B$215,B54)&gt;=1.2,"Good",IF(S54/AVERAGEIFS($S$16:$S$215,$B$16:$B$215,B54)&gt;=0.8,"Average","Below Standard")),"Average")))</f>
        <v/>
      </c>
      <c r="U54" s="23" t="str">
        <f aca="false">IF(OR(A54="",B54="",C54=""),"",COUNTIFS('Who Engaged'!$C$5:$C$1004,C54,'Who Engaged'!$P$5:$P$1004,"Yes",'Who Engaged'!$N$5:$N$1004,1))</f>
        <v/>
      </c>
      <c r="V54" s="23" t="str">
        <f aca="false">IF(OR(A54="",B54="",C54=""),"",COUNTIFS('Who Engaged'!$C$5:$C$1004,C54,'Who Engaged'!$P$5:$P$1004,"Yes",'Who Engaged'!$M$5:$M$1004,1))</f>
        <v/>
      </c>
      <c r="W54" s="26" t="str">
        <f aca="false" t="array" ref="W54:W54">IF(OR(A54="",B54="",C54=""),"",_xlfn.TEXTJOIN("; ",TRUE(),IF(('Who Engaged'!$C$5:$C$1004=C54)*('Who Engaged'!$P$5:$P$1004="Yes"),'Who Engaged'!$D$5:$D$1004&amp;" – "&amp;'Who Engaged'!$F$5:$F$1004&amp;IF('Who Engaged'!$M$5:$M$1004=1," (followed)",""),"")))</f>
        <v/>
      </c>
      <c r="X54" s="27"/>
      <c r="Y54" s="27"/>
      <c r="Z54" s="28"/>
      <c r="AA54" s="25" t="str">
        <f aca="false">IF(OR(A54="",B54="",C54=""),"","https://www.alphanodus.com/contact?utm_source="&amp;IF(B54="X","twitter",LOWER(B54))&amp;"&amp;utm_medium=social&amp;utm_campaign="&amp;IF(E54="","general",LOWER(SUBSTITUTE(SUBSTITUTE(E54," / ","-")," ","-")))&amp;"&amp;utm_content="&amp;LOWER(C54))</f>
        <v/>
      </c>
    </row>
    <row r="55" customFormat="false" ht="15" hidden="false" customHeight="false" outlineLevel="0" collapsed="false">
      <c r="A55" s="29"/>
      <c r="B55" s="28"/>
      <c r="C55" s="28"/>
      <c r="D55" s="27"/>
      <c r="E55" s="28"/>
      <c r="F55" s="28"/>
      <c r="G55" s="28"/>
      <c r="H55" s="22"/>
      <c r="I55" s="22"/>
      <c r="J55" s="22"/>
      <c r="K55" s="22"/>
      <c r="L55" s="22"/>
      <c r="M55" s="22"/>
      <c r="N55" s="22"/>
      <c r="O55" s="22"/>
      <c r="P55" s="23" t="str">
        <f aca="false">IF(OR(A55="",B55="",C55=""),"",IF(COUNT(J55:N55)=0,"",SUM(J55:N55)))</f>
        <v/>
      </c>
      <c r="Q55" s="23" t="str">
        <f aca="false">IF(OR(A55="",B55="",C55=""),"",SUMIFS('Who Engaged'!$I$5:$I$1004,'Who Engaged'!$C$5:$C$1004,C55,'Who Engaged'!$O$5:$O$1004,"Yes")+SUMIFS('Who Engaged'!$J$5:$J$1004,'Who Engaged'!$C$5:$C$1004,C55,'Who Engaged'!$O$5:$O$1004,"Yes")+SUMIFS('Who Engaged'!$K$5:$K$1004,'Who Engaged'!$C$5:$C$1004,C55,'Who Engaged'!$O$5:$O$1004,"Yes")+SUMIFS('Who Engaged'!$L$5:$L$1004,'Who Engaged'!$C$5:$C$1004,C55,'Who Engaged'!$O$5:$O$1004,"Yes"))</f>
        <v/>
      </c>
      <c r="R55" s="23" t="str">
        <f aca="false">IF(OR(OR(A55="",B55="",C55=""),P55=""),"",MAX(0,P55-N(Q55)))</f>
        <v/>
      </c>
      <c r="S55" s="24" t="str">
        <f aca="false">IF(OR(OR(A55="",B55="",C55=""),R55=""),"",IFERROR(R55/(IF(N(H55)&gt;0,H55,IF(N(I55)&gt;0,I55,IF(COUNTIFS($B$16:$B$215,B55,$H$16:$H$215,"&gt;0")+COUNTIFS($B$16:$B$215,B55,$I$16:$I$215,"&gt;0")&gt;0,"",INDEX($B$5:$B$7,MATCH(B55,$A$5:$A$7,0)))))),""))</f>
        <v/>
      </c>
      <c r="T55" s="25" t="str">
        <f aca="false">IF(OR(A55="",B55="",C55=""),"",IF(OR(S55="",COUNTIFS($B$16:$B$215,B55,$S$16:$S$215,"&gt;=0")&lt;2),"No Data Yet",IFERROR(IF(S55/AVERAGEIFS($S$16:$S$215,$B$16:$B$215,B55)&gt;=1.2,"Good",IF(S55/AVERAGEIFS($S$16:$S$215,$B$16:$B$215,B55)&gt;=0.8,"Average","Below Standard")),"Average")))</f>
        <v/>
      </c>
      <c r="U55" s="23" t="str">
        <f aca="false">IF(OR(A55="",B55="",C55=""),"",COUNTIFS('Who Engaged'!$C$5:$C$1004,C55,'Who Engaged'!$P$5:$P$1004,"Yes",'Who Engaged'!$N$5:$N$1004,1))</f>
        <v/>
      </c>
      <c r="V55" s="23" t="str">
        <f aca="false">IF(OR(A55="",B55="",C55=""),"",COUNTIFS('Who Engaged'!$C$5:$C$1004,C55,'Who Engaged'!$P$5:$P$1004,"Yes",'Who Engaged'!$M$5:$M$1004,1))</f>
        <v/>
      </c>
      <c r="W55" s="26" t="str">
        <f aca="false" t="array" ref="W55:W55">IF(OR(A55="",B55="",C55=""),"",_xlfn.TEXTJOIN("; ",TRUE(),IF(('Who Engaged'!$C$5:$C$1004=C55)*('Who Engaged'!$P$5:$P$1004="Yes"),'Who Engaged'!$D$5:$D$1004&amp;" – "&amp;'Who Engaged'!$F$5:$F$1004&amp;IF('Who Engaged'!$M$5:$M$1004=1," (followed)",""),"")))</f>
        <v/>
      </c>
      <c r="X55" s="27"/>
      <c r="Y55" s="27"/>
      <c r="Z55" s="28"/>
      <c r="AA55" s="25" t="str">
        <f aca="false">IF(OR(A55="",B55="",C55=""),"","https://www.alphanodus.com/contact?utm_source="&amp;IF(B55="X","twitter",LOWER(B55))&amp;"&amp;utm_medium=social&amp;utm_campaign="&amp;IF(E55="","general",LOWER(SUBSTITUTE(SUBSTITUTE(E55," / ","-")," ","-")))&amp;"&amp;utm_content="&amp;LOWER(C55))</f>
        <v/>
      </c>
    </row>
    <row r="56" customFormat="false" ht="15" hidden="false" customHeight="false" outlineLevel="0" collapsed="false">
      <c r="A56" s="29"/>
      <c r="B56" s="28"/>
      <c r="C56" s="28"/>
      <c r="D56" s="27"/>
      <c r="E56" s="28"/>
      <c r="F56" s="28"/>
      <c r="G56" s="28"/>
      <c r="H56" s="22"/>
      <c r="I56" s="22"/>
      <c r="J56" s="22"/>
      <c r="K56" s="22"/>
      <c r="L56" s="22"/>
      <c r="M56" s="22"/>
      <c r="N56" s="22"/>
      <c r="O56" s="22"/>
      <c r="P56" s="23" t="str">
        <f aca="false">IF(OR(A56="",B56="",C56=""),"",IF(COUNT(J56:N56)=0,"",SUM(J56:N56)))</f>
        <v/>
      </c>
      <c r="Q56" s="23" t="str">
        <f aca="false">IF(OR(A56="",B56="",C56=""),"",SUMIFS('Who Engaged'!$I$5:$I$1004,'Who Engaged'!$C$5:$C$1004,C56,'Who Engaged'!$O$5:$O$1004,"Yes")+SUMIFS('Who Engaged'!$J$5:$J$1004,'Who Engaged'!$C$5:$C$1004,C56,'Who Engaged'!$O$5:$O$1004,"Yes")+SUMIFS('Who Engaged'!$K$5:$K$1004,'Who Engaged'!$C$5:$C$1004,C56,'Who Engaged'!$O$5:$O$1004,"Yes")+SUMIFS('Who Engaged'!$L$5:$L$1004,'Who Engaged'!$C$5:$C$1004,C56,'Who Engaged'!$O$5:$O$1004,"Yes"))</f>
        <v/>
      </c>
      <c r="R56" s="23" t="str">
        <f aca="false">IF(OR(OR(A56="",B56="",C56=""),P56=""),"",MAX(0,P56-N(Q56)))</f>
        <v/>
      </c>
      <c r="S56" s="24" t="str">
        <f aca="false">IF(OR(OR(A56="",B56="",C56=""),R56=""),"",IFERROR(R56/(IF(N(H56)&gt;0,H56,IF(N(I56)&gt;0,I56,IF(COUNTIFS($B$16:$B$215,B56,$H$16:$H$215,"&gt;0")+COUNTIFS($B$16:$B$215,B56,$I$16:$I$215,"&gt;0")&gt;0,"",INDEX($B$5:$B$7,MATCH(B56,$A$5:$A$7,0)))))),""))</f>
        <v/>
      </c>
      <c r="T56" s="25" t="str">
        <f aca="false">IF(OR(A56="",B56="",C56=""),"",IF(OR(S56="",COUNTIFS($B$16:$B$215,B56,$S$16:$S$215,"&gt;=0")&lt;2),"No Data Yet",IFERROR(IF(S56/AVERAGEIFS($S$16:$S$215,$B$16:$B$215,B56)&gt;=1.2,"Good",IF(S56/AVERAGEIFS($S$16:$S$215,$B$16:$B$215,B56)&gt;=0.8,"Average","Below Standard")),"Average")))</f>
        <v/>
      </c>
      <c r="U56" s="23" t="str">
        <f aca="false">IF(OR(A56="",B56="",C56=""),"",COUNTIFS('Who Engaged'!$C$5:$C$1004,C56,'Who Engaged'!$P$5:$P$1004,"Yes",'Who Engaged'!$N$5:$N$1004,1))</f>
        <v/>
      </c>
      <c r="V56" s="23" t="str">
        <f aca="false">IF(OR(A56="",B56="",C56=""),"",COUNTIFS('Who Engaged'!$C$5:$C$1004,C56,'Who Engaged'!$P$5:$P$1004,"Yes",'Who Engaged'!$M$5:$M$1004,1))</f>
        <v/>
      </c>
      <c r="W56" s="26" t="str">
        <f aca="false" t="array" ref="W56:W56">IF(OR(A56="",B56="",C56=""),"",_xlfn.TEXTJOIN("; ",TRUE(),IF(('Who Engaged'!$C$5:$C$1004=C56)*('Who Engaged'!$P$5:$P$1004="Yes"),'Who Engaged'!$D$5:$D$1004&amp;" – "&amp;'Who Engaged'!$F$5:$F$1004&amp;IF('Who Engaged'!$M$5:$M$1004=1," (followed)",""),"")))</f>
        <v/>
      </c>
      <c r="X56" s="27"/>
      <c r="Y56" s="27"/>
      <c r="Z56" s="28"/>
      <c r="AA56" s="25" t="str">
        <f aca="false">IF(OR(A56="",B56="",C56=""),"","https://www.alphanodus.com/contact?utm_source="&amp;IF(B56="X","twitter",LOWER(B56))&amp;"&amp;utm_medium=social&amp;utm_campaign="&amp;IF(E56="","general",LOWER(SUBSTITUTE(SUBSTITUTE(E56," / ","-")," ","-")))&amp;"&amp;utm_content="&amp;LOWER(C56))</f>
        <v/>
      </c>
    </row>
    <row r="57" customFormat="false" ht="15" hidden="false" customHeight="false" outlineLevel="0" collapsed="false">
      <c r="A57" s="29"/>
      <c r="B57" s="28"/>
      <c r="C57" s="28"/>
      <c r="D57" s="27"/>
      <c r="E57" s="28"/>
      <c r="F57" s="28"/>
      <c r="G57" s="28"/>
      <c r="H57" s="22"/>
      <c r="I57" s="22"/>
      <c r="J57" s="22"/>
      <c r="K57" s="22"/>
      <c r="L57" s="22"/>
      <c r="M57" s="22"/>
      <c r="N57" s="22"/>
      <c r="O57" s="22"/>
      <c r="P57" s="23" t="str">
        <f aca="false">IF(OR(A57="",B57="",C57=""),"",IF(COUNT(J57:N57)=0,"",SUM(J57:N57)))</f>
        <v/>
      </c>
      <c r="Q57" s="23" t="str">
        <f aca="false">IF(OR(A57="",B57="",C57=""),"",SUMIFS('Who Engaged'!$I$5:$I$1004,'Who Engaged'!$C$5:$C$1004,C57,'Who Engaged'!$O$5:$O$1004,"Yes")+SUMIFS('Who Engaged'!$J$5:$J$1004,'Who Engaged'!$C$5:$C$1004,C57,'Who Engaged'!$O$5:$O$1004,"Yes")+SUMIFS('Who Engaged'!$K$5:$K$1004,'Who Engaged'!$C$5:$C$1004,C57,'Who Engaged'!$O$5:$O$1004,"Yes")+SUMIFS('Who Engaged'!$L$5:$L$1004,'Who Engaged'!$C$5:$C$1004,C57,'Who Engaged'!$O$5:$O$1004,"Yes"))</f>
        <v/>
      </c>
      <c r="R57" s="23" t="str">
        <f aca="false">IF(OR(OR(A57="",B57="",C57=""),P57=""),"",MAX(0,P57-N(Q57)))</f>
        <v/>
      </c>
      <c r="S57" s="24" t="str">
        <f aca="false">IF(OR(OR(A57="",B57="",C57=""),R57=""),"",IFERROR(R57/(IF(N(H57)&gt;0,H57,IF(N(I57)&gt;0,I57,IF(COUNTIFS($B$16:$B$215,B57,$H$16:$H$215,"&gt;0")+COUNTIFS($B$16:$B$215,B57,$I$16:$I$215,"&gt;0")&gt;0,"",INDEX($B$5:$B$7,MATCH(B57,$A$5:$A$7,0)))))),""))</f>
        <v/>
      </c>
      <c r="T57" s="25" t="str">
        <f aca="false">IF(OR(A57="",B57="",C57=""),"",IF(OR(S57="",COUNTIFS($B$16:$B$215,B57,$S$16:$S$215,"&gt;=0")&lt;2),"No Data Yet",IFERROR(IF(S57/AVERAGEIFS($S$16:$S$215,$B$16:$B$215,B57)&gt;=1.2,"Good",IF(S57/AVERAGEIFS($S$16:$S$215,$B$16:$B$215,B57)&gt;=0.8,"Average","Below Standard")),"Average")))</f>
        <v/>
      </c>
      <c r="U57" s="23" t="str">
        <f aca="false">IF(OR(A57="",B57="",C57=""),"",COUNTIFS('Who Engaged'!$C$5:$C$1004,C57,'Who Engaged'!$P$5:$P$1004,"Yes",'Who Engaged'!$N$5:$N$1004,1))</f>
        <v/>
      </c>
      <c r="V57" s="23" t="str">
        <f aca="false">IF(OR(A57="",B57="",C57=""),"",COUNTIFS('Who Engaged'!$C$5:$C$1004,C57,'Who Engaged'!$P$5:$P$1004,"Yes",'Who Engaged'!$M$5:$M$1004,1))</f>
        <v/>
      </c>
      <c r="W57" s="26" t="str">
        <f aca="false" t="array" ref="W57:W57">IF(OR(A57="",B57="",C57=""),"",_xlfn.TEXTJOIN("; ",TRUE(),IF(('Who Engaged'!$C$5:$C$1004=C57)*('Who Engaged'!$P$5:$P$1004="Yes"),'Who Engaged'!$D$5:$D$1004&amp;" – "&amp;'Who Engaged'!$F$5:$F$1004&amp;IF('Who Engaged'!$M$5:$M$1004=1," (followed)",""),"")))</f>
        <v/>
      </c>
      <c r="X57" s="27"/>
      <c r="Y57" s="27"/>
      <c r="Z57" s="28"/>
      <c r="AA57" s="25" t="str">
        <f aca="false">IF(OR(A57="",B57="",C57=""),"","https://www.alphanodus.com/contact?utm_source="&amp;IF(B57="X","twitter",LOWER(B57))&amp;"&amp;utm_medium=social&amp;utm_campaign="&amp;IF(E57="","general",LOWER(SUBSTITUTE(SUBSTITUTE(E57," / ","-")," ","-")))&amp;"&amp;utm_content="&amp;LOWER(C57))</f>
        <v/>
      </c>
    </row>
    <row r="58" customFormat="false" ht="15" hidden="false" customHeight="false" outlineLevel="0" collapsed="false">
      <c r="A58" s="29"/>
      <c r="B58" s="28"/>
      <c r="C58" s="28"/>
      <c r="D58" s="27"/>
      <c r="E58" s="28"/>
      <c r="F58" s="28"/>
      <c r="G58" s="28"/>
      <c r="H58" s="22"/>
      <c r="I58" s="22"/>
      <c r="J58" s="22"/>
      <c r="K58" s="22"/>
      <c r="L58" s="22"/>
      <c r="M58" s="22"/>
      <c r="N58" s="22"/>
      <c r="O58" s="22"/>
      <c r="P58" s="23" t="str">
        <f aca="false">IF(OR(A58="",B58="",C58=""),"",IF(COUNT(J58:N58)=0,"",SUM(J58:N58)))</f>
        <v/>
      </c>
      <c r="Q58" s="23" t="str">
        <f aca="false">IF(OR(A58="",B58="",C58=""),"",SUMIFS('Who Engaged'!$I$5:$I$1004,'Who Engaged'!$C$5:$C$1004,C58,'Who Engaged'!$O$5:$O$1004,"Yes")+SUMIFS('Who Engaged'!$J$5:$J$1004,'Who Engaged'!$C$5:$C$1004,C58,'Who Engaged'!$O$5:$O$1004,"Yes")+SUMIFS('Who Engaged'!$K$5:$K$1004,'Who Engaged'!$C$5:$C$1004,C58,'Who Engaged'!$O$5:$O$1004,"Yes")+SUMIFS('Who Engaged'!$L$5:$L$1004,'Who Engaged'!$C$5:$C$1004,C58,'Who Engaged'!$O$5:$O$1004,"Yes"))</f>
        <v/>
      </c>
      <c r="R58" s="23" t="str">
        <f aca="false">IF(OR(OR(A58="",B58="",C58=""),P58=""),"",MAX(0,P58-N(Q58)))</f>
        <v/>
      </c>
      <c r="S58" s="24" t="str">
        <f aca="false">IF(OR(OR(A58="",B58="",C58=""),R58=""),"",IFERROR(R58/(IF(N(H58)&gt;0,H58,IF(N(I58)&gt;0,I58,IF(COUNTIFS($B$16:$B$215,B58,$H$16:$H$215,"&gt;0")+COUNTIFS($B$16:$B$215,B58,$I$16:$I$215,"&gt;0")&gt;0,"",INDEX($B$5:$B$7,MATCH(B58,$A$5:$A$7,0)))))),""))</f>
        <v/>
      </c>
      <c r="T58" s="25" t="str">
        <f aca="false">IF(OR(A58="",B58="",C58=""),"",IF(OR(S58="",COUNTIFS($B$16:$B$215,B58,$S$16:$S$215,"&gt;=0")&lt;2),"No Data Yet",IFERROR(IF(S58/AVERAGEIFS($S$16:$S$215,$B$16:$B$215,B58)&gt;=1.2,"Good",IF(S58/AVERAGEIFS($S$16:$S$215,$B$16:$B$215,B58)&gt;=0.8,"Average","Below Standard")),"Average")))</f>
        <v/>
      </c>
      <c r="U58" s="23" t="str">
        <f aca="false">IF(OR(A58="",B58="",C58=""),"",COUNTIFS('Who Engaged'!$C$5:$C$1004,C58,'Who Engaged'!$P$5:$P$1004,"Yes",'Who Engaged'!$N$5:$N$1004,1))</f>
        <v/>
      </c>
      <c r="V58" s="23" t="str">
        <f aca="false">IF(OR(A58="",B58="",C58=""),"",COUNTIFS('Who Engaged'!$C$5:$C$1004,C58,'Who Engaged'!$P$5:$P$1004,"Yes",'Who Engaged'!$M$5:$M$1004,1))</f>
        <v/>
      </c>
      <c r="W58" s="26" t="str">
        <f aca="false" t="array" ref="W58:W58">IF(OR(A58="",B58="",C58=""),"",_xlfn.TEXTJOIN("; ",TRUE(),IF(('Who Engaged'!$C$5:$C$1004=C58)*('Who Engaged'!$P$5:$P$1004="Yes"),'Who Engaged'!$D$5:$D$1004&amp;" – "&amp;'Who Engaged'!$F$5:$F$1004&amp;IF('Who Engaged'!$M$5:$M$1004=1," (followed)",""),"")))</f>
        <v/>
      </c>
      <c r="X58" s="27"/>
      <c r="Y58" s="27"/>
      <c r="Z58" s="28"/>
      <c r="AA58" s="25" t="str">
        <f aca="false">IF(OR(A58="",B58="",C58=""),"","https://www.alphanodus.com/contact?utm_source="&amp;IF(B58="X","twitter",LOWER(B58))&amp;"&amp;utm_medium=social&amp;utm_campaign="&amp;IF(E58="","general",LOWER(SUBSTITUTE(SUBSTITUTE(E58," / ","-")," ","-")))&amp;"&amp;utm_content="&amp;LOWER(C58))</f>
        <v/>
      </c>
    </row>
    <row r="59" customFormat="false" ht="15" hidden="false" customHeight="false" outlineLevel="0" collapsed="false">
      <c r="A59" s="29"/>
      <c r="B59" s="28"/>
      <c r="C59" s="28"/>
      <c r="D59" s="27"/>
      <c r="E59" s="28"/>
      <c r="F59" s="28"/>
      <c r="G59" s="28"/>
      <c r="H59" s="22"/>
      <c r="I59" s="22"/>
      <c r="J59" s="22"/>
      <c r="K59" s="22"/>
      <c r="L59" s="22"/>
      <c r="M59" s="22"/>
      <c r="N59" s="22"/>
      <c r="O59" s="22"/>
      <c r="P59" s="23" t="str">
        <f aca="false">IF(OR(A59="",B59="",C59=""),"",IF(COUNT(J59:N59)=0,"",SUM(J59:N59)))</f>
        <v/>
      </c>
      <c r="Q59" s="23" t="str">
        <f aca="false">IF(OR(A59="",B59="",C59=""),"",SUMIFS('Who Engaged'!$I$5:$I$1004,'Who Engaged'!$C$5:$C$1004,C59,'Who Engaged'!$O$5:$O$1004,"Yes")+SUMIFS('Who Engaged'!$J$5:$J$1004,'Who Engaged'!$C$5:$C$1004,C59,'Who Engaged'!$O$5:$O$1004,"Yes")+SUMIFS('Who Engaged'!$K$5:$K$1004,'Who Engaged'!$C$5:$C$1004,C59,'Who Engaged'!$O$5:$O$1004,"Yes")+SUMIFS('Who Engaged'!$L$5:$L$1004,'Who Engaged'!$C$5:$C$1004,C59,'Who Engaged'!$O$5:$O$1004,"Yes"))</f>
        <v/>
      </c>
      <c r="R59" s="23" t="str">
        <f aca="false">IF(OR(OR(A59="",B59="",C59=""),P59=""),"",MAX(0,P59-N(Q59)))</f>
        <v/>
      </c>
      <c r="S59" s="24" t="str">
        <f aca="false">IF(OR(OR(A59="",B59="",C59=""),R59=""),"",IFERROR(R59/(IF(N(H59)&gt;0,H59,IF(N(I59)&gt;0,I59,IF(COUNTIFS($B$16:$B$215,B59,$H$16:$H$215,"&gt;0")+COUNTIFS($B$16:$B$215,B59,$I$16:$I$215,"&gt;0")&gt;0,"",INDEX($B$5:$B$7,MATCH(B59,$A$5:$A$7,0)))))),""))</f>
        <v/>
      </c>
      <c r="T59" s="25" t="str">
        <f aca="false">IF(OR(A59="",B59="",C59=""),"",IF(OR(S59="",COUNTIFS($B$16:$B$215,B59,$S$16:$S$215,"&gt;=0")&lt;2),"No Data Yet",IFERROR(IF(S59/AVERAGEIFS($S$16:$S$215,$B$16:$B$215,B59)&gt;=1.2,"Good",IF(S59/AVERAGEIFS($S$16:$S$215,$B$16:$B$215,B59)&gt;=0.8,"Average","Below Standard")),"Average")))</f>
        <v/>
      </c>
      <c r="U59" s="23" t="str">
        <f aca="false">IF(OR(A59="",B59="",C59=""),"",COUNTIFS('Who Engaged'!$C$5:$C$1004,C59,'Who Engaged'!$P$5:$P$1004,"Yes",'Who Engaged'!$N$5:$N$1004,1))</f>
        <v/>
      </c>
      <c r="V59" s="23" t="str">
        <f aca="false">IF(OR(A59="",B59="",C59=""),"",COUNTIFS('Who Engaged'!$C$5:$C$1004,C59,'Who Engaged'!$P$5:$P$1004,"Yes",'Who Engaged'!$M$5:$M$1004,1))</f>
        <v/>
      </c>
      <c r="W59" s="26" t="str">
        <f aca="false" t="array" ref="W59:W59">IF(OR(A59="",B59="",C59=""),"",_xlfn.TEXTJOIN("; ",TRUE(),IF(('Who Engaged'!$C$5:$C$1004=C59)*('Who Engaged'!$P$5:$P$1004="Yes"),'Who Engaged'!$D$5:$D$1004&amp;" – "&amp;'Who Engaged'!$F$5:$F$1004&amp;IF('Who Engaged'!$M$5:$M$1004=1," (followed)",""),"")))</f>
        <v/>
      </c>
      <c r="X59" s="27"/>
      <c r="Y59" s="27"/>
      <c r="Z59" s="28"/>
      <c r="AA59" s="25" t="str">
        <f aca="false">IF(OR(A59="",B59="",C59=""),"","https://www.alphanodus.com/contact?utm_source="&amp;IF(B59="X","twitter",LOWER(B59))&amp;"&amp;utm_medium=social&amp;utm_campaign="&amp;IF(E59="","general",LOWER(SUBSTITUTE(SUBSTITUTE(E59," / ","-")," ","-")))&amp;"&amp;utm_content="&amp;LOWER(C59))</f>
        <v/>
      </c>
    </row>
    <row r="60" customFormat="false" ht="15" hidden="false" customHeight="false" outlineLevel="0" collapsed="false">
      <c r="A60" s="29"/>
      <c r="B60" s="28"/>
      <c r="C60" s="28"/>
      <c r="D60" s="27"/>
      <c r="E60" s="28"/>
      <c r="F60" s="28"/>
      <c r="G60" s="28"/>
      <c r="H60" s="22"/>
      <c r="I60" s="22"/>
      <c r="J60" s="22"/>
      <c r="K60" s="22"/>
      <c r="L60" s="22"/>
      <c r="M60" s="22"/>
      <c r="N60" s="22"/>
      <c r="O60" s="22"/>
      <c r="P60" s="23" t="str">
        <f aca="false">IF(OR(A60="",B60="",C60=""),"",IF(COUNT(J60:N60)=0,"",SUM(J60:N60)))</f>
        <v/>
      </c>
      <c r="Q60" s="23" t="str">
        <f aca="false">IF(OR(A60="",B60="",C60=""),"",SUMIFS('Who Engaged'!$I$5:$I$1004,'Who Engaged'!$C$5:$C$1004,C60,'Who Engaged'!$O$5:$O$1004,"Yes")+SUMIFS('Who Engaged'!$J$5:$J$1004,'Who Engaged'!$C$5:$C$1004,C60,'Who Engaged'!$O$5:$O$1004,"Yes")+SUMIFS('Who Engaged'!$K$5:$K$1004,'Who Engaged'!$C$5:$C$1004,C60,'Who Engaged'!$O$5:$O$1004,"Yes")+SUMIFS('Who Engaged'!$L$5:$L$1004,'Who Engaged'!$C$5:$C$1004,C60,'Who Engaged'!$O$5:$O$1004,"Yes"))</f>
        <v/>
      </c>
      <c r="R60" s="23" t="str">
        <f aca="false">IF(OR(OR(A60="",B60="",C60=""),P60=""),"",MAX(0,P60-N(Q60)))</f>
        <v/>
      </c>
      <c r="S60" s="24" t="str">
        <f aca="false">IF(OR(OR(A60="",B60="",C60=""),R60=""),"",IFERROR(R60/(IF(N(H60)&gt;0,H60,IF(N(I60)&gt;0,I60,IF(COUNTIFS($B$16:$B$215,B60,$H$16:$H$215,"&gt;0")+COUNTIFS($B$16:$B$215,B60,$I$16:$I$215,"&gt;0")&gt;0,"",INDEX($B$5:$B$7,MATCH(B60,$A$5:$A$7,0)))))),""))</f>
        <v/>
      </c>
      <c r="T60" s="25" t="str">
        <f aca="false">IF(OR(A60="",B60="",C60=""),"",IF(OR(S60="",COUNTIFS($B$16:$B$215,B60,$S$16:$S$215,"&gt;=0")&lt;2),"No Data Yet",IFERROR(IF(S60/AVERAGEIFS($S$16:$S$215,$B$16:$B$215,B60)&gt;=1.2,"Good",IF(S60/AVERAGEIFS($S$16:$S$215,$B$16:$B$215,B60)&gt;=0.8,"Average","Below Standard")),"Average")))</f>
        <v/>
      </c>
      <c r="U60" s="23" t="str">
        <f aca="false">IF(OR(A60="",B60="",C60=""),"",COUNTIFS('Who Engaged'!$C$5:$C$1004,C60,'Who Engaged'!$P$5:$P$1004,"Yes",'Who Engaged'!$N$5:$N$1004,1))</f>
        <v/>
      </c>
      <c r="V60" s="23" t="str">
        <f aca="false">IF(OR(A60="",B60="",C60=""),"",COUNTIFS('Who Engaged'!$C$5:$C$1004,C60,'Who Engaged'!$P$5:$P$1004,"Yes",'Who Engaged'!$M$5:$M$1004,1))</f>
        <v/>
      </c>
      <c r="W60" s="26" t="str">
        <f aca="false" t="array" ref="W60:W60">IF(OR(A60="",B60="",C60=""),"",_xlfn.TEXTJOIN("; ",TRUE(),IF(('Who Engaged'!$C$5:$C$1004=C60)*('Who Engaged'!$P$5:$P$1004="Yes"),'Who Engaged'!$D$5:$D$1004&amp;" – "&amp;'Who Engaged'!$F$5:$F$1004&amp;IF('Who Engaged'!$M$5:$M$1004=1," (followed)",""),"")))</f>
        <v/>
      </c>
      <c r="X60" s="27"/>
      <c r="Y60" s="27"/>
      <c r="Z60" s="28"/>
      <c r="AA60" s="25" t="str">
        <f aca="false">IF(OR(A60="",B60="",C60=""),"","https://www.alphanodus.com/contact?utm_source="&amp;IF(B60="X","twitter",LOWER(B60))&amp;"&amp;utm_medium=social&amp;utm_campaign="&amp;IF(E60="","general",LOWER(SUBSTITUTE(SUBSTITUTE(E60," / ","-")," ","-")))&amp;"&amp;utm_content="&amp;LOWER(C60))</f>
        <v/>
      </c>
    </row>
    <row r="61" customFormat="false" ht="15" hidden="false" customHeight="false" outlineLevel="0" collapsed="false">
      <c r="A61" s="29"/>
      <c r="B61" s="28"/>
      <c r="C61" s="28"/>
      <c r="D61" s="27"/>
      <c r="E61" s="28"/>
      <c r="F61" s="28"/>
      <c r="G61" s="28"/>
      <c r="H61" s="22"/>
      <c r="I61" s="22"/>
      <c r="J61" s="22"/>
      <c r="K61" s="22"/>
      <c r="L61" s="22"/>
      <c r="M61" s="22"/>
      <c r="N61" s="22"/>
      <c r="O61" s="22"/>
      <c r="P61" s="23" t="str">
        <f aca="false">IF(OR(A61="",B61="",C61=""),"",IF(COUNT(J61:N61)=0,"",SUM(J61:N61)))</f>
        <v/>
      </c>
      <c r="Q61" s="23" t="str">
        <f aca="false">IF(OR(A61="",B61="",C61=""),"",SUMIFS('Who Engaged'!$I$5:$I$1004,'Who Engaged'!$C$5:$C$1004,C61,'Who Engaged'!$O$5:$O$1004,"Yes")+SUMIFS('Who Engaged'!$J$5:$J$1004,'Who Engaged'!$C$5:$C$1004,C61,'Who Engaged'!$O$5:$O$1004,"Yes")+SUMIFS('Who Engaged'!$K$5:$K$1004,'Who Engaged'!$C$5:$C$1004,C61,'Who Engaged'!$O$5:$O$1004,"Yes")+SUMIFS('Who Engaged'!$L$5:$L$1004,'Who Engaged'!$C$5:$C$1004,C61,'Who Engaged'!$O$5:$O$1004,"Yes"))</f>
        <v/>
      </c>
      <c r="R61" s="23" t="str">
        <f aca="false">IF(OR(OR(A61="",B61="",C61=""),P61=""),"",MAX(0,P61-N(Q61)))</f>
        <v/>
      </c>
      <c r="S61" s="24" t="str">
        <f aca="false">IF(OR(OR(A61="",B61="",C61=""),R61=""),"",IFERROR(R61/(IF(N(H61)&gt;0,H61,IF(N(I61)&gt;0,I61,IF(COUNTIFS($B$16:$B$215,B61,$H$16:$H$215,"&gt;0")+COUNTIFS($B$16:$B$215,B61,$I$16:$I$215,"&gt;0")&gt;0,"",INDEX($B$5:$B$7,MATCH(B61,$A$5:$A$7,0)))))),""))</f>
        <v/>
      </c>
      <c r="T61" s="25" t="str">
        <f aca="false">IF(OR(A61="",B61="",C61=""),"",IF(OR(S61="",COUNTIFS($B$16:$B$215,B61,$S$16:$S$215,"&gt;=0")&lt;2),"No Data Yet",IFERROR(IF(S61/AVERAGEIFS($S$16:$S$215,$B$16:$B$215,B61)&gt;=1.2,"Good",IF(S61/AVERAGEIFS($S$16:$S$215,$B$16:$B$215,B61)&gt;=0.8,"Average","Below Standard")),"Average")))</f>
        <v/>
      </c>
      <c r="U61" s="23" t="str">
        <f aca="false">IF(OR(A61="",B61="",C61=""),"",COUNTIFS('Who Engaged'!$C$5:$C$1004,C61,'Who Engaged'!$P$5:$P$1004,"Yes",'Who Engaged'!$N$5:$N$1004,1))</f>
        <v/>
      </c>
      <c r="V61" s="23" t="str">
        <f aca="false">IF(OR(A61="",B61="",C61=""),"",COUNTIFS('Who Engaged'!$C$5:$C$1004,C61,'Who Engaged'!$P$5:$P$1004,"Yes",'Who Engaged'!$M$5:$M$1004,1))</f>
        <v/>
      </c>
      <c r="W61" s="26" t="str">
        <f aca="false" t="array" ref="W61:W61">IF(OR(A61="",B61="",C61=""),"",_xlfn.TEXTJOIN("; ",TRUE(),IF(('Who Engaged'!$C$5:$C$1004=C61)*('Who Engaged'!$P$5:$P$1004="Yes"),'Who Engaged'!$D$5:$D$1004&amp;" – "&amp;'Who Engaged'!$F$5:$F$1004&amp;IF('Who Engaged'!$M$5:$M$1004=1," (followed)",""),"")))</f>
        <v/>
      </c>
      <c r="X61" s="27"/>
      <c r="Y61" s="27"/>
      <c r="Z61" s="28"/>
      <c r="AA61" s="25" t="str">
        <f aca="false">IF(OR(A61="",B61="",C61=""),"","https://www.alphanodus.com/contact?utm_source="&amp;IF(B61="X","twitter",LOWER(B61))&amp;"&amp;utm_medium=social&amp;utm_campaign="&amp;IF(E61="","general",LOWER(SUBSTITUTE(SUBSTITUTE(E61," / ","-")," ","-")))&amp;"&amp;utm_content="&amp;LOWER(C61))</f>
        <v/>
      </c>
    </row>
    <row r="62" customFormat="false" ht="15" hidden="false" customHeight="false" outlineLevel="0" collapsed="false">
      <c r="A62" s="29"/>
      <c r="B62" s="28"/>
      <c r="C62" s="28"/>
      <c r="D62" s="27"/>
      <c r="E62" s="28"/>
      <c r="F62" s="28"/>
      <c r="G62" s="28"/>
      <c r="H62" s="22"/>
      <c r="I62" s="22"/>
      <c r="J62" s="22"/>
      <c r="K62" s="22"/>
      <c r="L62" s="22"/>
      <c r="M62" s="22"/>
      <c r="N62" s="22"/>
      <c r="O62" s="22"/>
      <c r="P62" s="23" t="str">
        <f aca="false">IF(OR(A62="",B62="",C62=""),"",IF(COUNT(J62:N62)=0,"",SUM(J62:N62)))</f>
        <v/>
      </c>
      <c r="Q62" s="23" t="str">
        <f aca="false">IF(OR(A62="",B62="",C62=""),"",SUMIFS('Who Engaged'!$I$5:$I$1004,'Who Engaged'!$C$5:$C$1004,C62,'Who Engaged'!$O$5:$O$1004,"Yes")+SUMIFS('Who Engaged'!$J$5:$J$1004,'Who Engaged'!$C$5:$C$1004,C62,'Who Engaged'!$O$5:$O$1004,"Yes")+SUMIFS('Who Engaged'!$K$5:$K$1004,'Who Engaged'!$C$5:$C$1004,C62,'Who Engaged'!$O$5:$O$1004,"Yes")+SUMIFS('Who Engaged'!$L$5:$L$1004,'Who Engaged'!$C$5:$C$1004,C62,'Who Engaged'!$O$5:$O$1004,"Yes"))</f>
        <v/>
      </c>
      <c r="R62" s="23" t="str">
        <f aca="false">IF(OR(OR(A62="",B62="",C62=""),P62=""),"",MAX(0,P62-N(Q62)))</f>
        <v/>
      </c>
      <c r="S62" s="24" t="str">
        <f aca="false">IF(OR(OR(A62="",B62="",C62=""),R62=""),"",IFERROR(R62/(IF(N(H62)&gt;0,H62,IF(N(I62)&gt;0,I62,IF(COUNTIFS($B$16:$B$215,B62,$H$16:$H$215,"&gt;0")+COUNTIFS($B$16:$B$215,B62,$I$16:$I$215,"&gt;0")&gt;0,"",INDEX($B$5:$B$7,MATCH(B62,$A$5:$A$7,0)))))),""))</f>
        <v/>
      </c>
      <c r="T62" s="25" t="str">
        <f aca="false">IF(OR(A62="",B62="",C62=""),"",IF(OR(S62="",COUNTIFS($B$16:$B$215,B62,$S$16:$S$215,"&gt;=0")&lt;2),"No Data Yet",IFERROR(IF(S62/AVERAGEIFS($S$16:$S$215,$B$16:$B$215,B62)&gt;=1.2,"Good",IF(S62/AVERAGEIFS($S$16:$S$215,$B$16:$B$215,B62)&gt;=0.8,"Average","Below Standard")),"Average")))</f>
        <v/>
      </c>
      <c r="U62" s="23" t="str">
        <f aca="false">IF(OR(A62="",B62="",C62=""),"",COUNTIFS('Who Engaged'!$C$5:$C$1004,C62,'Who Engaged'!$P$5:$P$1004,"Yes",'Who Engaged'!$N$5:$N$1004,1))</f>
        <v/>
      </c>
      <c r="V62" s="23" t="str">
        <f aca="false">IF(OR(A62="",B62="",C62=""),"",COUNTIFS('Who Engaged'!$C$5:$C$1004,C62,'Who Engaged'!$P$5:$P$1004,"Yes",'Who Engaged'!$M$5:$M$1004,1))</f>
        <v/>
      </c>
      <c r="W62" s="26" t="str">
        <f aca="false" t="array" ref="W62:W62">IF(OR(A62="",B62="",C62=""),"",_xlfn.TEXTJOIN("; ",TRUE(),IF(('Who Engaged'!$C$5:$C$1004=C62)*('Who Engaged'!$P$5:$P$1004="Yes"),'Who Engaged'!$D$5:$D$1004&amp;" – "&amp;'Who Engaged'!$F$5:$F$1004&amp;IF('Who Engaged'!$M$5:$M$1004=1," (followed)",""),"")))</f>
        <v/>
      </c>
      <c r="X62" s="27"/>
      <c r="Y62" s="27"/>
      <c r="Z62" s="28"/>
      <c r="AA62" s="25" t="str">
        <f aca="false">IF(OR(A62="",B62="",C62=""),"","https://www.alphanodus.com/contact?utm_source="&amp;IF(B62="X","twitter",LOWER(B62))&amp;"&amp;utm_medium=social&amp;utm_campaign="&amp;IF(E62="","general",LOWER(SUBSTITUTE(SUBSTITUTE(E62," / ","-")," ","-")))&amp;"&amp;utm_content="&amp;LOWER(C62))</f>
        <v/>
      </c>
    </row>
    <row r="63" customFormat="false" ht="15" hidden="false" customHeight="false" outlineLevel="0" collapsed="false">
      <c r="A63" s="29"/>
      <c r="B63" s="28"/>
      <c r="C63" s="28"/>
      <c r="D63" s="27"/>
      <c r="E63" s="28"/>
      <c r="F63" s="28"/>
      <c r="G63" s="28"/>
      <c r="H63" s="22"/>
      <c r="I63" s="22"/>
      <c r="J63" s="22"/>
      <c r="K63" s="22"/>
      <c r="L63" s="22"/>
      <c r="M63" s="22"/>
      <c r="N63" s="22"/>
      <c r="O63" s="22"/>
      <c r="P63" s="23" t="str">
        <f aca="false">IF(OR(A63="",B63="",C63=""),"",IF(COUNT(J63:N63)=0,"",SUM(J63:N63)))</f>
        <v/>
      </c>
      <c r="Q63" s="23" t="str">
        <f aca="false">IF(OR(A63="",B63="",C63=""),"",SUMIFS('Who Engaged'!$I$5:$I$1004,'Who Engaged'!$C$5:$C$1004,C63,'Who Engaged'!$O$5:$O$1004,"Yes")+SUMIFS('Who Engaged'!$J$5:$J$1004,'Who Engaged'!$C$5:$C$1004,C63,'Who Engaged'!$O$5:$O$1004,"Yes")+SUMIFS('Who Engaged'!$K$5:$K$1004,'Who Engaged'!$C$5:$C$1004,C63,'Who Engaged'!$O$5:$O$1004,"Yes")+SUMIFS('Who Engaged'!$L$5:$L$1004,'Who Engaged'!$C$5:$C$1004,C63,'Who Engaged'!$O$5:$O$1004,"Yes"))</f>
        <v/>
      </c>
      <c r="R63" s="23" t="str">
        <f aca="false">IF(OR(OR(A63="",B63="",C63=""),P63=""),"",MAX(0,P63-N(Q63)))</f>
        <v/>
      </c>
      <c r="S63" s="24" t="str">
        <f aca="false">IF(OR(OR(A63="",B63="",C63=""),R63=""),"",IFERROR(R63/(IF(N(H63)&gt;0,H63,IF(N(I63)&gt;0,I63,IF(COUNTIFS($B$16:$B$215,B63,$H$16:$H$215,"&gt;0")+COUNTIFS($B$16:$B$215,B63,$I$16:$I$215,"&gt;0")&gt;0,"",INDEX($B$5:$B$7,MATCH(B63,$A$5:$A$7,0)))))),""))</f>
        <v/>
      </c>
      <c r="T63" s="25" t="str">
        <f aca="false">IF(OR(A63="",B63="",C63=""),"",IF(OR(S63="",COUNTIFS($B$16:$B$215,B63,$S$16:$S$215,"&gt;=0")&lt;2),"No Data Yet",IFERROR(IF(S63/AVERAGEIFS($S$16:$S$215,$B$16:$B$215,B63)&gt;=1.2,"Good",IF(S63/AVERAGEIFS($S$16:$S$215,$B$16:$B$215,B63)&gt;=0.8,"Average","Below Standard")),"Average")))</f>
        <v/>
      </c>
      <c r="U63" s="23" t="str">
        <f aca="false">IF(OR(A63="",B63="",C63=""),"",COUNTIFS('Who Engaged'!$C$5:$C$1004,C63,'Who Engaged'!$P$5:$P$1004,"Yes",'Who Engaged'!$N$5:$N$1004,1))</f>
        <v/>
      </c>
      <c r="V63" s="23" t="str">
        <f aca="false">IF(OR(A63="",B63="",C63=""),"",COUNTIFS('Who Engaged'!$C$5:$C$1004,C63,'Who Engaged'!$P$5:$P$1004,"Yes",'Who Engaged'!$M$5:$M$1004,1))</f>
        <v/>
      </c>
      <c r="W63" s="26" t="str">
        <f aca="false" t="array" ref="W63:W63">IF(OR(A63="",B63="",C63=""),"",_xlfn.TEXTJOIN("; ",TRUE(),IF(('Who Engaged'!$C$5:$C$1004=C63)*('Who Engaged'!$P$5:$P$1004="Yes"),'Who Engaged'!$D$5:$D$1004&amp;" – "&amp;'Who Engaged'!$F$5:$F$1004&amp;IF('Who Engaged'!$M$5:$M$1004=1," (followed)",""),"")))</f>
        <v/>
      </c>
      <c r="X63" s="27"/>
      <c r="Y63" s="27"/>
      <c r="Z63" s="28"/>
      <c r="AA63" s="25" t="str">
        <f aca="false">IF(OR(A63="",B63="",C63=""),"","https://www.alphanodus.com/contact?utm_source="&amp;IF(B63="X","twitter",LOWER(B63))&amp;"&amp;utm_medium=social&amp;utm_campaign="&amp;IF(E63="","general",LOWER(SUBSTITUTE(SUBSTITUTE(E63," / ","-")," ","-")))&amp;"&amp;utm_content="&amp;LOWER(C63))</f>
        <v/>
      </c>
    </row>
    <row r="64" customFormat="false" ht="15" hidden="false" customHeight="false" outlineLevel="0" collapsed="false">
      <c r="A64" s="29"/>
      <c r="B64" s="28"/>
      <c r="C64" s="28"/>
      <c r="D64" s="27"/>
      <c r="E64" s="28"/>
      <c r="F64" s="28"/>
      <c r="G64" s="28"/>
      <c r="H64" s="22"/>
      <c r="I64" s="22"/>
      <c r="J64" s="22"/>
      <c r="K64" s="22"/>
      <c r="L64" s="22"/>
      <c r="M64" s="22"/>
      <c r="N64" s="22"/>
      <c r="O64" s="22"/>
      <c r="P64" s="23" t="str">
        <f aca="false">IF(OR(A64="",B64="",C64=""),"",IF(COUNT(J64:N64)=0,"",SUM(J64:N64)))</f>
        <v/>
      </c>
      <c r="Q64" s="23" t="str">
        <f aca="false">IF(OR(A64="",B64="",C64=""),"",SUMIFS('Who Engaged'!$I$5:$I$1004,'Who Engaged'!$C$5:$C$1004,C64,'Who Engaged'!$O$5:$O$1004,"Yes")+SUMIFS('Who Engaged'!$J$5:$J$1004,'Who Engaged'!$C$5:$C$1004,C64,'Who Engaged'!$O$5:$O$1004,"Yes")+SUMIFS('Who Engaged'!$K$5:$K$1004,'Who Engaged'!$C$5:$C$1004,C64,'Who Engaged'!$O$5:$O$1004,"Yes")+SUMIFS('Who Engaged'!$L$5:$L$1004,'Who Engaged'!$C$5:$C$1004,C64,'Who Engaged'!$O$5:$O$1004,"Yes"))</f>
        <v/>
      </c>
      <c r="R64" s="23" t="str">
        <f aca="false">IF(OR(OR(A64="",B64="",C64=""),P64=""),"",MAX(0,P64-N(Q64)))</f>
        <v/>
      </c>
      <c r="S64" s="24" t="str">
        <f aca="false">IF(OR(OR(A64="",B64="",C64=""),R64=""),"",IFERROR(R64/(IF(N(H64)&gt;0,H64,IF(N(I64)&gt;0,I64,IF(COUNTIFS($B$16:$B$215,B64,$H$16:$H$215,"&gt;0")+COUNTIFS($B$16:$B$215,B64,$I$16:$I$215,"&gt;0")&gt;0,"",INDEX($B$5:$B$7,MATCH(B64,$A$5:$A$7,0)))))),""))</f>
        <v/>
      </c>
      <c r="T64" s="25" t="str">
        <f aca="false">IF(OR(A64="",B64="",C64=""),"",IF(OR(S64="",COUNTIFS($B$16:$B$215,B64,$S$16:$S$215,"&gt;=0")&lt;2),"No Data Yet",IFERROR(IF(S64/AVERAGEIFS($S$16:$S$215,$B$16:$B$215,B64)&gt;=1.2,"Good",IF(S64/AVERAGEIFS($S$16:$S$215,$B$16:$B$215,B64)&gt;=0.8,"Average","Below Standard")),"Average")))</f>
        <v/>
      </c>
      <c r="U64" s="23" t="str">
        <f aca="false">IF(OR(A64="",B64="",C64=""),"",COUNTIFS('Who Engaged'!$C$5:$C$1004,C64,'Who Engaged'!$P$5:$P$1004,"Yes",'Who Engaged'!$N$5:$N$1004,1))</f>
        <v/>
      </c>
      <c r="V64" s="23" t="str">
        <f aca="false">IF(OR(A64="",B64="",C64=""),"",COUNTIFS('Who Engaged'!$C$5:$C$1004,C64,'Who Engaged'!$P$5:$P$1004,"Yes",'Who Engaged'!$M$5:$M$1004,1))</f>
        <v/>
      </c>
      <c r="W64" s="26" t="str">
        <f aca="false" t="array" ref="W64:W64">IF(OR(A64="",B64="",C64=""),"",_xlfn.TEXTJOIN("; ",TRUE(),IF(('Who Engaged'!$C$5:$C$1004=C64)*('Who Engaged'!$P$5:$P$1004="Yes"),'Who Engaged'!$D$5:$D$1004&amp;" – "&amp;'Who Engaged'!$F$5:$F$1004&amp;IF('Who Engaged'!$M$5:$M$1004=1," (followed)",""),"")))</f>
        <v/>
      </c>
      <c r="X64" s="27"/>
      <c r="Y64" s="27"/>
      <c r="Z64" s="28"/>
      <c r="AA64" s="25" t="str">
        <f aca="false">IF(OR(A64="",B64="",C64=""),"","https://www.alphanodus.com/contact?utm_source="&amp;IF(B64="X","twitter",LOWER(B64))&amp;"&amp;utm_medium=social&amp;utm_campaign="&amp;IF(E64="","general",LOWER(SUBSTITUTE(SUBSTITUTE(E64," / ","-")," ","-")))&amp;"&amp;utm_content="&amp;LOWER(C64))</f>
        <v/>
      </c>
    </row>
    <row r="65" customFormat="false" ht="15" hidden="false" customHeight="false" outlineLevel="0" collapsed="false">
      <c r="A65" s="29"/>
      <c r="B65" s="28"/>
      <c r="C65" s="28"/>
      <c r="D65" s="27"/>
      <c r="E65" s="28"/>
      <c r="F65" s="28"/>
      <c r="G65" s="28"/>
      <c r="H65" s="22"/>
      <c r="I65" s="22"/>
      <c r="J65" s="22"/>
      <c r="K65" s="22"/>
      <c r="L65" s="22"/>
      <c r="M65" s="22"/>
      <c r="N65" s="22"/>
      <c r="O65" s="22"/>
      <c r="P65" s="23" t="str">
        <f aca="false">IF(OR(A65="",B65="",C65=""),"",IF(COUNT(J65:N65)=0,"",SUM(J65:N65)))</f>
        <v/>
      </c>
      <c r="Q65" s="23" t="str">
        <f aca="false">IF(OR(A65="",B65="",C65=""),"",SUMIFS('Who Engaged'!$I$5:$I$1004,'Who Engaged'!$C$5:$C$1004,C65,'Who Engaged'!$O$5:$O$1004,"Yes")+SUMIFS('Who Engaged'!$J$5:$J$1004,'Who Engaged'!$C$5:$C$1004,C65,'Who Engaged'!$O$5:$O$1004,"Yes")+SUMIFS('Who Engaged'!$K$5:$K$1004,'Who Engaged'!$C$5:$C$1004,C65,'Who Engaged'!$O$5:$O$1004,"Yes")+SUMIFS('Who Engaged'!$L$5:$L$1004,'Who Engaged'!$C$5:$C$1004,C65,'Who Engaged'!$O$5:$O$1004,"Yes"))</f>
        <v/>
      </c>
      <c r="R65" s="23" t="str">
        <f aca="false">IF(OR(OR(A65="",B65="",C65=""),P65=""),"",MAX(0,P65-N(Q65)))</f>
        <v/>
      </c>
      <c r="S65" s="24" t="str">
        <f aca="false">IF(OR(OR(A65="",B65="",C65=""),R65=""),"",IFERROR(R65/(IF(N(H65)&gt;0,H65,IF(N(I65)&gt;0,I65,IF(COUNTIFS($B$16:$B$215,B65,$H$16:$H$215,"&gt;0")+COUNTIFS($B$16:$B$215,B65,$I$16:$I$215,"&gt;0")&gt;0,"",INDEX($B$5:$B$7,MATCH(B65,$A$5:$A$7,0)))))),""))</f>
        <v/>
      </c>
      <c r="T65" s="25" t="str">
        <f aca="false">IF(OR(A65="",B65="",C65=""),"",IF(OR(S65="",COUNTIFS($B$16:$B$215,B65,$S$16:$S$215,"&gt;=0")&lt;2),"No Data Yet",IFERROR(IF(S65/AVERAGEIFS($S$16:$S$215,$B$16:$B$215,B65)&gt;=1.2,"Good",IF(S65/AVERAGEIFS($S$16:$S$215,$B$16:$B$215,B65)&gt;=0.8,"Average","Below Standard")),"Average")))</f>
        <v/>
      </c>
      <c r="U65" s="23" t="str">
        <f aca="false">IF(OR(A65="",B65="",C65=""),"",COUNTIFS('Who Engaged'!$C$5:$C$1004,C65,'Who Engaged'!$P$5:$P$1004,"Yes",'Who Engaged'!$N$5:$N$1004,1))</f>
        <v/>
      </c>
      <c r="V65" s="23" t="str">
        <f aca="false">IF(OR(A65="",B65="",C65=""),"",COUNTIFS('Who Engaged'!$C$5:$C$1004,C65,'Who Engaged'!$P$5:$P$1004,"Yes",'Who Engaged'!$M$5:$M$1004,1))</f>
        <v/>
      </c>
      <c r="W65" s="26" t="str">
        <f aca="false" t="array" ref="W65:W65">IF(OR(A65="",B65="",C65=""),"",_xlfn.TEXTJOIN("; ",TRUE(),IF(('Who Engaged'!$C$5:$C$1004=C65)*('Who Engaged'!$P$5:$P$1004="Yes"),'Who Engaged'!$D$5:$D$1004&amp;" – "&amp;'Who Engaged'!$F$5:$F$1004&amp;IF('Who Engaged'!$M$5:$M$1004=1," (followed)",""),"")))</f>
        <v/>
      </c>
      <c r="X65" s="27"/>
      <c r="Y65" s="27"/>
      <c r="Z65" s="28"/>
      <c r="AA65" s="25" t="str">
        <f aca="false">IF(OR(A65="",B65="",C65=""),"","https://www.alphanodus.com/contact?utm_source="&amp;IF(B65="X","twitter",LOWER(B65))&amp;"&amp;utm_medium=social&amp;utm_campaign="&amp;IF(E65="","general",LOWER(SUBSTITUTE(SUBSTITUTE(E65," / ","-")," ","-")))&amp;"&amp;utm_content="&amp;LOWER(C65))</f>
        <v/>
      </c>
    </row>
    <row r="66" customFormat="false" ht="15" hidden="false" customHeight="false" outlineLevel="0" collapsed="false">
      <c r="A66" s="29"/>
      <c r="B66" s="28"/>
      <c r="C66" s="28"/>
      <c r="D66" s="27"/>
      <c r="E66" s="28"/>
      <c r="F66" s="28"/>
      <c r="G66" s="28"/>
      <c r="H66" s="22"/>
      <c r="I66" s="22"/>
      <c r="J66" s="22"/>
      <c r="K66" s="22"/>
      <c r="L66" s="22"/>
      <c r="M66" s="22"/>
      <c r="N66" s="22"/>
      <c r="O66" s="22"/>
      <c r="P66" s="23" t="str">
        <f aca="false">IF(OR(A66="",B66="",C66=""),"",IF(COUNT(J66:N66)=0,"",SUM(J66:N66)))</f>
        <v/>
      </c>
      <c r="Q66" s="23" t="str">
        <f aca="false">IF(OR(A66="",B66="",C66=""),"",SUMIFS('Who Engaged'!$I$5:$I$1004,'Who Engaged'!$C$5:$C$1004,C66,'Who Engaged'!$O$5:$O$1004,"Yes")+SUMIFS('Who Engaged'!$J$5:$J$1004,'Who Engaged'!$C$5:$C$1004,C66,'Who Engaged'!$O$5:$O$1004,"Yes")+SUMIFS('Who Engaged'!$K$5:$K$1004,'Who Engaged'!$C$5:$C$1004,C66,'Who Engaged'!$O$5:$O$1004,"Yes")+SUMIFS('Who Engaged'!$L$5:$L$1004,'Who Engaged'!$C$5:$C$1004,C66,'Who Engaged'!$O$5:$O$1004,"Yes"))</f>
        <v/>
      </c>
      <c r="R66" s="23" t="str">
        <f aca="false">IF(OR(OR(A66="",B66="",C66=""),P66=""),"",MAX(0,P66-N(Q66)))</f>
        <v/>
      </c>
      <c r="S66" s="24" t="str">
        <f aca="false">IF(OR(OR(A66="",B66="",C66=""),R66=""),"",IFERROR(R66/(IF(N(H66)&gt;0,H66,IF(N(I66)&gt;0,I66,IF(COUNTIFS($B$16:$B$215,B66,$H$16:$H$215,"&gt;0")+COUNTIFS($B$16:$B$215,B66,$I$16:$I$215,"&gt;0")&gt;0,"",INDEX($B$5:$B$7,MATCH(B66,$A$5:$A$7,0)))))),""))</f>
        <v/>
      </c>
      <c r="T66" s="25" t="str">
        <f aca="false">IF(OR(A66="",B66="",C66=""),"",IF(OR(S66="",COUNTIFS($B$16:$B$215,B66,$S$16:$S$215,"&gt;=0")&lt;2),"No Data Yet",IFERROR(IF(S66/AVERAGEIFS($S$16:$S$215,$B$16:$B$215,B66)&gt;=1.2,"Good",IF(S66/AVERAGEIFS($S$16:$S$215,$B$16:$B$215,B66)&gt;=0.8,"Average","Below Standard")),"Average")))</f>
        <v/>
      </c>
      <c r="U66" s="23" t="str">
        <f aca="false">IF(OR(A66="",B66="",C66=""),"",COUNTIFS('Who Engaged'!$C$5:$C$1004,C66,'Who Engaged'!$P$5:$P$1004,"Yes",'Who Engaged'!$N$5:$N$1004,1))</f>
        <v/>
      </c>
      <c r="V66" s="23" t="str">
        <f aca="false">IF(OR(A66="",B66="",C66=""),"",COUNTIFS('Who Engaged'!$C$5:$C$1004,C66,'Who Engaged'!$P$5:$P$1004,"Yes",'Who Engaged'!$M$5:$M$1004,1))</f>
        <v/>
      </c>
      <c r="W66" s="26" t="str">
        <f aca="false" t="array" ref="W66:W66">IF(OR(A66="",B66="",C66=""),"",_xlfn.TEXTJOIN("; ",TRUE(),IF(('Who Engaged'!$C$5:$C$1004=C66)*('Who Engaged'!$P$5:$P$1004="Yes"),'Who Engaged'!$D$5:$D$1004&amp;" – "&amp;'Who Engaged'!$F$5:$F$1004&amp;IF('Who Engaged'!$M$5:$M$1004=1," (followed)",""),"")))</f>
        <v/>
      </c>
      <c r="X66" s="27"/>
      <c r="Y66" s="27"/>
      <c r="Z66" s="28"/>
      <c r="AA66" s="25" t="str">
        <f aca="false">IF(OR(A66="",B66="",C66=""),"","https://www.alphanodus.com/contact?utm_source="&amp;IF(B66="X","twitter",LOWER(B66))&amp;"&amp;utm_medium=social&amp;utm_campaign="&amp;IF(E66="","general",LOWER(SUBSTITUTE(SUBSTITUTE(E66," / ","-")," ","-")))&amp;"&amp;utm_content="&amp;LOWER(C66))</f>
        <v/>
      </c>
    </row>
    <row r="67" customFormat="false" ht="15" hidden="false" customHeight="false" outlineLevel="0" collapsed="false">
      <c r="A67" s="29"/>
      <c r="B67" s="28"/>
      <c r="C67" s="28"/>
      <c r="D67" s="27"/>
      <c r="E67" s="28"/>
      <c r="F67" s="28"/>
      <c r="G67" s="28"/>
      <c r="H67" s="22"/>
      <c r="I67" s="22"/>
      <c r="J67" s="22"/>
      <c r="K67" s="22"/>
      <c r="L67" s="22"/>
      <c r="M67" s="22"/>
      <c r="N67" s="22"/>
      <c r="O67" s="22"/>
      <c r="P67" s="23" t="str">
        <f aca="false">IF(OR(A67="",B67="",C67=""),"",IF(COUNT(J67:N67)=0,"",SUM(J67:N67)))</f>
        <v/>
      </c>
      <c r="Q67" s="23" t="str">
        <f aca="false">IF(OR(A67="",B67="",C67=""),"",SUMIFS('Who Engaged'!$I$5:$I$1004,'Who Engaged'!$C$5:$C$1004,C67,'Who Engaged'!$O$5:$O$1004,"Yes")+SUMIFS('Who Engaged'!$J$5:$J$1004,'Who Engaged'!$C$5:$C$1004,C67,'Who Engaged'!$O$5:$O$1004,"Yes")+SUMIFS('Who Engaged'!$K$5:$K$1004,'Who Engaged'!$C$5:$C$1004,C67,'Who Engaged'!$O$5:$O$1004,"Yes")+SUMIFS('Who Engaged'!$L$5:$L$1004,'Who Engaged'!$C$5:$C$1004,C67,'Who Engaged'!$O$5:$O$1004,"Yes"))</f>
        <v/>
      </c>
      <c r="R67" s="23" t="str">
        <f aca="false">IF(OR(OR(A67="",B67="",C67=""),P67=""),"",MAX(0,P67-N(Q67)))</f>
        <v/>
      </c>
      <c r="S67" s="24" t="str">
        <f aca="false">IF(OR(OR(A67="",B67="",C67=""),R67=""),"",IFERROR(R67/(IF(N(H67)&gt;0,H67,IF(N(I67)&gt;0,I67,IF(COUNTIFS($B$16:$B$215,B67,$H$16:$H$215,"&gt;0")+COUNTIFS($B$16:$B$215,B67,$I$16:$I$215,"&gt;0")&gt;0,"",INDEX($B$5:$B$7,MATCH(B67,$A$5:$A$7,0)))))),""))</f>
        <v/>
      </c>
      <c r="T67" s="25" t="str">
        <f aca="false">IF(OR(A67="",B67="",C67=""),"",IF(OR(S67="",COUNTIFS($B$16:$B$215,B67,$S$16:$S$215,"&gt;=0")&lt;2),"No Data Yet",IFERROR(IF(S67/AVERAGEIFS($S$16:$S$215,$B$16:$B$215,B67)&gt;=1.2,"Good",IF(S67/AVERAGEIFS($S$16:$S$215,$B$16:$B$215,B67)&gt;=0.8,"Average","Below Standard")),"Average")))</f>
        <v/>
      </c>
      <c r="U67" s="23" t="str">
        <f aca="false">IF(OR(A67="",B67="",C67=""),"",COUNTIFS('Who Engaged'!$C$5:$C$1004,C67,'Who Engaged'!$P$5:$P$1004,"Yes",'Who Engaged'!$N$5:$N$1004,1))</f>
        <v/>
      </c>
      <c r="V67" s="23" t="str">
        <f aca="false">IF(OR(A67="",B67="",C67=""),"",COUNTIFS('Who Engaged'!$C$5:$C$1004,C67,'Who Engaged'!$P$5:$P$1004,"Yes",'Who Engaged'!$M$5:$M$1004,1))</f>
        <v/>
      </c>
      <c r="W67" s="26" t="str">
        <f aca="false" t="array" ref="W67:W67">IF(OR(A67="",B67="",C67=""),"",_xlfn.TEXTJOIN("; ",TRUE(),IF(('Who Engaged'!$C$5:$C$1004=C67)*('Who Engaged'!$P$5:$P$1004="Yes"),'Who Engaged'!$D$5:$D$1004&amp;" – "&amp;'Who Engaged'!$F$5:$F$1004&amp;IF('Who Engaged'!$M$5:$M$1004=1," (followed)",""),"")))</f>
        <v/>
      </c>
      <c r="X67" s="27"/>
      <c r="Y67" s="27"/>
      <c r="Z67" s="28"/>
      <c r="AA67" s="25" t="str">
        <f aca="false">IF(OR(A67="",B67="",C67=""),"","https://www.alphanodus.com/contact?utm_source="&amp;IF(B67="X","twitter",LOWER(B67))&amp;"&amp;utm_medium=social&amp;utm_campaign="&amp;IF(E67="","general",LOWER(SUBSTITUTE(SUBSTITUTE(E67," / ","-")," ","-")))&amp;"&amp;utm_content="&amp;LOWER(C67))</f>
        <v/>
      </c>
    </row>
    <row r="68" customFormat="false" ht="15" hidden="false" customHeight="false" outlineLevel="0" collapsed="false">
      <c r="A68" s="29"/>
      <c r="B68" s="28"/>
      <c r="C68" s="28"/>
      <c r="D68" s="27"/>
      <c r="E68" s="28"/>
      <c r="F68" s="28"/>
      <c r="G68" s="28"/>
      <c r="H68" s="22"/>
      <c r="I68" s="22"/>
      <c r="J68" s="22"/>
      <c r="K68" s="22"/>
      <c r="L68" s="22"/>
      <c r="M68" s="22"/>
      <c r="N68" s="22"/>
      <c r="O68" s="22"/>
      <c r="P68" s="23" t="str">
        <f aca="false">IF(OR(A68="",B68="",C68=""),"",IF(COUNT(J68:N68)=0,"",SUM(J68:N68)))</f>
        <v/>
      </c>
      <c r="Q68" s="23" t="str">
        <f aca="false">IF(OR(A68="",B68="",C68=""),"",SUMIFS('Who Engaged'!$I$5:$I$1004,'Who Engaged'!$C$5:$C$1004,C68,'Who Engaged'!$O$5:$O$1004,"Yes")+SUMIFS('Who Engaged'!$J$5:$J$1004,'Who Engaged'!$C$5:$C$1004,C68,'Who Engaged'!$O$5:$O$1004,"Yes")+SUMIFS('Who Engaged'!$K$5:$K$1004,'Who Engaged'!$C$5:$C$1004,C68,'Who Engaged'!$O$5:$O$1004,"Yes")+SUMIFS('Who Engaged'!$L$5:$L$1004,'Who Engaged'!$C$5:$C$1004,C68,'Who Engaged'!$O$5:$O$1004,"Yes"))</f>
        <v/>
      </c>
      <c r="R68" s="23" t="str">
        <f aca="false">IF(OR(OR(A68="",B68="",C68=""),P68=""),"",MAX(0,P68-N(Q68)))</f>
        <v/>
      </c>
      <c r="S68" s="24" t="str">
        <f aca="false">IF(OR(OR(A68="",B68="",C68=""),R68=""),"",IFERROR(R68/(IF(N(H68)&gt;0,H68,IF(N(I68)&gt;0,I68,IF(COUNTIFS($B$16:$B$215,B68,$H$16:$H$215,"&gt;0")+COUNTIFS($B$16:$B$215,B68,$I$16:$I$215,"&gt;0")&gt;0,"",INDEX($B$5:$B$7,MATCH(B68,$A$5:$A$7,0)))))),""))</f>
        <v/>
      </c>
      <c r="T68" s="25" t="str">
        <f aca="false">IF(OR(A68="",B68="",C68=""),"",IF(OR(S68="",COUNTIFS($B$16:$B$215,B68,$S$16:$S$215,"&gt;=0")&lt;2),"No Data Yet",IFERROR(IF(S68/AVERAGEIFS($S$16:$S$215,$B$16:$B$215,B68)&gt;=1.2,"Good",IF(S68/AVERAGEIFS($S$16:$S$215,$B$16:$B$215,B68)&gt;=0.8,"Average","Below Standard")),"Average")))</f>
        <v/>
      </c>
      <c r="U68" s="23" t="str">
        <f aca="false">IF(OR(A68="",B68="",C68=""),"",COUNTIFS('Who Engaged'!$C$5:$C$1004,C68,'Who Engaged'!$P$5:$P$1004,"Yes",'Who Engaged'!$N$5:$N$1004,1))</f>
        <v/>
      </c>
      <c r="V68" s="23" t="str">
        <f aca="false">IF(OR(A68="",B68="",C68=""),"",COUNTIFS('Who Engaged'!$C$5:$C$1004,C68,'Who Engaged'!$P$5:$P$1004,"Yes",'Who Engaged'!$M$5:$M$1004,1))</f>
        <v/>
      </c>
      <c r="W68" s="26" t="str">
        <f aca="false" t="array" ref="W68:W68">IF(OR(A68="",B68="",C68=""),"",_xlfn.TEXTJOIN("; ",TRUE(),IF(('Who Engaged'!$C$5:$C$1004=C68)*('Who Engaged'!$P$5:$P$1004="Yes"),'Who Engaged'!$D$5:$D$1004&amp;" – "&amp;'Who Engaged'!$F$5:$F$1004&amp;IF('Who Engaged'!$M$5:$M$1004=1," (followed)",""),"")))</f>
        <v/>
      </c>
      <c r="X68" s="27"/>
      <c r="Y68" s="27"/>
      <c r="Z68" s="28"/>
      <c r="AA68" s="25" t="str">
        <f aca="false">IF(OR(A68="",B68="",C68=""),"","https://www.alphanodus.com/contact?utm_source="&amp;IF(B68="X","twitter",LOWER(B68))&amp;"&amp;utm_medium=social&amp;utm_campaign="&amp;IF(E68="","general",LOWER(SUBSTITUTE(SUBSTITUTE(E68," / ","-")," ","-")))&amp;"&amp;utm_content="&amp;LOWER(C68))</f>
        <v/>
      </c>
    </row>
    <row r="69" customFormat="false" ht="15" hidden="false" customHeight="false" outlineLevel="0" collapsed="false">
      <c r="A69" s="29"/>
      <c r="B69" s="28"/>
      <c r="C69" s="28"/>
      <c r="D69" s="27"/>
      <c r="E69" s="28"/>
      <c r="F69" s="28"/>
      <c r="G69" s="28"/>
      <c r="H69" s="22"/>
      <c r="I69" s="22"/>
      <c r="J69" s="22"/>
      <c r="K69" s="22"/>
      <c r="L69" s="22"/>
      <c r="M69" s="22"/>
      <c r="N69" s="22"/>
      <c r="O69" s="22"/>
      <c r="P69" s="23" t="str">
        <f aca="false">IF(OR(A69="",B69="",C69=""),"",IF(COUNT(J69:N69)=0,"",SUM(J69:N69)))</f>
        <v/>
      </c>
      <c r="Q69" s="23" t="str">
        <f aca="false">IF(OR(A69="",B69="",C69=""),"",SUMIFS('Who Engaged'!$I$5:$I$1004,'Who Engaged'!$C$5:$C$1004,C69,'Who Engaged'!$O$5:$O$1004,"Yes")+SUMIFS('Who Engaged'!$J$5:$J$1004,'Who Engaged'!$C$5:$C$1004,C69,'Who Engaged'!$O$5:$O$1004,"Yes")+SUMIFS('Who Engaged'!$K$5:$K$1004,'Who Engaged'!$C$5:$C$1004,C69,'Who Engaged'!$O$5:$O$1004,"Yes")+SUMIFS('Who Engaged'!$L$5:$L$1004,'Who Engaged'!$C$5:$C$1004,C69,'Who Engaged'!$O$5:$O$1004,"Yes"))</f>
        <v/>
      </c>
      <c r="R69" s="23" t="str">
        <f aca="false">IF(OR(OR(A69="",B69="",C69=""),P69=""),"",MAX(0,P69-N(Q69)))</f>
        <v/>
      </c>
      <c r="S69" s="24" t="str">
        <f aca="false">IF(OR(OR(A69="",B69="",C69=""),R69=""),"",IFERROR(R69/(IF(N(H69)&gt;0,H69,IF(N(I69)&gt;0,I69,IF(COUNTIFS($B$16:$B$215,B69,$H$16:$H$215,"&gt;0")+COUNTIFS($B$16:$B$215,B69,$I$16:$I$215,"&gt;0")&gt;0,"",INDEX($B$5:$B$7,MATCH(B69,$A$5:$A$7,0)))))),""))</f>
        <v/>
      </c>
      <c r="T69" s="25" t="str">
        <f aca="false">IF(OR(A69="",B69="",C69=""),"",IF(OR(S69="",COUNTIFS($B$16:$B$215,B69,$S$16:$S$215,"&gt;=0")&lt;2),"No Data Yet",IFERROR(IF(S69/AVERAGEIFS($S$16:$S$215,$B$16:$B$215,B69)&gt;=1.2,"Good",IF(S69/AVERAGEIFS($S$16:$S$215,$B$16:$B$215,B69)&gt;=0.8,"Average","Below Standard")),"Average")))</f>
        <v/>
      </c>
      <c r="U69" s="23" t="str">
        <f aca="false">IF(OR(A69="",B69="",C69=""),"",COUNTIFS('Who Engaged'!$C$5:$C$1004,C69,'Who Engaged'!$P$5:$P$1004,"Yes",'Who Engaged'!$N$5:$N$1004,1))</f>
        <v/>
      </c>
      <c r="V69" s="23" t="str">
        <f aca="false">IF(OR(A69="",B69="",C69=""),"",COUNTIFS('Who Engaged'!$C$5:$C$1004,C69,'Who Engaged'!$P$5:$P$1004,"Yes",'Who Engaged'!$M$5:$M$1004,1))</f>
        <v/>
      </c>
      <c r="W69" s="26" t="str">
        <f aca="false" t="array" ref="W69:W69">IF(OR(A69="",B69="",C69=""),"",_xlfn.TEXTJOIN("; ",TRUE(),IF(('Who Engaged'!$C$5:$C$1004=C69)*('Who Engaged'!$P$5:$P$1004="Yes"),'Who Engaged'!$D$5:$D$1004&amp;" – "&amp;'Who Engaged'!$F$5:$F$1004&amp;IF('Who Engaged'!$M$5:$M$1004=1," (followed)",""),"")))</f>
        <v/>
      </c>
      <c r="X69" s="27"/>
      <c r="Y69" s="27"/>
      <c r="Z69" s="28"/>
      <c r="AA69" s="25" t="str">
        <f aca="false">IF(OR(A69="",B69="",C69=""),"","https://www.alphanodus.com/contact?utm_source="&amp;IF(B69="X","twitter",LOWER(B69))&amp;"&amp;utm_medium=social&amp;utm_campaign="&amp;IF(E69="","general",LOWER(SUBSTITUTE(SUBSTITUTE(E69," / ","-")," ","-")))&amp;"&amp;utm_content="&amp;LOWER(C69))</f>
        <v/>
      </c>
    </row>
    <row r="70" customFormat="false" ht="15" hidden="false" customHeight="false" outlineLevel="0" collapsed="false">
      <c r="A70" s="29"/>
      <c r="B70" s="28"/>
      <c r="C70" s="28"/>
      <c r="D70" s="27"/>
      <c r="E70" s="28"/>
      <c r="F70" s="28"/>
      <c r="G70" s="28"/>
      <c r="H70" s="22"/>
      <c r="I70" s="22"/>
      <c r="J70" s="22"/>
      <c r="K70" s="22"/>
      <c r="L70" s="22"/>
      <c r="M70" s="22"/>
      <c r="N70" s="22"/>
      <c r="O70" s="22"/>
      <c r="P70" s="23" t="str">
        <f aca="false">IF(OR(A70="",B70="",C70=""),"",IF(COUNT(J70:N70)=0,"",SUM(J70:N70)))</f>
        <v/>
      </c>
      <c r="Q70" s="23" t="str">
        <f aca="false">IF(OR(A70="",B70="",C70=""),"",SUMIFS('Who Engaged'!$I$5:$I$1004,'Who Engaged'!$C$5:$C$1004,C70,'Who Engaged'!$O$5:$O$1004,"Yes")+SUMIFS('Who Engaged'!$J$5:$J$1004,'Who Engaged'!$C$5:$C$1004,C70,'Who Engaged'!$O$5:$O$1004,"Yes")+SUMIFS('Who Engaged'!$K$5:$K$1004,'Who Engaged'!$C$5:$C$1004,C70,'Who Engaged'!$O$5:$O$1004,"Yes")+SUMIFS('Who Engaged'!$L$5:$L$1004,'Who Engaged'!$C$5:$C$1004,C70,'Who Engaged'!$O$5:$O$1004,"Yes"))</f>
        <v/>
      </c>
      <c r="R70" s="23" t="str">
        <f aca="false">IF(OR(OR(A70="",B70="",C70=""),P70=""),"",MAX(0,P70-N(Q70)))</f>
        <v/>
      </c>
      <c r="S70" s="24" t="str">
        <f aca="false">IF(OR(OR(A70="",B70="",C70=""),R70=""),"",IFERROR(R70/(IF(N(H70)&gt;0,H70,IF(N(I70)&gt;0,I70,IF(COUNTIFS($B$16:$B$215,B70,$H$16:$H$215,"&gt;0")+COUNTIFS($B$16:$B$215,B70,$I$16:$I$215,"&gt;0")&gt;0,"",INDEX($B$5:$B$7,MATCH(B70,$A$5:$A$7,0)))))),""))</f>
        <v/>
      </c>
      <c r="T70" s="25" t="str">
        <f aca="false">IF(OR(A70="",B70="",C70=""),"",IF(OR(S70="",COUNTIFS($B$16:$B$215,B70,$S$16:$S$215,"&gt;=0")&lt;2),"No Data Yet",IFERROR(IF(S70/AVERAGEIFS($S$16:$S$215,$B$16:$B$215,B70)&gt;=1.2,"Good",IF(S70/AVERAGEIFS($S$16:$S$215,$B$16:$B$215,B70)&gt;=0.8,"Average","Below Standard")),"Average")))</f>
        <v/>
      </c>
      <c r="U70" s="23" t="str">
        <f aca="false">IF(OR(A70="",B70="",C70=""),"",COUNTIFS('Who Engaged'!$C$5:$C$1004,C70,'Who Engaged'!$P$5:$P$1004,"Yes",'Who Engaged'!$N$5:$N$1004,1))</f>
        <v/>
      </c>
      <c r="V70" s="23" t="str">
        <f aca="false">IF(OR(A70="",B70="",C70=""),"",COUNTIFS('Who Engaged'!$C$5:$C$1004,C70,'Who Engaged'!$P$5:$P$1004,"Yes",'Who Engaged'!$M$5:$M$1004,1))</f>
        <v/>
      </c>
      <c r="W70" s="26" t="str">
        <f aca="false" t="array" ref="W70:W70">IF(OR(A70="",B70="",C70=""),"",_xlfn.TEXTJOIN("; ",TRUE(),IF(('Who Engaged'!$C$5:$C$1004=C70)*('Who Engaged'!$P$5:$P$1004="Yes"),'Who Engaged'!$D$5:$D$1004&amp;" – "&amp;'Who Engaged'!$F$5:$F$1004&amp;IF('Who Engaged'!$M$5:$M$1004=1," (followed)",""),"")))</f>
        <v/>
      </c>
      <c r="X70" s="27"/>
      <c r="Y70" s="27"/>
      <c r="Z70" s="28"/>
      <c r="AA70" s="25" t="str">
        <f aca="false">IF(OR(A70="",B70="",C70=""),"","https://www.alphanodus.com/contact?utm_source="&amp;IF(B70="X","twitter",LOWER(B70))&amp;"&amp;utm_medium=social&amp;utm_campaign="&amp;IF(E70="","general",LOWER(SUBSTITUTE(SUBSTITUTE(E70," / ","-")," ","-")))&amp;"&amp;utm_content="&amp;LOWER(C70))</f>
        <v/>
      </c>
    </row>
    <row r="71" customFormat="false" ht="15" hidden="false" customHeight="false" outlineLevel="0" collapsed="false">
      <c r="A71" s="29"/>
      <c r="B71" s="28"/>
      <c r="C71" s="28"/>
      <c r="D71" s="27"/>
      <c r="E71" s="28"/>
      <c r="F71" s="28"/>
      <c r="G71" s="28"/>
      <c r="H71" s="22"/>
      <c r="I71" s="22"/>
      <c r="J71" s="22"/>
      <c r="K71" s="22"/>
      <c r="L71" s="22"/>
      <c r="M71" s="22"/>
      <c r="N71" s="22"/>
      <c r="O71" s="22"/>
      <c r="P71" s="23" t="str">
        <f aca="false">IF(OR(A71="",B71="",C71=""),"",IF(COUNT(J71:N71)=0,"",SUM(J71:N71)))</f>
        <v/>
      </c>
      <c r="Q71" s="23" t="str">
        <f aca="false">IF(OR(A71="",B71="",C71=""),"",SUMIFS('Who Engaged'!$I$5:$I$1004,'Who Engaged'!$C$5:$C$1004,C71,'Who Engaged'!$O$5:$O$1004,"Yes")+SUMIFS('Who Engaged'!$J$5:$J$1004,'Who Engaged'!$C$5:$C$1004,C71,'Who Engaged'!$O$5:$O$1004,"Yes")+SUMIFS('Who Engaged'!$K$5:$K$1004,'Who Engaged'!$C$5:$C$1004,C71,'Who Engaged'!$O$5:$O$1004,"Yes")+SUMIFS('Who Engaged'!$L$5:$L$1004,'Who Engaged'!$C$5:$C$1004,C71,'Who Engaged'!$O$5:$O$1004,"Yes"))</f>
        <v/>
      </c>
      <c r="R71" s="23" t="str">
        <f aca="false">IF(OR(OR(A71="",B71="",C71=""),P71=""),"",MAX(0,P71-N(Q71)))</f>
        <v/>
      </c>
      <c r="S71" s="24" t="str">
        <f aca="false">IF(OR(OR(A71="",B71="",C71=""),R71=""),"",IFERROR(R71/(IF(N(H71)&gt;0,H71,IF(N(I71)&gt;0,I71,IF(COUNTIFS($B$16:$B$215,B71,$H$16:$H$215,"&gt;0")+COUNTIFS($B$16:$B$215,B71,$I$16:$I$215,"&gt;0")&gt;0,"",INDEX($B$5:$B$7,MATCH(B71,$A$5:$A$7,0)))))),""))</f>
        <v/>
      </c>
      <c r="T71" s="25" t="str">
        <f aca="false">IF(OR(A71="",B71="",C71=""),"",IF(OR(S71="",COUNTIFS($B$16:$B$215,B71,$S$16:$S$215,"&gt;=0")&lt;2),"No Data Yet",IFERROR(IF(S71/AVERAGEIFS($S$16:$S$215,$B$16:$B$215,B71)&gt;=1.2,"Good",IF(S71/AVERAGEIFS($S$16:$S$215,$B$16:$B$215,B71)&gt;=0.8,"Average","Below Standard")),"Average")))</f>
        <v/>
      </c>
      <c r="U71" s="23" t="str">
        <f aca="false">IF(OR(A71="",B71="",C71=""),"",COUNTIFS('Who Engaged'!$C$5:$C$1004,C71,'Who Engaged'!$P$5:$P$1004,"Yes",'Who Engaged'!$N$5:$N$1004,1))</f>
        <v/>
      </c>
      <c r="V71" s="23" t="str">
        <f aca="false">IF(OR(A71="",B71="",C71=""),"",COUNTIFS('Who Engaged'!$C$5:$C$1004,C71,'Who Engaged'!$P$5:$P$1004,"Yes",'Who Engaged'!$M$5:$M$1004,1))</f>
        <v/>
      </c>
      <c r="W71" s="26" t="str">
        <f aca="false" t="array" ref="W71:W71">IF(OR(A71="",B71="",C71=""),"",_xlfn.TEXTJOIN("; ",TRUE(),IF(('Who Engaged'!$C$5:$C$1004=C71)*('Who Engaged'!$P$5:$P$1004="Yes"),'Who Engaged'!$D$5:$D$1004&amp;" – "&amp;'Who Engaged'!$F$5:$F$1004&amp;IF('Who Engaged'!$M$5:$M$1004=1," (followed)",""),"")))</f>
        <v/>
      </c>
      <c r="X71" s="27"/>
      <c r="Y71" s="27"/>
      <c r="Z71" s="28"/>
      <c r="AA71" s="25" t="str">
        <f aca="false">IF(OR(A71="",B71="",C71=""),"","https://www.alphanodus.com/contact?utm_source="&amp;IF(B71="X","twitter",LOWER(B71))&amp;"&amp;utm_medium=social&amp;utm_campaign="&amp;IF(E71="","general",LOWER(SUBSTITUTE(SUBSTITUTE(E71," / ","-")," ","-")))&amp;"&amp;utm_content="&amp;LOWER(C71))</f>
        <v/>
      </c>
    </row>
    <row r="72" customFormat="false" ht="15" hidden="false" customHeight="false" outlineLevel="0" collapsed="false">
      <c r="A72" s="29"/>
      <c r="B72" s="28"/>
      <c r="C72" s="28"/>
      <c r="D72" s="27"/>
      <c r="E72" s="28"/>
      <c r="F72" s="28"/>
      <c r="G72" s="28"/>
      <c r="H72" s="22"/>
      <c r="I72" s="22"/>
      <c r="J72" s="22"/>
      <c r="K72" s="22"/>
      <c r="L72" s="22"/>
      <c r="M72" s="22"/>
      <c r="N72" s="22"/>
      <c r="O72" s="22"/>
      <c r="P72" s="23" t="str">
        <f aca="false">IF(OR(A72="",B72="",C72=""),"",IF(COUNT(J72:N72)=0,"",SUM(J72:N72)))</f>
        <v/>
      </c>
      <c r="Q72" s="23" t="str">
        <f aca="false">IF(OR(A72="",B72="",C72=""),"",SUMIFS('Who Engaged'!$I$5:$I$1004,'Who Engaged'!$C$5:$C$1004,C72,'Who Engaged'!$O$5:$O$1004,"Yes")+SUMIFS('Who Engaged'!$J$5:$J$1004,'Who Engaged'!$C$5:$C$1004,C72,'Who Engaged'!$O$5:$O$1004,"Yes")+SUMIFS('Who Engaged'!$K$5:$K$1004,'Who Engaged'!$C$5:$C$1004,C72,'Who Engaged'!$O$5:$O$1004,"Yes")+SUMIFS('Who Engaged'!$L$5:$L$1004,'Who Engaged'!$C$5:$C$1004,C72,'Who Engaged'!$O$5:$O$1004,"Yes"))</f>
        <v/>
      </c>
      <c r="R72" s="23" t="str">
        <f aca="false">IF(OR(OR(A72="",B72="",C72=""),P72=""),"",MAX(0,P72-N(Q72)))</f>
        <v/>
      </c>
      <c r="S72" s="24" t="str">
        <f aca="false">IF(OR(OR(A72="",B72="",C72=""),R72=""),"",IFERROR(R72/(IF(N(H72)&gt;0,H72,IF(N(I72)&gt;0,I72,IF(COUNTIFS($B$16:$B$215,B72,$H$16:$H$215,"&gt;0")+COUNTIFS($B$16:$B$215,B72,$I$16:$I$215,"&gt;0")&gt;0,"",INDEX($B$5:$B$7,MATCH(B72,$A$5:$A$7,0)))))),""))</f>
        <v/>
      </c>
      <c r="T72" s="25" t="str">
        <f aca="false">IF(OR(A72="",B72="",C72=""),"",IF(OR(S72="",COUNTIFS($B$16:$B$215,B72,$S$16:$S$215,"&gt;=0")&lt;2),"No Data Yet",IFERROR(IF(S72/AVERAGEIFS($S$16:$S$215,$B$16:$B$215,B72)&gt;=1.2,"Good",IF(S72/AVERAGEIFS($S$16:$S$215,$B$16:$B$215,B72)&gt;=0.8,"Average","Below Standard")),"Average")))</f>
        <v/>
      </c>
      <c r="U72" s="23" t="str">
        <f aca="false">IF(OR(A72="",B72="",C72=""),"",COUNTIFS('Who Engaged'!$C$5:$C$1004,C72,'Who Engaged'!$P$5:$P$1004,"Yes",'Who Engaged'!$N$5:$N$1004,1))</f>
        <v/>
      </c>
      <c r="V72" s="23" t="str">
        <f aca="false">IF(OR(A72="",B72="",C72=""),"",COUNTIFS('Who Engaged'!$C$5:$C$1004,C72,'Who Engaged'!$P$5:$P$1004,"Yes",'Who Engaged'!$M$5:$M$1004,1))</f>
        <v/>
      </c>
      <c r="W72" s="26" t="str">
        <f aca="false" t="array" ref="W72:W72">IF(OR(A72="",B72="",C72=""),"",_xlfn.TEXTJOIN("; ",TRUE(),IF(('Who Engaged'!$C$5:$C$1004=C72)*('Who Engaged'!$P$5:$P$1004="Yes"),'Who Engaged'!$D$5:$D$1004&amp;" – "&amp;'Who Engaged'!$F$5:$F$1004&amp;IF('Who Engaged'!$M$5:$M$1004=1," (followed)",""),"")))</f>
        <v/>
      </c>
      <c r="X72" s="27"/>
      <c r="Y72" s="27"/>
      <c r="Z72" s="28"/>
      <c r="AA72" s="25" t="str">
        <f aca="false">IF(OR(A72="",B72="",C72=""),"","https://www.alphanodus.com/contact?utm_source="&amp;IF(B72="X","twitter",LOWER(B72))&amp;"&amp;utm_medium=social&amp;utm_campaign="&amp;IF(E72="","general",LOWER(SUBSTITUTE(SUBSTITUTE(E72," / ","-")," ","-")))&amp;"&amp;utm_content="&amp;LOWER(C72))</f>
        <v/>
      </c>
    </row>
    <row r="73" customFormat="false" ht="15" hidden="false" customHeight="false" outlineLevel="0" collapsed="false">
      <c r="A73" s="29"/>
      <c r="B73" s="28"/>
      <c r="C73" s="28"/>
      <c r="D73" s="27"/>
      <c r="E73" s="28"/>
      <c r="F73" s="28"/>
      <c r="G73" s="28"/>
      <c r="H73" s="22"/>
      <c r="I73" s="22"/>
      <c r="J73" s="22"/>
      <c r="K73" s="22"/>
      <c r="L73" s="22"/>
      <c r="M73" s="22"/>
      <c r="N73" s="22"/>
      <c r="O73" s="22"/>
      <c r="P73" s="23" t="str">
        <f aca="false">IF(OR(A73="",B73="",C73=""),"",IF(COUNT(J73:N73)=0,"",SUM(J73:N73)))</f>
        <v/>
      </c>
      <c r="Q73" s="23" t="str">
        <f aca="false">IF(OR(A73="",B73="",C73=""),"",SUMIFS('Who Engaged'!$I$5:$I$1004,'Who Engaged'!$C$5:$C$1004,C73,'Who Engaged'!$O$5:$O$1004,"Yes")+SUMIFS('Who Engaged'!$J$5:$J$1004,'Who Engaged'!$C$5:$C$1004,C73,'Who Engaged'!$O$5:$O$1004,"Yes")+SUMIFS('Who Engaged'!$K$5:$K$1004,'Who Engaged'!$C$5:$C$1004,C73,'Who Engaged'!$O$5:$O$1004,"Yes")+SUMIFS('Who Engaged'!$L$5:$L$1004,'Who Engaged'!$C$5:$C$1004,C73,'Who Engaged'!$O$5:$O$1004,"Yes"))</f>
        <v/>
      </c>
      <c r="R73" s="23" t="str">
        <f aca="false">IF(OR(OR(A73="",B73="",C73=""),P73=""),"",MAX(0,P73-N(Q73)))</f>
        <v/>
      </c>
      <c r="S73" s="24" t="str">
        <f aca="false">IF(OR(OR(A73="",B73="",C73=""),R73=""),"",IFERROR(R73/(IF(N(H73)&gt;0,H73,IF(N(I73)&gt;0,I73,IF(COUNTIFS($B$16:$B$215,B73,$H$16:$H$215,"&gt;0")+COUNTIFS($B$16:$B$215,B73,$I$16:$I$215,"&gt;0")&gt;0,"",INDEX($B$5:$B$7,MATCH(B73,$A$5:$A$7,0)))))),""))</f>
        <v/>
      </c>
      <c r="T73" s="25" t="str">
        <f aca="false">IF(OR(A73="",B73="",C73=""),"",IF(OR(S73="",COUNTIFS($B$16:$B$215,B73,$S$16:$S$215,"&gt;=0")&lt;2),"No Data Yet",IFERROR(IF(S73/AVERAGEIFS($S$16:$S$215,$B$16:$B$215,B73)&gt;=1.2,"Good",IF(S73/AVERAGEIFS($S$16:$S$215,$B$16:$B$215,B73)&gt;=0.8,"Average","Below Standard")),"Average")))</f>
        <v/>
      </c>
      <c r="U73" s="23" t="str">
        <f aca="false">IF(OR(A73="",B73="",C73=""),"",COUNTIFS('Who Engaged'!$C$5:$C$1004,C73,'Who Engaged'!$P$5:$P$1004,"Yes",'Who Engaged'!$N$5:$N$1004,1))</f>
        <v/>
      </c>
      <c r="V73" s="23" t="str">
        <f aca="false">IF(OR(A73="",B73="",C73=""),"",COUNTIFS('Who Engaged'!$C$5:$C$1004,C73,'Who Engaged'!$P$5:$P$1004,"Yes",'Who Engaged'!$M$5:$M$1004,1))</f>
        <v/>
      </c>
      <c r="W73" s="26" t="str">
        <f aca="false" t="array" ref="W73:W73">IF(OR(A73="",B73="",C73=""),"",_xlfn.TEXTJOIN("; ",TRUE(),IF(('Who Engaged'!$C$5:$C$1004=C73)*('Who Engaged'!$P$5:$P$1004="Yes"),'Who Engaged'!$D$5:$D$1004&amp;" – "&amp;'Who Engaged'!$F$5:$F$1004&amp;IF('Who Engaged'!$M$5:$M$1004=1," (followed)",""),"")))</f>
        <v/>
      </c>
      <c r="X73" s="27"/>
      <c r="Y73" s="27"/>
      <c r="Z73" s="28"/>
      <c r="AA73" s="25" t="str">
        <f aca="false">IF(OR(A73="",B73="",C73=""),"","https://www.alphanodus.com/contact?utm_source="&amp;IF(B73="X","twitter",LOWER(B73))&amp;"&amp;utm_medium=social&amp;utm_campaign="&amp;IF(E73="","general",LOWER(SUBSTITUTE(SUBSTITUTE(E73," / ","-")," ","-")))&amp;"&amp;utm_content="&amp;LOWER(C73))</f>
        <v/>
      </c>
    </row>
    <row r="74" customFormat="false" ht="15" hidden="false" customHeight="false" outlineLevel="0" collapsed="false">
      <c r="A74" s="29"/>
      <c r="B74" s="28"/>
      <c r="C74" s="28"/>
      <c r="D74" s="27"/>
      <c r="E74" s="28"/>
      <c r="F74" s="28"/>
      <c r="G74" s="28"/>
      <c r="H74" s="22"/>
      <c r="I74" s="22"/>
      <c r="J74" s="22"/>
      <c r="K74" s="22"/>
      <c r="L74" s="22"/>
      <c r="M74" s="22"/>
      <c r="N74" s="22"/>
      <c r="O74" s="22"/>
      <c r="P74" s="23" t="str">
        <f aca="false">IF(OR(A74="",B74="",C74=""),"",IF(COUNT(J74:N74)=0,"",SUM(J74:N74)))</f>
        <v/>
      </c>
      <c r="Q74" s="23" t="str">
        <f aca="false">IF(OR(A74="",B74="",C74=""),"",SUMIFS('Who Engaged'!$I$5:$I$1004,'Who Engaged'!$C$5:$C$1004,C74,'Who Engaged'!$O$5:$O$1004,"Yes")+SUMIFS('Who Engaged'!$J$5:$J$1004,'Who Engaged'!$C$5:$C$1004,C74,'Who Engaged'!$O$5:$O$1004,"Yes")+SUMIFS('Who Engaged'!$K$5:$K$1004,'Who Engaged'!$C$5:$C$1004,C74,'Who Engaged'!$O$5:$O$1004,"Yes")+SUMIFS('Who Engaged'!$L$5:$L$1004,'Who Engaged'!$C$5:$C$1004,C74,'Who Engaged'!$O$5:$O$1004,"Yes"))</f>
        <v/>
      </c>
      <c r="R74" s="23" t="str">
        <f aca="false">IF(OR(OR(A74="",B74="",C74=""),P74=""),"",MAX(0,P74-N(Q74)))</f>
        <v/>
      </c>
      <c r="S74" s="24" t="str">
        <f aca="false">IF(OR(OR(A74="",B74="",C74=""),R74=""),"",IFERROR(R74/(IF(N(H74)&gt;0,H74,IF(N(I74)&gt;0,I74,IF(COUNTIFS($B$16:$B$215,B74,$H$16:$H$215,"&gt;0")+COUNTIFS($B$16:$B$215,B74,$I$16:$I$215,"&gt;0")&gt;0,"",INDEX($B$5:$B$7,MATCH(B74,$A$5:$A$7,0)))))),""))</f>
        <v/>
      </c>
      <c r="T74" s="25" t="str">
        <f aca="false">IF(OR(A74="",B74="",C74=""),"",IF(OR(S74="",COUNTIFS($B$16:$B$215,B74,$S$16:$S$215,"&gt;=0")&lt;2),"No Data Yet",IFERROR(IF(S74/AVERAGEIFS($S$16:$S$215,$B$16:$B$215,B74)&gt;=1.2,"Good",IF(S74/AVERAGEIFS($S$16:$S$215,$B$16:$B$215,B74)&gt;=0.8,"Average","Below Standard")),"Average")))</f>
        <v/>
      </c>
      <c r="U74" s="23" t="str">
        <f aca="false">IF(OR(A74="",B74="",C74=""),"",COUNTIFS('Who Engaged'!$C$5:$C$1004,C74,'Who Engaged'!$P$5:$P$1004,"Yes",'Who Engaged'!$N$5:$N$1004,1))</f>
        <v/>
      </c>
      <c r="V74" s="23" t="str">
        <f aca="false">IF(OR(A74="",B74="",C74=""),"",COUNTIFS('Who Engaged'!$C$5:$C$1004,C74,'Who Engaged'!$P$5:$P$1004,"Yes",'Who Engaged'!$M$5:$M$1004,1))</f>
        <v/>
      </c>
      <c r="W74" s="26" t="str">
        <f aca="false" t="array" ref="W74:W74">IF(OR(A74="",B74="",C74=""),"",_xlfn.TEXTJOIN("; ",TRUE(),IF(('Who Engaged'!$C$5:$C$1004=C74)*('Who Engaged'!$P$5:$P$1004="Yes"),'Who Engaged'!$D$5:$D$1004&amp;" – "&amp;'Who Engaged'!$F$5:$F$1004&amp;IF('Who Engaged'!$M$5:$M$1004=1," (followed)",""),"")))</f>
        <v/>
      </c>
      <c r="X74" s="27"/>
      <c r="Y74" s="27"/>
      <c r="Z74" s="28"/>
      <c r="AA74" s="25" t="str">
        <f aca="false">IF(OR(A74="",B74="",C74=""),"","https://www.alphanodus.com/contact?utm_source="&amp;IF(B74="X","twitter",LOWER(B74))&amp;"&amp;utm_medium=social&amp;utm_campaign="&amp;IF(E74="","general",LOWER(SUBSTITUTE(SUBSTITUTE(E74," / ","-")," ","-")))&amp;"&amp;utm_content="&amp;LOWER(C74))</f>
        <v/>
      </c>
    </row>
    <row r="75" customFormat="false" ht="15" hidden="false" customHeight="false" outlineLevel="0" collapsed="false">
      <c r="A75" s="29"/>
      <c r="B75" s="28"/>
      <c r="C75" s="28"/>
      <c r="D75" s="27"/>
      <c r="E75" s="28"/>
      <c r="F75" s="28"/>
      <c r="G75" s="28"/>
      <c r="H75" s="22"/>
      <c r="I75" s="22"/>
      <c r="J75" s="22"/>
      <c r="K75" s="22"/>
      <c r="L75" s="22"/>
      <c r="M75" s="22"/>
      <c r="N75" s="22"/>
      <c r="O75" s="22"/>
      <c r="P75" s="23" t="str">
        <f aca="false">IF(OR(A75="",B75="",C75=""),"",IF(COUNT(J75:N75)=0,"",SUM(J75:N75)))</f>
        <v/>
      </c>
      <c r="Q75" s="23" t="str">
        <f aca="false">IF(OR(A75="",B75="",C75=""),"",SUMIFS('Who Engaged'!$I$5:$I$1004,'Who Engaged'!$C$5:$C$1004,C75,'Who Engaged'!$O$5:$O$1004,"Yes")+SUMIFS('Who Engaged'!$J$5:$J$1004,'Who Engaged'!$C$5:$C$1004,C75,'Who Engaged'!$O$5:$O$1004,"Yes")+SUMIFS('Who Engaged'!$K$5:$K$1004,'Who Engaged'!$C$5:$C$1004,C75,'Who Engaged'!$O$5:$O$1004,"Yes")+SUMIFS('Who Engaged'!$L$5:$L$1004,'Who Engaged'!$C$5:$C$1004,C75,'Who Engaged'!$O$5:$O$1004,"Yes"))</f>
        <v/>
      </c>
      <c r="R75" s="23" t="str">
        <f aca="false">IF(OR(OR(A75="",B75="",C75=""),P75=""),"",MAX(0,P75-N(Q75)))</f>
        <v/>
      </c>
      <c r="S75" s="24" t="str">
        <f aca="false">IF(OR(OR(A75="",B75="",C75=""),R75=""),"",IFERROR(R75/(IF(N(H75)&gt;0,H75,IF(N(I75)&gt;0,I75,IF(COUNTIFS($B$16:$B$215,B75,$H$16:$H$215,"&gt;0")+COUNTIFS($B$16:$B$215,B75,$I$16:$I$215,"&gt;0")&gt;0,"",INDEX($B$5:$B$7,MATCH(B75,$A$5:$A$7,0)))))),""))</f>
        <v/>
      </c>
      <c r="T75" s="25" t="str">
        <f aca="false">IF(OR(A75="",B75="",C75=""),"",IF(OR(S75="",COUNTIFS($B$16:$B$215,B75,$S$16:$S$215,"&gt;=0")&lt;2),"No Data Yet",IFERROR(IF(S75/AVERAGEIFS($S$16:$S$215,$B$16:$B$215,B75)&gt;=1.2,"Good",IF(S75/AVERAGEIFS($S$16:$S$215,$B$16:$B$215,B75)&gt;=0.8,"Average","Below Standard")),"Average")))</f>
        <v/>
      </c>
      <c r="U75" s="23" t="str">
        <f aca="false">IF(OR(A75="",B75="",C75=""),"",COUNTIFS('Who Engaged'!$C$5:$C$1004,C75,'Who Engaged'!$P$5:$P$1004,"Yes",'Who Engaged'!$N$5:$N$1004,1))</f>
        <v/>
      </c>
      <c r="V75" s="23" t="str">
        <f aca="false">IF(OR(A75="",B75="",C75=""),"",COUNTIFS('Who Engaged'!$C$5:$C$1004,C75,'Who Engaged'!$P$5:$P$1004,"Yes",'Who Engaged'!$M$5:$M$1004,1))</f>
        <v/>
      </c>
      <c r="W75" s="26" t="str">
        <f aca="false" t="array" ref="W75:W75">IF(OR(A75="",B75="",C75=""),"",_xlfn.TEXTJOIN("; ",TRUE(),IF(('Who Engaged'!$C$5:$C$1004=C75)*('Who Engaged'!$P$5:$P$1004="Yes"),'Who Engaged'!$D$5:$D$1004&amp;" – "&amp;'Who Engaged'!$F$5:$F$1004&amp;IF('Who Engaged'!$M$5:$M$1004=1," (followed)",""),"")))</f>
        <v/>
      </c>
      <c r="X75" s="27"/>
      <c r="Y75" s="27"/>
      <c r="Z75" s="28"/>
      <c r="AA75" s="25" t="str">
        <f aca="false">IF(OR(A75="",B75="",C75=""),"","https://www.alphanodus.com/contact?utm_source="&amp;IF(B75="X","twitter",LOWER(B75))&amp;"&amp;utm_medium=social&amp;utm_campaign="&amp;IF(E75="","general",LOWER(SUBSTITUTE(SUBSTITUTE(E75," / ","-")," ","-")))&amp;"&amp;utm_content="&amp;LOWER(C75))</f>
        <v/>
      </c>
    </row>
    <row r="76" customFormat="false" ht="15" hidden="false" customHeight="false" outlineLevel="0" collapsed="false">
      <c r="A76" s="29"/>
      <c r="B76" s="28"/>
      <c r="C76" s="28"/>
      <c r="D76" s="27"/>
      <c r="E76" s="28"/>
      <c r="F76" s="28"/>
      <c r="G76" s="28"/>
      <c r="H76" s="22"/>
      <c r="I76" s="22"/>
      <c r="J76" s="22"/>
      <c r="K76" s="22"/>
      <c r="L76" s="22"/>
      <c r="M76" s="22"/>
      <c r="N76" s="22"/>
      <c r="O76" s="22"/>
      <c r="P76" s="23" t="str">
        <f aca="false">IF(OR(A76="",B76="",C76=""),"",IF(COUNT(J76:N76)=0,"",SUM(J76:N76)))</f>
        <v/>
      </c>
      <c r="Q76" s="23" t="str">
        <f aca="false">IF(OR(A76="",B76="",C76=""),"",SUMIFS('Who Engaged'!$I$5:$I$1004,'Who Engaged'!$C$5:$C$1004,C76,'Who Engaged'!$O$5:$O$1004,"Yes")+SUMIFS('Who Engaged'!$J$5:$J$1004,'Who Engaged'!$C$5:$C$1004,C76,'Who Engaged'!$O$5:$O$1004,"Yes")+SUMIFS('Who Engaged'!$K$5:$K$1004,'Who Engaged'!$C$5:$C$1004,C76,'Who Engaged'!$O$5:$O$1004,"Yes")+SUMIFS('Who Engaged'!$L$5:$L$1004,'Who Engaged'!$C$5:$C$1004,C76,'Who Engaged'!$O$5:$O$1004,"Yes"))</f>
        <v/>
      </c>
      <c r="R76" s="23" t="str">
        <f aca="false">IF(OR(OR(A76="",B76="",C76=""),P76=""),"",MAX(0,P76-N(Q76)))</f>
        <v/>
      </c>
      <c r="S76" s="24" t="str">
        <f aca="false">IF(OR(OR(A76="",B76="",C76=""),R76=""),"",IFERROR(R76/(IF(N(H76)&gt;0,H76,IF(N(I76)&gt;0,I76,IF(COUNTIFS($B$16:$B$215,B76,$H$16:$H$215,"&gt;0")+COUNTIFS($B$16:$B$215,B76,$I$16:$I$215,"&gt;0")&gt;0,"",INDEX($B$5:$B$7,MATCH(B76,$A$5:$A$7,0)))))),""))</f>
        <v/>
      </c>
      <c r="T76" s="25" t="str">
        <f aca="false">IF(OR(A76="",B76="",C76=""),"",IF(OR(S76="",COUNTIFS($B$16:$B$215,B76,$S$16:$S$215,"&gt;=0")&lt;2),"No Data Yet",IFERROR(IF(S76/AVERAGEIFS($S$16:$S$215,$B$16:$B$215,B76)&gt;=1.2,"Good",IF(S76/AVERAGEIFS($S$16:$S$215,$B$16:$B$215,B76)&gt;=0.8,"Average","Below Standard")),"Average")))</f>
        <v/>
      </c>
      <c r="U76" s="23" t="str">
        <f aca="false">IF(OR(A76="",B76="",C76=""),"",COUNTIFS('Who Engaged'!$C$5:$C$1004,C76,'Who Engaged'!$P$5:$P$1004,"Yes",'Who Engaged'!$N$5:$N$1004,1))</f>
        <v/>
      </c>
      <c r="V76" s="23" t="str">
        <f aca="false">IF(OR(A76="",B76="",C76=""),"",COUNTIFS('Who Engaged'!$C$5:$C$1004,C76,'Who Engaged'!$P$5:$P$1004,"Yes",'Who Engaged'!$M$5:$M$1004,1))</f>
        <v/>
      </c>
      <c r="W76" s="26" t="str">
        <f aca="false" t="array" ref="W76:W76">IF(OR(A76="",B76="",C76=""),"",_xlfn.TEXTJOIN("; ",TRUE(),IF(('Who Engaged'!$C$5:$C$1004=C76)*('Who Engaged'!$P$5:$P$1004="Yes"),'Who Engaged'!$D$5:$D$1004&amp;" – "&amp;'Who Engaged'!$F$5:$F$1004&amp;IF('Who Engaged'!$M$5:$M$1004=1," (followed)",""),"")))</f>
        <v/>
      </c>
      <c r="X76" s="27"/>
      <c r="Y76" s="27"/>
      <c r="Z76" s="28"/>
      <c r="AA76" s="25" t="str">
        <f aca="false">IF(OR(A76="",B76="",C76=""),"","https://www.alphanodus.com/contact?utm_source="&amp;IF(B76="X","twitter",LOWER(B76))&amp;"&amp;utm_medium=social&amp;utm_campaign="&amp;IF(E76="","general",LOWER(SUBSTITUTE(SUBSTITUTE(E76," / ","-")," ","-")))&amp;"&amp;utm_content="&amp;LOWER(C76))</f>
        <v/>
      </c>
    </row>
    <row r="77" customFormat="false" ht="15" hidden="false" customHeight="false" outlineLevel="0" collapsed="false">
      <c r="A77" s="29"/>
      <c r="B77" s="28"/>
      <c r="C77" s="28"/>
      <c r="D77" s="27"/>
      <c r="E77" s="28"/>
      <c r="F77" s="28"/>
      <c r="G77" s="28"/>
      <c r="H77" s="22"/>
      <c r="I77" s="22"/>
      <c r="J77" s="22"/>
      <c r="K77" s="22"/>
      <c r="L77" s="22"/>
      <c r="M77" s="22"/>
      <c r="N77" s="22"/>
      <c r="O77" s="22"/>
      <c r="P77" s="23" t="str">
        <f aca="false">IF(OR(A77="",B77="",C77=""),"",IF(COUNT(J77:N77)=0,"",SUM(J77:N77)))</f>
        <v/>
      </c>
      <c r="Q77" s="23" t="str">
        <f aca="false">IF(OR(A77="",B77="",C77=""),"",SUMIFS('Who Engaged'!$I$5:$I$1004,'Who Engaged'!$C$5:$C$1004,C77,'Who Engaged'!$O$5:$O$1004,"Yes")+SUMIFS('Who Engaged'!$J$5:$J$1004,'Who Engaged'!$C$5:$C$1004,C77,'Who Engaged'!$O$5:$O$1004,"Yes")+SUMIFS('Who Engaged'!$K$5:$K$1004,'Who Engaged'!$C$5:$C$1004,C77,'Who Engaged'!$O$5:$O$1004,"Yes")+SUMIFS('Who Engaged'!$L$5:$L$1004,'Who Engaged'!$C$5:$C$1004,C77,'Who Engaged'!$O$5:$O$1004,"Yes"))</f>
        <v/>
      </c>
      <c r="R77" s="23" t="str">
        <f aca="false">IF(OR(OR(A77="",B77="",C77=""),P77=""),"",MAX(0,P77-N(Q77)))</f>
        <v/>
      </c>
      <c r="S77" s="24" t="str">
        <f aca="false">IF(OR(OR(A77="",B77="",C77=""),R77=""),"",IFERROR(R77/(IF(N(H77)&gt;0,H77,IF(N(I77)&gt;0,I77,IF(COUNTIFS($B$16:$B$215,B77,$H$16:$H$215,"&gt;0")+COUNTIFS($B$16:$B$215,B77,$I$16:$I$215,"&gt;0")&gt;0,"",INDEX($B$5:$B$7,MATCH(B77,$A$5:$A$7,0)))))),""))</f>
        <v/>
      </c>
      <c r="T77" s="25" t="str">
        <f aca="false">IF(OR(A77="",B77="",C77=""),"",IF(OR(S77="",COUNTIFS($B$16:$B$215,B77,$S$16:$S$215,"&gt;=0")&lt;2),"No Data Yet",IFERROR(IF(S77/AVERAGEIFS($S$16:$S$215,$B$16:$B$215,B77)&gt;=1.2,"Good",IF(S77/AVERAGEIFS($S$16:$S$215,$B$16:$B$215,B77)&gt;=0.8,"Average","Below Standard")),"Average")))</f>
        <v/>
      </c>
      <c r="U77" s="23" t="str">
        <f aca="false">IF(OR(A77="",B77="",C77=""),"",COUNTIFS('Who Engaged'!$C$5:$C$1004,C77,'Who Engaged'!$P$5:$P$1004,"Yes",'Who Engaged'!$N$5:$N$1004,1))</f>
        <v/>
      </c>
      <c r="V77" s="23" t="str">
        <f aca="false">IF(OR(A77="",B77="",C77=""),"",COUNTIFS('Who Engaged'!$C$5:$C$1004,C77,'Who Engaged'!$P$5:$P$1004,"Yes",'Who Engaged'!$M$5:$M$1004,1))</f>
        <v/>
      </c>
      <c r="W77" s="26" t="str">
        <f aca="false" t="array" ref="W77:W77">IF(OR(A77="",B77="",C77=""),"",_xlfn.TEXTJOIN("; ",TRUE(),IF(('Who Engaged'!$C$5:$C$1004=C77)*('Who Engaged'!$P$5:$P$1004="Yes"),'Who Engaged'!$D$5:$D$1004&amp;" – "&amp;'Who Engaged'!$F$5:$F$1004&amp;IF('Who Engaged'!$M$5:$M$1004=1," (followed)",""),"")))</f>
        <v/>
      </c>
      <c r="X77" s="27"/>
      <c r="Y77" s="27"/>
      <c r="Z77" s="28"/>
      <c r="AA77" s="25" t="str">
        <f aca="false">IF(OR(A77="",B77="",C77=""),"","https://www.alphanodus.com/contact?utm_source="&amp;IF(B77="X","twitter",LOWER(B77))&amp;"&amp;utm_medium=social&amp;utm_campaign="&amp;IF(E77="","general",LOWER(SUBSTITUTE(SUBSTITUTE(E77," / ","-")," ","-")))&amp;"&amp;utm_content="&amp;LOWER(C77))</f>
        <v/>
      </c>
    </row>
    <row r="78" customFormat="false" ht="15" hidden="false" customHeight="false" outlineLevel="0" collapsed="false">
      <c r="A78" s="29"/>
      <c r="B78" s="28"/>
      <c r="C78" s="28"/>
      <c r="D78" s="27"/>
      <c r="E78" s="28"/>
      <c r="F78" s="28"/>
      <c r="G78" s="28"/>
      <c r="H78" s="22"/>
      <c r="I78" s="22"/>
      <c r="J78" s="22"/>
      <c r="K78" s="22"/>
      <c r="L78" s="22"/>
      <c r="M78" s="22"/>
      <c r="N78" s="22"/>
      <c r="O78" s="22"/>
      <c r="P78" s="23" t="str">
        <f aca="false">IF(OR(A78="",B78="",C78=""),"",IF(COUNT(J78:N78)=0,"",SUM(J78:N78)))</f>
        <v/>
      </c>
      <c r="Q78" s="23" t="str">
        <f aca="false">IF(OR(A78="",B78="",C78=""),"",SUMIFS('Who Engaged'!$I$5:$I$1004,'Who Engaged'!$C$5:$C$1004,C78,'Who Engaged'!$O$5:$O$1004,"Yes")+SUMIFS('Who Engaged'!$J$5:$J$1004,'Who Engaged'!$C$5:$C$1004,C78,'Who Engaged'!$O$5:$O$1004,"Yes")+SUMIFS('Who Engaged'!$K$5:$K$1004,'Who Engaged'!$C$5:$C$1004,C78,'Who Engaged'!$O$5:$O$1004,"Yes")+SUMIFS('Who Engaged'!$L$5:$L$1004,'Who Engaged'!$C$5:$C$1004,C78,'Who Engaged'!$O$5:$O$1004,"Yes"))</f>
        <v/>
      </c>
      <c r="R78" s="23" t="str">
        <f aca="false">IF(OR(OR(A78="",B78="",C78=""),P78=""),"",MAX(0,P78-N(Q78)))</f>
        <v/>
      </c>
      <c r="S78" s="24" t="str">
        <f aca="false">IF(OR(OR(A78="",B78="",C78=""),R78=""),"",IFERROR(R78/(IF(N(H78)&gt;0,H78,IF(N(I78)&gt;0,I78,IF(COUNTIFS($B$16:$B$215,B78,$H$16:$H$215,"&gt;0")+COUNTIFS($B$16:$B$215,B78,$I$16:$I$215,"&gt;0")&gt;0,"",INDEX($B$5:$B$7,MATCH(B78,$A$5:$A$7,0)))))),""))</f>
        <v/>
      </c>
      <c r="T78" s="25" t="str">
        <f aca="false">IF(OR(A78="",B78="",C78=""),"",IF(OR(S78="",COUNTIFS($B$16:$B$215,B78,$S$16:$S$215,"&gt;=0")&lt;2),"No Data Yet",IFERROR(IF(S78/AVERAGEIFS($S$16:$S$215,$B$16:$B$215,B78)&gt;=1.2,"Good",IF(S78/AVERAGEIFS($S$16:$S$215,$B$16:$B$215,B78)&gt;=0.8,"Average","Below Standard")),"Average")))</f>
        <v/>
      </c>
      <c r="U78" s="23" t="str">
        <f aca="false">IF(OR(A78="",B78="",C78=""),"",COUNTIFS('Who Engaged'!$C$5:$C$1004,C78,'Who Engaged'!$P$5:$P$1004,"Yes",'Who Engaged'!$N$5:$N$1004,1))</f>
        <v/>
      </c>
      <c r="V78" s="23" t="str">
        <f aca="false">IF(OR(A78="",B78="",C78=""),"",COUNTIFS('Who Engaged'!$C$5:$C$1004,C78,'Who Engaged'!$P$5:$P$1004,"Yes",'Who Engaged'!$M$5:$M$1004,1))</f>
        <v/>
      </c>
      <c r="W78" s="26" t="str">
        <f aca="false" t="array" ref="W78:W78">IF(OR(A78="",B78="",C78=""),"",_xlfn.TEXTJOIN("; ",TRUE(),IF(('Who Engaged'!$C$5:$C$1004=C78)*('Who Engaged'!$P$5:$P$1004="Yes"),'Who Engaged'!$D$5:$D$1004&amp;" – "&amp;'Who Engaged'!$F$5:$F$1004&amp;IF('Who Engaged'!$M$5:$M$1004=1," (followed)",""),"")))</f>
        <v/>
      </c>
      <c r="X78" s="27"/>
      <c r="Y78" s="27"/>
      <c r="Z78" s="28"/>
      <c r="AA78" s="25" t="str">
        <f aca="false">IF(OR(A78="",B78="",C78=""),"","https://www.alphanodus.com/contact?utm_source="&amp;IF(B78="X","twitter",LOWER(B78))&amp;"&amp;utm_medium=social&amp;utm_campaign="&amp;IF(E78="","general",LOWER(SUBSTITUTE(SUBSTITUTE(E78," / ","-")," ","-")))&amp;"&amp;utm_content="&amp;LOWER(C78))</f>
        <v/>
      </c>
    </row>
    <row r="79" customFormat="false" ht="15" hidden="false" customHeight="false" outlineLevel="0" collapsed="false">
      <c r="A79" s="29"/>
      <c r="B79" s="28"/>
      <c r="C79" s="28"/>
      <c r="D79" s="27"/>
      <c r="E79" s="28"/>
      <c r="F79" s="28"/>
      <c r="G79" s="28"/>
      <c r="H79" s="22"/>
      <c r="I79" s="22"/>
      <c r="J79" s="22"/>
      <c r="K79" s="22"/>
      <c r="L79" s="22"/>
      <c r="M79" s="22"/>
      <c r="N79" s="22"/>
      <c r="O79" s="22"/>
      <c r="P79" s="23" t="str">
        <f aca="false">IF(OR(A79="",B79="",C79=""),"",IF(COUNT(J79:N79)=0,"",SUM(J79:N79)))</f>
        <v/>
      </c>
      <c r="Q79" s="23" t="str">
        <f aca="false">IF(OR(A79="",B79="",C79=""),"",SUMIFS('Who Engaged'!$I$5:$I$1004,'Who Engaged'!$C$5:$C$1004,C79,'Who Engaged'!$O$5:$O$1004,"Yes")+SUMIFS('Who Engaged'!$J$5:$J$1004,'Who Engaged'!$C$5:$C$1004,C79,'Who Engaged'!$O$5:$O$1004,"Yes")+SUMIFS('Who Engaged'!$K$5:$K$1004,'Who Engaged'!$C$5:$C$1004,C79,'Who Engaged'!$O$5:$O$1004,"Yes")+SUMIFS('Who Engaged'!$L$5:$L$1004,'Who Engaged'!$C$5:$C$1004,C79,'Who Engaged'!$O$5:$O$1004,"Yes"))</f>
        <v/>
      </c>
      <c r="R79" s="23" t="str">
        <f aca="false">IF(OR(OR(A79="",B79="",C79=""),P79=""),"",MAX(0,P79-N(Q79)))</f>
        <v/>
      </c>
      <c r="S79" s="24" t="str">
        <f aca="false">IF(OR(OR(A79="",B79="",C79=""),R79=""),"",IFERROR(R79/(IF(N(H79)&gt;0,H79,IF(N(I79)&gt;0,I79,IF(COUNTIFS($B$16:$B$215,B79,$H$16:$H$215,"&gt;0")+COUNTIFS($B$16:$B$215,B79,$I$16:$I$215,"&gt;0")&gt;0,"",INDEX($B$5:$B$7,MATCH(B79,$A$5:$A$7,0)))))),""))</f>
        <v/>
      </c>
      <c r="T79" s="25" t="str">
        <f aca="false">IF(OR(A79="",B79="",C79=""),"",IF(OR(S79="",COUNTIFS($B$16:$B$215,B79,$S$16:$S$215,"&gt;=0")&lt;2),"No Data Yet",IFERROR(IF(S79/AVERAGEIFS($S$16:$S$215,$B$16:$B$215,B79)&gt;=1.2,"Good",IF(S79/AVERAGEIFS($S$16:$S$215,$B$16:$B$215,B79)&gt;=0.8,"Average","Below Standard")),"Average")))</f>
        <v/>
      </c>
      <c r="U79" s="23" t="str">
        <f aca="false">IF(OR(A79="",B79="",C79=""),"",COUNTIFS('Who Engaged'!$C$5:$C$1004,C79,'Who Engaged'!$P$5:$P$1004,"Yes",'Who Engaged'!$N$5:$N$1004,1))</f>
        <v/>
      </c>
      <c r="V79" s="23" t="str">
        <f aca="false">IF(OR(A79="",B79="",C79=""),"",COUNTIFS('Who Engaged'!$C$5:$C$1004,C79,'Who Engaged'!$P$5:$P$1004,"Yes",'Who Engaged'!$M$5:$M$1004,1))</f>
        <v/>
      </c>
      <c r="W79" s="26" t="str">
        <f aca="false" t="array" ref="W79:W79">IF(OR(A79="",B79="",C79=""),"",_xlfn.TEXTJOIN("; ",TRUE(),IF(('Who Engaged'!$C$5:$C$1004=C79)*('Who Engaged'!$P$5:$P$1004="Yes"),'Who Engaged'!$D$5:$D$1004&amp;" – "&amp;'Who Engaged'!$F$5:$F$1004&amp;IF('Who Engaged'!$M$5:$M$1004=1," (followed)",""),"")))</f>
        <v/>
      </c>
      <c r="X79" s="27"/>
      <c r="Y79" s="27"/>
      <c r="Z79" s="28"/>
      <c r="AA79" s="25" t="str">
        <f aca="false">IF(OR(A79="",B79="",C79=""),"","https://www.alphanodus.com/contact?utm_source="&amp;IF(B79="X","twitter",LOWER(B79))&amp;"&amp;utm_medium=social&amp;utm_campaign="&amp;IF(E79="","general",LOWER(SUBSTITUTE(SUBSTITUTE(E79," / ","-")," ","-")))&amp;"&amp;utm_content="&amp;LOWER(C79))</f>
        <v/>
      </c>
    </row>
    <row r="80" customFormat="false" ht="15" hidden="false" customHeight="false" outlineLevel="0" collapsed="false">
      <c r="A80" s="29"/>
      <c r="B80" s="28"/>
      <c r="C80" s="28"/>
      <c r="D80" s="27"/>
      <c r="E80" s="28"/>
      <c r="F80" s="28"/>
      <c r="G80" s="28"/>
      <c r="H80" s="22"/>
      <c r="I80" s="22"/>
      <c r="J80" s="22"/>
      <c r="K80" s="22"/>
      <c r="L80" s="22"/>
      <c r="M80" s="22"/>
      <c r="N80" s="22"/>
      <c r="O80" s="22"/>
      <c r="P80" s="23" t="str">
        <f aca="false">IF(OR(A80="",B80="",C80=""),"",IF(COUNT(J80:N80)=0,"",SUM(J80:N80)))</f>
        <v/>
      </c>
      <c r="Q80" s="23" t="str">
        <f aca="false">IF(OR(A80="",B80="",C80=""),"",SUMIFS('Who Engaged'!$I$5:$I$1004,'Who Engaged'!$C$5:$C$1004,C80,'Who Engaged'!$O$5:$O$1004,"Yes")+SUMIFS('Who Engaged'!$J$5:$J$1004,'Who Engaged'!$C$5:$C$1004,C80,'Who Engaged'!$O$5:$O$1004,"Yes")+SUMIFS('Who Engaged'!$K$5:$K$1004,'Who Engaged'!$C$5:$C$1004,C80,'Who Engaged'!$O$5:$O$1004,"Yes")+SUMIFS('Who Engaged'!$L$5:$L$1004,'Who Engaged'!$C$5:$C$1004,C80,'Who Engaged'!$O$5:$O$1004,"Yes"))</f>
        <v/>
      </c>
      <c r="R80" s="23" t="str">
        <f aca="false">IF(OR(OR(A80="",B80="",C80=""),P80=""),"",MAX(0,P80-N(Q80)))</f>
        <v/>
      </c>
      <c r="S80" s="24" t="str">
        <f aca="false">IF(OR(OR(A80="",B80="",C80=""),R80=""),"",IFERROR(R80/(IF(N(H80)&gt;0,H80,IF(N(I80)&gt;0,I80,IF(COUNTIFS($B$16:$B$215,B80,$H$16:$H$215,"&gt;0")+COUNTIFS($B$16:$B$215,B80,$I$16:$I$215,"&gt;0")&gt;0,"",INDEX($B$5:$B$7,MATCH(B80,$A$5:$A$7,0)))))),""))</f>
        <v/>
      </c>
      <c r="T80" s="25" t="str">
        <f aca="false">IF(OR(A80="",B80="",C80=""),"",IF(OR(S80="",COUNTIFS($B$16:$B$215,B80,$S$16:$S$215,"&gt;=0")&lt;2),"No Data Yet",IFERROR(IF(S80/AVERAGEIFS($S$16:$S$215,$B$16:$B$215,B80)&gt;=1.2,"Good",IF(S80/AVERAGEIFS($S$16:$S$215,$B$16:$B$215,B80)&gt;=0.8,"Average","Below Standard")),"Average")))</f>
        <v/>
      </c>
      <c r="U80" s="23" t="str">
        <f aca="false">IF(OR(A80="",B80="",C80=""),"",COUNTIFS('Who Engaged'!$C$5:$C$1004,C80,'Who Engaged'!$P$5:$P$1004,"Yes",'Who Engaged'!$N$5:$N$1004,1))</f>
        <v/>
      </c>
      <c r="V80" s="23" t="str">
        <f aca="false">IF(OR(A80="",B80="",C80=""),"",COUNTIFS('Who Engaged'!$C$5:$C$1004,C80,'Who Engaged'!$P$5:$P$1004,"Yes",'Who Engaged'!$M$5:$M$1004,1))</f>
        <v/>
      </c>
      <c r="W80" s="26" t="str">
        <f aca="false" t="array" ref="W80:W80">IF(OR(A80="",B80="",C80=""),"",_xlfn.TEXTJOIN("; ",TRUE(),IF(('Who Engaged'!$C$5:$C$1004=C80)*('Who Engaged'!$P$5:$P$1004="Yes"),'Who Engaged'!$D$5:$D$1004&amp;" – "&amp;'Who Engaged'!$F$5:$F$1004&amp;IF('Who Engaged'!$M$5:$M$1004=1," (followed)",""),"")))</f>
        <v/>
      </c>
      <c r="X80" s="27"/>
      <c r="Y80" s="27"/>
      <c r="Z80" s="28"/>
      <c r="AA80" s="25" t="str">
        <f aca="false">IF(OR(A80="",B80="",C80=""),"","https://www.alphanodus.com/contact?utm_source="&amp;IF(B80="X","twitter",LOWER(B80))&amp;"&amp;utm_medium=social&amp;utm_campaign="&amp;IF(E80="","general",LOWER(SUBSTITUTE(SUBSTITUTE(E80," / ","-")," ","-")))&amp;"&amp;utm_content="&amp;LOWER(C80))</f>
        <v/>
      </c>
    </row>
    <row r="81" customFormat="false" ht="15" hidden="false" customHeight="false" outlineLevel="0" collapsed="false">
      <c r="A81" s="29"/>
      <c r="B81" s="28"/>
      <c r="C81" s="28"/>
      <c r="D81" s="27"/>
      <c r="E81" s="28"/>
      <c r="F81" s="28"/>
      <c r="G81" s="28"/>
      <c r="H81" s="22"/>
      <c r="I81" s="22"/>
      <c r="J81" s="22"/>
      <c r="K81" s="22"/>
      <c r="L81" s="22"/>
      <c r="M81" s="22"/>
      <c r="N81" s="22"/>
      <c r="O81" s="22"/>
      <c r="P81" s="23" t="str">
        <f aca="false">IF(OR(A81="",B81="",C81=""),"",IF(COUNT(J81:N81)=0,"",SUM(J81:N81)))</f>
        <v/>
      </c>
      <c r="Q81" s="23" t="str">
        <f aca="false">IF(OR(A81="",B81="",C81=""),"",SUMIFS('Who Engaged'!$I$5:$I$1004,'Who Engaged'!$C$5:$C$1004,C81,'Who Engaged'!$O$5:$O$1004,"Yes")+SUMIFS('Who Engaged'!$J$5:$J$1004,'Who Engaged'!$C$5:$C$1004,C81,'Who Engaged'!$O$5:$O$1004,"Yes")+SUMIFS('Who Engaged'!$K$5:$K$1004,'Who Engaged'!$C$5:$C$1004,C81,'Who Engaged'!$O$5:$O$1004,"Yes")+SUMIFS('Who Engaged'!$L$5:$L$1004,'Who Engaged'!$C$5:$C$1004,C81,'Who Engaged'!$O$5:$O$1004,"Yes"))</f>
        <v/>
      </c>
      <c r="R81" s="23" t="str">
        <f aca="false">IF(OR(OR(A81="",B81="",C81=""),P81=""),"",MAX(0,P81-N(Q81)))</f>
        <v/>
      </c>
      <c r="S81" s="24" t="str">
        <f aca="false">IF(OR(OR(A81="",B81="",C81=""),R81=""),"",IFERROR(R81/(IF(N(H81)&gt;0,H81,IF(N(I81)&gt;0,I81,IF(COUNTIFS($B$16:$B$215,B81,$H$16:$H$215,"&gt;0")+COUNTIFS($B$16:$B$215,B81,$I$16:$I$215,"&gt;0")&gt;0,"",INDEX($B$5:$B$7,MATCH(B81,$A$5:$A$7,0)))))),""))</f>
        <v/>
      </c>
      <c r="T81" s="25" t="str">
        <f aca="false">IF(OR(A81="",B81="",C81=""),"",IF(OR(S81="",COUNTIFS($B$16:$B$215,B81,$S$16:$S$215,"&gt;=0")&lt;2),"No Data Yet",IFERROR(IF(S81/AVERAGEIFS($S$16:$S$215,$B$16:$B$215,B81)&gt;=1.2,"Good",IF(S81/AVERAGEIFS($S$16:$S$215,$B$16:$B$215,B81)&gt;=0.8,"Average","Below Standard")),"Average")))</f>
        <v/>
      </c>
      <c r="U81" s="23" t="str">
        <f aca="false">IF(OR(A81="",B81="",C81=""),"",COUNTIFS('Who Engaged'!$C$5:$C$1004,C81,'Who Engaged'!$P$5:$P$1004,"Yes",'Who Engaged'!$N$5:$N$1004,1))</f>
        <v/>
      </c>
      <c r="V81" s="23" t="str">
        <f aca="false">IF(OR(A81="",B81="",C81=""),"",COUNTIFS('Who Engaged'!$C$5:$C$1004,C81,'Who Engaged'!$P$5:$P$1004,"Yes",'Who Engaged'!$M$5:$M$1004,1))</f>
        <v/>
      </c>
      <c r="W81" s="26" t="str">
        <f aca="false" t="array" ref="W81:W81">IF(OR(A81="",B81="",C81=""),"",_xlfn.TEXTJOIN("; ",TRUE(),IF(('Who Engaged'!$C$5:$C$1004=C81)*('Who Engaged'!$P$5:$P$1004="Yes"),'Who Engaged'!$D$5:$D$1004&amp;" – "&amp;'Who Engaged'!$F$5:$F$1004&amp;IF('Who Engaged'!$M$5:$M$1004=1," (followed)",""),"")))</f>
        <v/>
      </c>
      <c r="X81" s="27"/>
      <c r="Y81" s="27"/>
      <c r="Z81" s="28"/>
      <c r="AA81" s="25" t="str">
        <f aca="false">IF(OR(A81="",B81="",C81=""),"","https://www.alphanodus.com/contact?utm_source="&amp;IF(B81="X","twitter",LOWER(B81))&amp;"&amp;utm_medium=social&amp;utm_campaign="&amp;IF(E81="","general",LOWER(SUBSTITUTE(SUBSTITUTE(E81," / ","-")," ","-")))&amp;"&amp;utm_content="&amp;LOWER(C81))</f>
        <v/>
      </c>
    </row>
    <row r="82" customFormat="false" ht="15" hidden="false" customHeight="false" outlineLevel="0" collapsed="false">
      <c r="A82" s="29"/>
      <c r="B82" s="28"/>
      <c r="C82" s="28"/>
      <c r="D82" s="27"/>
      <c r="E82" s="28"/>
      <c r="F82" s="28"/>
      <c r="G82" s="28"/>
      <c r="H82" s="22"/>
      <c r="I82" s="22"/>
      <c r="J82" s="22"/>
      <c r="K82" s="22"/>
      <c r="L82" s="22"/>
      <c r="M82" s="22"/>
      <c r="N82" s="22"/>
      <c r="O82" s="22"/>
      <c r="P82" s="23" t="str">
        <f aca="false">IF(OR(A82="",B82="",C82=""),"",IF(COUNT(J82:N82)=0,"",SUM(J82:N82)))</f>
        <v/>
      </c>
      <c r="Q82" s="23" t="str">
        <f aca="false">IF(OR(A82="",B82="",C82=""),"",SUMIFS('Who Engaged'!$I$5:$I$1004,'Who Engaged'!$C$5:$C$1004,C82,'Who Engaged'!$O$5:$O$1004,"Yes")+SUMIFS('Who Engaged'!$J$5:$J$1004,'Who Engaged'!$C$5:$C$1004,C82,'Who Engaged'!$O$5:$O$1004,"Yes")+SUMIFS('Who Engaged'!$K$5:$K$1004,'Who Engaged'!$C$5:$C$1004,C82,'Who Engaged'!$O$5:$O$1004,"Yes")+SUMIFS('Who Engaged'!$L$5:$L$1004,'Who Engaged'!$C$5:$C$1004,C82,'Who Engaged'!$O$5:$O$1004,"Yes"))</f>
        <v/>
      </c>
      <c r="R82" s="23" t="str">
        <f aca="false">IF(OR(OR(A82="",B82="",C82=""),P82=""),"",MAX(0,P82-N(Q82)))</f>
        <v/>
      </c>
      <c r="S82" s="24" t="str">
        <f aca="false">IF(OR(OR(A82="",B82="",C82=""),R82=""),"",IFERROR(R82/(IF(N(H82)&gt;0,H82,IF(N(I82)&gt;0,I82,IF(COUNTIFS($B$16:$B$215,B82,$H$16:$H$215,"&gt;0")+COUNTIFS($B$16:$B$215,B82,$I$16:$I$215,"&gt;0")&gt;0,"",INDEX($B$5:$B$7,MATCH(B82,$A$5:$A$7,0)))))),""))</f>
        <v/>
      </c>
      <c r="T82" s="25" t="str">
        <f aca="false">IF(OR(A82="",B82="",C82=""),"",IF(OR(S82="",COUNTIFS($B$16:$B$215,B82,$S$16:$S$215,"&gt;=0")&lt;2),"No Data Yet",IFERROR(IF(S82/AVERAGEIFS($S$16:$S$215,$B$16:$B$215,B82)&gt;=1.2,"Good",IF(S82/AVERAGEIFS($S$16:$S$215,$B$16:$B$215,B82)&gt;=0.8,"Average","Below Standard")),"Average")))</f>
        <v/>
      </c>
      <c r="U82" s="23" t="str">
        <f aca="false">IF(OR(A82="",B82="",C82=""),"",COUNTIFS('Who Engaged'!$C$5:$C$1004,C82,'Who Engaged'!$P$5:$P$1004,"Yes",'Who Engaged'!$N$5:$N$1004,1))</f>
        <v/>
      </c>
      <c r="V82" s="23" t="str">
        <f aca="false">IF(OR(A82="",B82="",C82=""),"",COUNTIFS('Who Engaged'!$C$5:$C$1004,C82,'Who Engaged'!$P$5:$P$1004,"Yes",'Who Engaged'!$M$5:$M$1004,1))</f>
        <v/>
      </c>
      <c r="W82" s="26" t="str">
        <f aca="false" t="array" ref="W82:W82">IF(OR(A82="",B82="",C82=""),"",_xlfn.TEXTJOIN("; ",TRUE(),IF(('Who Engaged'!$C$5:$C$1004=C82)*('Who Engaged'!$P$5:$P$1004="Yes"),'Who Engaged'!$D$5:$D$1004&amp;" – "&amp;'Who Engaged'!$F$5:$F$1004&amp;IF('Who Engaged'!$M$5:$M$1004=1," (followed)",""),"")))</f>
        <v/>
      </c>
      <c r="X82" s="27"/>
      <c r="Y82" s="27"/>
      <c r="Z82" s="28"/>
      <c r="AA82" s="25" t="str">
        <f aca="false">IF(OR(A82="",B82="",C82=""),"","https://www.alphanodus.com/contact?utm_source="&amp;IF(B82="X","twitter",LOWER(B82))&amp;"&amp;utm_medium=social&amp;utm_campaign="&amp;IF(E82="","general",LOWER(SUBSTITUTE(SUBSTITUTE(E82," / ","-")," ","-")))&amp;"&amp;utm_content="&amp;LOWER(C82))</f>
        <v/>
      </c>
    </row>
    <row r="83" customFormat="false" ht="15" hidden="false" customHeight="false" outlineLevel="0" collapsed="false">
      <c r="A83" s="29"/>
      <c r="B83" s="28"/>
      <c r="C83" s="28"/>
      <c r="D83" s="27"/>
      <c r="E83" s="28"/>
      <c r="F83" s="28"/>
      <c r="G83" s="28"/>
      <c r="H83" s="22"/>
      <c r="I83" s="22"/>
      <c r="J83" s="22"/>
      <c r="K83" s="22"/>
      <c r="L83" s="22"/>
      <c r="M83" s="22"/>
      <c r="N83" s="22"/>
      <c r="O83" s="22"/>
      <c r="P83" s="23" t="str">
        <f aca="false">IF(OR(A83="",B83="",C83=""),"",IF(COUNT(J83:N83)=0,"",SUM(J83:N83)))</f>
        <v/>
      </c>
      <c r="Q83" s="23" t="str">
        <f aca="false">IF(OR(A83="",B83="",C83=""),"",SUMIFS('Who Engaged'!$I$5:$I$1004,'Who Engaged'!$C$5:$C$1004,C83,'Who Engaged'!$O$5:$O$1004,"Yes")+SUMIFS('Who Engaged'!$J$5:$J$1004,'Who Engaged'!$C$5:$C$1004,C83,'Who Engaged'!$O$5:$O$1004,"Yes")+SUMIFS('Who Engaged'!$K$5:$K$1004,'Who Engaged'!$C$5:$C$1004,C83,'Who Engaged'!$O$5:$O$1004,"Yes")+SUMIFS('Who Engaged'!$L$5:$L$1004,'Who Engaged'!$C$5:$C$1004,C83,'Who Engaged'!$O$5:$O$1004,"Yes"))</f>
        <v/>
      </c>
      <c r="R83" s="23" t="str">
        <f aca="false">IF(OR(OR(A83="",B83="",C83=""),P83=""),"",MAX(0,P83-N(Q83)))</f>
        <v/>
      </c>
      <c r="S83" s="24" t="str">
        <f aca="false">IF(OR(OR(A83="",B83="",C83=""),R83=""),"",IFERROR(R83/(IF(N(H83)&gt;0,H83,IF(N(I83)&gt;0,I83,IF(COUNTIFS($B$16:$B$215,B83,$H$16:$H$215,"&gt;0")+COUNTIFS($B$16:$B$215,B83,$I$16:$I$215,"&gt;0")&gt;0,"",INDEX($B$5:$B$7,MATCH(B83,$A$5:$A$7,0)))))),""))</f>
        <v/>
      </c>
      <c r="T83" s="25" t="str">
        <f aca="false">IF(OR(A83="",B83="",C83=""),"",IF(OR(S83="",COUNTIFS($B$16:$B$215,B83,$S$16:$S$215,"&gt;=0")&lt;2),"No Data Yet",IFERROR(IF(S83/AVERAGEIFS($S$16:$S$215,$B$16:$B$215,B83)&gt;=1.2,"Good",IF(S83/AVERAGEIFS($S$16:$S$215,$B$16:$B$215,B83)&gt;=0.8,"Average","Below Standard")),"Average")))</f>
        <v/>
      </c>
      <c r="U83" s="23" t="str">
        <f aca="false">IF(OR(A83="",B83="",C83=""),"",COUNTIFS('Who Engaged'!$C$5:$C$1004,C83,'Who Engaged'!$P$5:$P$1004,"Yes",'Who Engaged'!$N$5:$N$1004,1))</f>
        <v/>
      </c>
      <c r="V83" s="23" t="str">
        <f aca="false">IF(OR(A83="",B83="",C83=""),"",COUNTIFS('Who Engaged'!$C$5:$C$1004,C83,'Who Engaged'!$P$5:$P$1004,"Yes",'Who Engaged'!$M$5:$M$1004,1))</f>
        <v/>
      </c>
      <c r="W83" s="26" t="str">
        <f aca="false" t="array" ref="W83:W83">IF(OR(A83="",B83="",C83=""),"",_xlfn.TEXTJOIN("; ",TRUE(),IF(('Who Engaged'!$C$5:$C$1004=C83)*('Who Engaged'!$P$5:$P$1004="Yes"),'Who Engaged'!$D$5:$D$1004&amp;" – "&amp;'Who Engaged'!$F$5:$F$1004&amp;IF('Who Engaged'!$M$5:$M$1004=1," (followed)",""),"")))</f>
        <v/>
      </c>
      <c r="X83" s="27"/>
      <c r="Y83" s="27"/>
      <c r="Z83" s="28"/>
      <c r="AA83" s="25" t="str">
        <f aca="false">IF(OR(A83="",B83="",C83=""),"","https://www.alphanodus.com/contact?utm_source="&amp;IF(B83="X","twitter",LOWER(B83))&amp;"&amp;utm_medium=social&amp;utm_campaign="&amp;IF(E83="","general",LOWER(SUBSTITUTE(SUBSTITUTE(E83," / ","-")," ","-")))&amp;"&amp;utm_content="&amp;LOWER(C83))</f>
        <v/>
      </c>
    </row>
    <row r="84" customFormat="false" ht="15" hidden="false" customHeight="false" outlineLevel="0" collapsed="false">
      <c r="A84" s="29"/>
      <c r="B84" s="28"/>
      <c r="C84" s="28"/>
      <c r="D84" s="27"/>
      <c r="E84" s="28"/>
      <c r="F84" s="28"/>
      <c r="G84" s="28"/>
      <c r="H84" s="22"/>
      <c r="I84" s="22"/>
      <c r="J84" s="22"/>
      <c r="K84" s="22"/>
      <c r="L84" s="22"/>
      <c r="M84" s="22"/>
      <c r="N84" s="22"/>
      <c r="O84" s="22"/>
      <c r="P84" s="23" t="str">
        <f aca="false">IF(OR(A84="",B84="",C84=""),"",IF(COUNT(J84:N84)=0,"",SUM(J84:N84)))</f>
        <v/>
      </c>
      <c r="Q84" s="23" t="str">
        <f aca="false">IF(OR(A84="",B84="",C84=""),"",SUMIFS('Who Engaged'!$I$5:$I$1004,'Who Engaged'!$C$5:$C$1004,C84,'Who Engaged'!$O$5:$O$1004,"Yes")+SUMIFS('Who Engaged'!$J$5:$J$1004,'Who Engaged'!$C$5:$C$1004,C84,'Who Engaged'!$O$5:$O$1004,"Yes")+SUMIFS('Who Engaged'!$K$5:$K$1004,'Who Engaged'!$C$5:$C$1004,C84,'Who Engaged'!$O$5:$O$1004,"Yes")+SUMIFS('Who Engaged'!$L$5:$L$1004,'Who Engaged'!$C$5:$C$1004,C84,'Who Engaged'!$O$5:$O$1004,"Yes"))</f>
        <v/>
      </c>
      <c r="R84" s="23" t="str">
        <f aca="false">IF(OR(OR(A84="",B84="",C84=""),P84=""),"",MAX(0,P84-N(Q84)))</f>
        <v/>
      </c>
      <c r="S84" s="24" t="str">
        <f aca="false">IF(OR(OR(A84="",B84="",C84=""),R84=""),"",IFERROR(R84/(IF(N(H84)&gt;0,H84,IF(N(I84)&gt;0,I84,IF(COUNTIFS($B$16:$B$215,B84,$H$16:$H$215,"&gt;0")+COUNTIFS($B$16:$B$215,B84,$I$16:$I$215,"&gt;0")&gt;0,"",INDEX($B$5:$B$7,MATCH(B84,$A$5:$A$7,0)))))),""))</f>
        <v/>
      </c>
      <c r="T84" s="25" t="str">
        <f aca="false">IF(OR(A84="",B84="",C84=""),"",IF(OR(S84="",COUNTIFS($B$16:$B$215,B84,$S$16:$S$215,"&gt;=0")&lt;2),"No Data Yet",IFERROR(IF(S84/AVERAGEIFS($S$16:$S$215,$B$16:$B$215,B84)&gt;=1.2,"Good",IF(S84/AVERAGEIFS($S$16:$S$215,$B$16:$B$215,B84)&gt;=0.8,"Average","Below Standard")),"Average")))</f>
        <v/>
      </c>
      <c r="U84" s="23" t="str">
        <f aca="false">IF(OR(A84="",B84="",C84=""),"",COUNTIFS('Who Engaged'!$C$5:$C$1004,C84,'Who Engaged'!$P$5:$P$1004,"Yes",'Who Engaged'!$N$5:$N$1004,1))</f>
        <v/>
      </c>
      <c r="V84" s="23" t="str">
        <f aca="false">IF(OR(A84="",B84="",C84=""),"",COUNTIFS('Who Engaged'!$C$5:$C$1004,C84,'Who Engaged'!$P$5:$P$1004,"Yes",'Who Engaged'!$M$5:$M$1004,1))</f>
        <v/>
      </c>
      <c r="W84" s="26" t="str">
        <f aca="false" t="array" ref="W84:W84">IF(OR(A84="",B84="",C84=""),"",_xlfn.TEXTJOIN("; ",TRUE(),IF(('Who Engaged'!$C$5:$C$1004=C84)*('Who Engaged'!$P$5:$P$1004="Yes"),'Who Engaged'!$D$5:$D$1004&amp;" – "&amp;'Who Engaged'!$F$5:$F$1004&amp;IF('Who Engaged'!$M$5:$M$1004=1," (followed)",""),"")))</f>
        <v/>
      </c>
      <c r="X84" s="27"/>
      <c r="Y84" s="27"/>
      <c r="Z84" s="28"/>
      <c r="AA84" s="25" t="str">
        <f aca="false">IF(OR(A84="",B84="",C84=""),"","https://www.alphanodus.com/contact?utm_source="&amp;IF(B84="X","twitter",LOWER(B84))&amp;"&amp;utm_medium=social&amp;utm_campaign="&amp;IF(E84="","general",LOWER(SUBSTITUTE(SUBSTITUTE(E84," / ","-")," ","-")))&amp;"&amp;utm_content="&amp;LOWER(C84))</f>
        <v/>
      </c>
    </row>
    <row r="85" customFormat="false" ht="15" hidden="false" customHeight="false" outlineLevel="0" collapsed="false">
      <c r="A85" s="29"/>
      <c r="B85" s="28"/>
      <c r="C85" s="28"/>
      <c r="D85" s="27"/>
      <c r="E85" s="28"/>
      <c r="F85" s="28"/>
      <c r="G85" s="28"/>
      <c r="H85" s="22"/>
      <c r="I85" s="22"/>
      <c r="J85" s="22"/>
      <c r="K85" s="22"/>
      <c r="L85" s="22"/>
      <c r="M85" s="22"/>
      <c r="N85" s="22"/>
      <c r="O85" s="22"/>
      <c r="P85" s="23" t="str">
        <f aca="false">IF(OR(A85="",B85="",C85=""),"",IF(COUNT(J85:N85)=0,"",SUM(J85:N85)))</f>
        <v/>
      </c>
      <c r="Q85" s="23" t="str">
        <f aca="false">IF(OR(A85="",B85="",C85=""),"",SUMIFS('Who Engaged'!$I$5:$I$1004,'Who Engaged'!$C$5:$C$1004,C85,'Who Engaged'!$O$5:$O$1004,"Yes")+SUMIFS('Who Engaged'!$J$5:$J$1004,'Who Engaged'!$C$5:$C$1004,C85,'Who Engaged'!$O$5:$O$1004,"Yes")+SUMIFS('Who Engaged'!$K$5:$K$1004,'Who Engaged'!$C$5:$C$1004,C85,'Who Engaged'!$O$5:$O$1004,"Yes")+SUMIFS('Who Engaged'!$L$5:$L$1004,'Who Engaged'!$C$5:$C$1004,C85,'Who Engaged'!$O$5:$O$1004,"Yes"))</f>
        <v/>
      </c>
      <c r="R85" s="23" t="str">
        <f aca="false">IF(OR(OR(A85="",B85="",C85=""),P85=""),"",MAX(0,P85-N(Q85)))</f>
        <v/>
      </c>
      <c r="S85" s="24" t="str">
        <f aca="false">IF(OR(OR(A85="",B85="",C85=""),R85=""),"",IFERROR(R85/(IF(N(H85)&gt;0,H85,IF(N(I85)&gt;0,I85,IF(COUNTIFS($B$16:$B$215,B85,$H$16:$H$215,"&gt;0")+COUNTIFS($B$16:$B$215,B85,$I$16:$I$215,"&gt;0")&gt;0,"",INDEX($B$5:$B$7,MATCH(B85,$A$5:$A$7,0)))))),""))</f>
        <v/>
      </c>
      <c r="T85" s="25" t="str">
        <f aca="false">IF(OR(A85="",B85="",C85=""),"",IF(OR(S85="",COUNTIFS($B$16:$B$215,B85,$S$16:$S$215,"&gt;=0")&lt;2),"No Data Yet",IFERROR(IF(S85/AVERAGEIFS($S$16:$S$215,$B$16:$B$215,B85)&gt;=1.2,"Good",IF(S85/AVERAGEIFS($S$16:$S$215,$B$16:$B$215,B85)&gt;=0.8,"Average","Below Standard")),"Average")))</f>
        <v/>
      </c>
      <c r="U85" s="23" t="str">
        <f aca="false">IF(OR(A85="",B85="",C85=""),"",COUNTIFS('Who Engaged'!$C$5:$C$1004,C85,'Who Engaged'!$P$5:$P$1004,"Yes",'Who Engaged'!$N$5:$N$1004,1))</f>
        <v/>
      </c>
      <c r="V85" s="23" t="str">
        <f aca="false">IF(OR(A85="",B85="",C85=""),"",COUNTIFS('Who Engaged'!$C$5:$C$1004,C85,'Who Engaged'!$P$5:$P$1004,"Yes",'Who Engaged'!$M$5:$M$1004,1))</f>
        <v/>
      </c>
      <c r="W85" s="26" t="str">
        <f aca="false" t="array" ref="W85:W85">IF(OR(A85="",B85="",C85=""),"",_xlfn.TEXTJOIN("; ",TRUE(),IF(('Who Engaged'!$C$5:$C$1004=C85)*('Who Engaged'!$P$5:$P$1004="Yes"),'Who Engaged'!$D$5:$D$1004&amp;" – "&amp;'Who Engaged'!$F$5:$F$1004&amp;IF('Who Engaged'!$M$5:$M$1004=1," (followed)",""),"")))</f>
        <v/>
      </c>
      <c r="X85" s="27"/>
      <c r="Y85" s="27"/>
      <c r="Z85" s="28"/>
      <c r="AA85" s="25" t="str">
        <f aca="false">IF(OR(A85="",B85="",C85=""),"","https://www.alphanodus.com/contact?utm_source="&amp;IF(B85="X","twitter",LOWER(B85))&amp;"&amp;utm_medium=social&amp;utm_campaign="&amp;IF(E85="","general",LOWER(SUBSTITUTE(SUBSTITUTE(E85," / ","-")," ","-")))&amp;"&amp;utm_content="&amp;LOWER(C85))</f>
        <v/>
      </c>
    </row>
    <row r="86" customFormat="false" ht="15" hidden="false" customHeight="false" outlineLevel="0" collapsed="false">
      <c r="A86" s="29"/>
      <c r="B86" s="28"/>
      <c r="C86" s="28"/>
      <c r="D86" s="27"/>
      <c r="E86" s="28"/>
      <c r="F86" s="28"/>
      <c r="G86" s="28"/>
      <c r="H86" s="22"/>
      <c r="I86" s="22"/>
      <c r="J86" s="22"/>
      <c r="K86" s="22"/>
      <c r="L86" s="22"/>
      <c r="M86" s="22"/>
      <c r="N86" s="22"/>
      <c r="O86" s="22"/>
      <c r="P86" s="23" t="str">
        <f aca="false">IF(OR(A86="",B86="",C86=""),"",IF(COUNT(J86:N86)=0,"",SUM(J86:N86)))</f>
        <v/>
      </c>
      <c r="Q86" s="23" t="str">
        <f aca="false">IF(OR(A86="",B86="",C86=""),"",SUMIFS('Who Engaged'!$I$5:$I$1004,'Who Engaged'!$C$5:$C$1004,C86,'Who Engaged'!$O$5:$O$1004,"Yes")+SUMIFS('Who Engaged'!$J$5:$J$1004,'Who Engaged'!$C$5:$C$1004,C86,'Who Engaged'!$O$5:$O$1004,"Yes")+SUMIFS('Who Engaged'!$K$5:$K$1004,'Who Engaged'!$C$5:$C$1004,C86,'Who Engaged'!$O$5:$O$1004,"Yes")+SUMIFS('Who Engaged'!$L$5:$L$1004,'Who Engaged'!$C$5:$C$1004,C86,'Who Engaged'!$O$5:$O$1004,"Yes"))</f>
        <v/>
      </c>
      <c r="R86" s="23" t="str">
        <f aca="false">IF(OR(OR(A86="",B86="",C86=""),P86=""),"",MAX(0,P86-N(Q86)))</f>
        <v/>
      </c>
      <c r="S86" s="24" t="str">
        <f aca="false">IF(OR(OR(A86="",B86="",C86=""),R86=""),"",IFERROR(R86/(IF(N(H86)&gt;0,H86,IF(N(I86)&gt;0,I86,IF(COUNTIFS($B$16:$B$215,B86,$H$16:$H$215,"&gt;0")+COUNTIFS($B$16:$B$215,B86,$I$16:$I$215,"&gt;0")&gt;0,"",INDEX($B$5:$B$7,MATCH(B86,$A$5:$A$7,0)))))),""))</f>
        <v/>
      </c>
      <c r="T86" s="25" t="str">
        <f aca="false">IF(OR(A86="",B86="",C86=""),"",IF(OR(S86="",COUNTIFS($B$16:$B$215,B86,$S$16:$S$215,"&gt;=0")&lt;2),"No Data Yet",IFERROR(IF(S86/AVERAGEIFS($S$16:$S$215,$B$16:$B$215,B86)&gt;=1.2,"Good",IF(S86/AVERAGEIFS($S$16:$S$215,$B$16:$B$215,B86)&gt;=0.8,"Average","Below Standard")),"Average")))</f>
        <v/>
      </c>
      <c r="U86" s="23" t="str">
        <f aca="false">IF(OR(A86="",B86="",C86=""),"",COUNTIFS('Who Engaged'!$C$5:$C$1004,C86,'Who Engaged'!$P$5:$P$1004,"Yes",'Who Engaged'!$N$5:$N$1004,1))</f>
        <v/>
      </c>
      <c r="V86" s="23" t="str">
        <f aca="false">IF(OR(A86="",B86="",C86=""),"",COUNTIFS('Who Engaged'!$C$5:$C$1004,C86,'Who Engaged'!$P$5:$P$1004,"Yes",'Who Engaged'!$M$5:$M$1004,1))</f>
        <v/>
      </c>
      <c r="W86" s="26" t="str">
        <f aca="false" t="array" ref="W86:W86">IF(OR(A86="",B86="",C86=""),"",_xlfn.TEXTJOIN("; ",TRUE(),IF(('Who Engaged'!$C$5:$C$1004=C86)*('Who Engaged'!$P$5:$P$1004="Yes"),'Who Engaged'!$D$5:$D$1004&amp;" – "&amp;'Who Engaged'!$F$5:$F$1004&amp;IF('Who Engaged'!$M$5:$M$1004=1," (followed)",""),"")))</f>
        <v/>
      </c>
      <c r="X86" s="27"/>
      <c r="Y86" s="27"/>
      <c r="Z86" s="28"/>
      <c r="AA86" s="25" t="str">
        <f aca="false">IF(OR(A86="",B86="",C86=""),"","https://www.alphanodus.com/contact?utm_source="&amp;IF(B86="X","twitter",LOWER(B86))&amp;"&amp;utm_medium=social&amp;utm_campaign="&amp;IF(E86="","general",LOWER(SUBSTITUTE(SUBSTITUTE(E86," / ","-")," ","-")))&amp;"&amp;utm_content="&amp;LOWER(C86))</f>
        <v/>
      </c>
    </row>
    <row r="87" customFormat="false" ht="15" hidden="false" customHeight="false" outlineLevel="0" collapsed="false">
      <c r="A87" s="29"/>
      <c r="B87" s="28"/>
      <c r="C87" s="28"/>
      <c r="D87" s="27"/>
      <c r="E87" s="28"/>
      <c r="F87" s="28"/>
      <c r="G87" s="28"/>
      <c r="H87" s="22"/>
      <c r="I87" s="22"/>
      <c r="J87" s="22"/>
      <c r="K87" s="22"/>
      <c r="L87" s="22"/>
      <c r="M87" s="22"/>
      <c r="N87" s="22"/>
      <c r="O87" s="22"/>
      <c r="P87" s="23" t="str">
        <f aca="false">IF(OR(A87="",B87="",C87=""),"",IF(COUNT(J87:N87)=0,"",SUM(J87:N87)))</f>
        <v/>
      </c>
      <c r="Q87" s="23" t="str">
        <f aca="false">IF(OR(A87="",B87="",C87=""),"",SUMIFS('Who Engaged'!$I$5:$I$1004,'Who Engaged'!$C$5:$C$1004,C87,'Who Engaged'!$O$5:$O$1004,"Yes")+SUMIFS('Who Engaged'!$J$5:$J$1004,'Who Engaged'!$C$5:$C$1004,C87,'Who Engaged'!$O$5:$O$1004,"Yes")+SUMIFS('Who Engaged'!$K$5:$K$1004,'Who Engaged'!$C$5:$C$1004,C87,'Who Engaged'!$O$5:$O$1004,"Yes")+SUMIFS('Who Engaged'!$L$5:$L$1004,'Who Engaged'!$C$5:$C$1004,C87,'Who Engaged'!$O$5:$O$1004,"Yes"))</f>
        <v/>
      </c>
      <c r="R87" s="23" t="str">
        <f aca="false">IF(OR(OR(A87="",B87="",C87=""),P87=""),"",MAX(0,P87-N(Q87)))</f>
        <v/>
      </c>
      <c r="S87" s="24" t="str">
        <f aca="false">IF(OR(OR(A87="",B87="",C87=""),R87=""),"",IFERROR(R87/(IF(N(H87)&gt;0,H87,IF(N(I87)&gt;0,I87,IF(COUNTIFS($B$16:$B$215,B87,$H$16:$H$215,"&gt;0")+COUNTIFS($B$16:$B$215,B87,$I$16:$I$215,"&gt;0")&gt;0,"",INDEX($B$5:$B$7,MATCH(B87,$A$5:$A$7,0)))))),""))</f>
        <v/>
      </c>
      <c r="T87" s="25" t="str">
        <f aca="false">IF(OR(A87="",B87="",C87=""),"",IF(OR(S87="",COUNTIFS($B$16:$B$215,B87,$S$16:$S$215,"&gt;=0")&lt;2),"No Data Yet",IFERROR(IF(S87/AVERAGEIFS($S$16:$S$215,$B$16:$B$215,B87)&gt;=1.2,"Good",IF(S87/AVERAGEIFS($S$16:$S$215,$B$16:$B$215,B87)&gt;=0.8,"Average","Below Standard")),"Average")))</f>
        <v/>
      </c>
      <c r="U87" s="23" t="str">
        <f aca="false">IF(OR(A87="",B87="",C87=""),"",COUNTIFS('Who Engaged'!$C$5:$C$1004,C87,'Who Engaged'!$P$5:$P$1004,"Yes",'Who Engaged'!$N$5:$N$1004,1))</f>
        <v/>
      </c>
      <c r="V87" s="23" t="str">
        <f aca="false">IF(OR(A87="",B87="",C87=""),"",COUNTIFS('Who Engaged'!$C$5:$C$1004,C87,'Who Engaged'!$P$5:$P$1004,"Yes",'Who Engaged'!$M$5:$M$1004,1))</f>
        <v/>
      </c>
      <c r="W87" s="26" t="str">
        <f aca="false" t="array" ref="W87:W87">IF(OR(A87="",B87="",C87=""),"",_xlfn.TEXTJOIN("; ",TRUE(),IF(('Who Engaged'!$C$5:$C$1004=C87)*('Who Engaged'!$P$5:$P$1004="Yes"),'Who Engaged'!$D$5:$D$1004&amp;" – "&amp;'Who Engaged'!$F$5:$F$1004&amp;IF('Who Engaged'!$M$5:$M$1004=1," (followed)",""),"")))</f>
        <v/>
      </c>
      <c r="X87" s="27"/>
      <c r="Y87" s="27"/>
      <c r="Z87" s="28"/>
      <c r="AA87" s="25" t="str">
        <f aca="false">IF(OR(A87="",B87="",C87=""),"","https://www.alphanodus.com/contact?utm_source="&amp;IF(B87="X","twitter",LOWER(B87))&amp;"&amp;utm_medium=social&amp;utm_campaign="&amp;IF(E87="","general",LOWER(SUBSTITUTE(SUBSTITUTE(E87," / ","-")," ","-")))&amp;"&amp;utm_content="&amp;LOWER(C87))</f>
        <v/>
      </c>
    </row>
    <row r="88" customFormat="false" ht="15" hidden="false" customHeight="false" outlineLevel="0" collapsed="false">
      <c r="A88" s="29"/>
      <c r="B88" s="28"/>
      <c r="C88" s="28"/>
      <c r="D88" s="27"/>
      <c r="E88" s="28"/>
      <c r="F88" s="28"/>
      <c r="G88" s="28"/>
      <c r="H88" s="22"/>
      <c r="I88" s="22"/>
      <c r="J88" s="22"/>
      <c r="K88" s="22"/>
      <c r="L88" s="22"/>
      <c r="M88" s="22"/>
      <c r="N88" s="22"/>
      <c r="O88" s="22"/>
      <c r="P88" s="23" t="str">
        <f aca="false">IF(OR(A88="",B88="",C88=""),"",IF(COUNT(J88:N88)=0,"",SUM(J88:N88)))</f>
        <v/>
      </c>
      <c r="Q88" s="23" t="str">
        <f aca="false">IF(OR(A88="",B88="",C88=""),"",SUMIFS('Who Engaged'!$I$5:$I$1004,'Who Engaged'!$C$5:$C$1004,C88,'Who Engaged'!$O$5:$O$1004,"Yes")+SUMIFS('Who Engaged'!$J$5:$J$1004,'Who Engaged'!$C$5:$C$1004,C88,'Who Engaged'!$O$5:$O$1004,"Yes")+SUMIFS('Who Engaged'!$K$5:$K$1004,'Who Engaged'!$C$5:$C$1004,C88,'Who Engaged'!$O$5:$O$1004,"Yes")+SUMIFS('Who Engaged'!$L$5:$L$1004,'Who Engaged'!$C$5:$C$1004,C88,'Who Engaged'!$O$5:$O$1004,"Yes"))</f>
        <v/>
      </c>
      <c r="R88" s="23" t="str">
        <f aca="false">IF(OR(OR(A88="",B88="",C88=""),P88=""),"",MAX(0,P88-N(Q88)))</f>
        <v/>
      </c>
      <c r="S88" s="24" t="str">
        <f aca="false">IF(OR(OR(A88="",B88="",C88=""),R88=""),"",IFERROR(R88/(IF(N(H88)&gt;0,H88,IF(N(I88)&gt;0,I88,IF(COUNTIFS($B$16:$B$215,B88,$H$16:$H$215,"&gt;0")+COUNTIFS($B$16:$B$215,B88,$I$16:$I$215,"&gt;0")&gt;0,"",INDEX($B$5:$B$7,MATCH(B88,$A$5:$A$7,0)))))),""))</f>
        <v/>
      </c>
      <c r="T88" s="25" t="str">
        <f aca="false">IF(OR(A88="",B88="",C88=""),"",IF(OR(S88="",COUNTIFS($B$16:$B$215,B88,$S$16:$S$215,"&gt;=0")&lt;2),"No Data Yet",IFERROR(IF(S88/AVERAGEIFS($S$16:$S$215,$B$16:$B$215,B88)&gt;=1.2,"Good",IF(S88/AVERAGEIFS($S$16:$S$215,$B$16:$B$215,B88)&gt;=0.8,"Average","Below Standard")),"Average")))</f>
        <v/>
      </c>
      <c r="U88" s="23" t="str">
        <f aca="false">IF(OR(A88="",B88="",C88=""),"",COUNTIFS('Who Engaged'!$C$5:$C$1004,C88,'Who Engaged'!$P$5:$P$1004,"Yes",'Who Engaged'!$N$5:$N$1004,1))</f>
        <v/>
      </c>
      <c r="V88" s="23" t="str">
        <f aca="false">IF(OR(A88="",B88="",C88=""),"",COUNTIFS('Who Engaged'!$C$5:$C$1004,C88,'Who Engaged'!$P$5:$P$1004,"Yes",'Who Engaged'!$M$5:$M$1004,1))</f>
        <v/>
      </c>
      <c r="W88" s="26" t="str">
        <f aca="false" t="array" ref="W88:W88">IF(OR(A88="",B88="",C88=""),"",_xlfn.TEXTJOIN("; ",TRUE(),IF(('Who Engaged'!$C$5:$C$1004=C88)*('Who Engaged'!$P$5:$P$1004="Yes"),'Who Engaged'!$D$5:$D$1004&amp;" – "&amp;'Who Engaged'!$F$5:$F$1004&amp;IF('Who Engaged'!$M$5:$M$1004=1," (followed)",""),"")))</f>
        <v/>
      </c>
      <c r="X88" s="27"/>
      <c r="Y88" s="27"/>
      <c r="Z88" s="28"/>
      <c r="AA88" s="25" t="str">
        <f aca="false">IF(OR(A88="",B88="",C88=""),"","https://www.alphanodus.com/contact?utm_source="&amp;IF(B88="X","twitter",LOWER(B88))&amp;"&amp;utm_medium=social&amp;utm_campaign="&amp;IF(E88="","general",LOWER(SUBSTITUTE(SUBSTITUTE(E88," / ","-")," ","-")))&amp;"&amp;utm_content="&amp;LOWER(C88))</f>
        <v/>
      </c>
    </row>
    <row r="89" customFormat="false" ht="15" hidden="false" customHeight="false" outlineLevel="0" collapsed="false">
      <c r="A89" s="29"/>
      <c r="B89" s="28"/>
      <c r="C89" s="28"/>
      <c r="D89" s="27"/>
      <c r="E89" s="28"/>
      <c r="F89" s="28"/>
      <c r="G89" s="28"/>
      <c r="H89" s="22"/>
      <c r="I89" s="22"/>
      <c r="J89" s="22"/>
      <c r="K89" s="22"/>
      <c r="L89" s="22"/>
      <c r="M89" s="22"/>
      <c r="N89" s="22"/>
      <c r="O89" s="22"/>
      <c r="P89" s="23" t="str">
        <f aca="false">IF(OR(A89="",B89="",C89=""),"",IF(COUNT(J89:N89)=0,"",SUM(J89:N89)))</f>
        <v/>
      </c>
      <c r="Q89" s="23" t="str">
        <f aca="false">IF(OR(A89="",B89="",C89=""),"",SUMIFS('Who Engaged'!$I$5:$I$1004,'Who Engaged'!$C$5:$C$1004,C89,'Who Engaged'!$O$5:$O$1004,"Yes")+SUMIFS('Who Engaged'!$J$5:$J$1004,'Who Engaged'!$C$5:$C$1004,C89,'Who Engaged'!$O$5:$O$1004,"Yes")+SUMIFS('Who Engaged'!$K$5:$K$1004,'Who Engaged'!$C$5:$C$1004,C89,'Who Engaged'!$O$5:$O$1004,"Yes")+SUMIFS('Who Engaged'!$L$5:$L$1004,'Who Engaged'!$C$5:$C$1004,C89,'Who Engaged'!$O$5:$O$1004,"Yes"))</f>
        <v/>
      </c>
      <c r="R89" s="23" t="str">
        <f aca="false">IF(OR(OR(A89="",B89="",C89=""),P89=""),"",MAX(0,P89-N(Q89)))</f>
        <v/>
      </c>
      <c r="S89" s="24" t="str">
        <f aca="false">IF(OR(OR(A89="",B89="",C89=""),R89=""),"",IFERROR(R89/(IF(N(H89)&gt;0,H89,IF(N(I89)&gt;0,I89,IF(COUNTIFS($B$16:$B$215,B89,$H$16:$H$215,"&gt;0")+COUNTIFS($B$16:$B$215,B89,$I$16:$I$215,"&gt;0")&gt;0,"",INDEX($B$5:$B$7,MATCH(B89,$A$5:$A$7,0)))))),""))</f>
        <v/>
      </c>
      <c r="T89" s="25" t="str">
        <f aca="false">IF(OR(A89="",B89="",C89=""),"",IF(OR(S89="",COUNTIFS($B$16:$B$215,B89,$S$16:$S$215,"&gt;=0")&lt;2),"No Data Yet",IFERROR(IF(S89/AVERAGEIFS($S$16:$S$215,$B$16:$B$215,B89)&gt;=1.2,"Good",IF(S89/AVERAGEIFS($S$16:$S$215,$B$16:$B$215,B89)&gt;=0.8,"Average","Below Standard")),"Average")))</f>
        <v/>
      </c>
      <c r="U89" s="23" t="str">
        <f aca="false">IF(OR(A89="",B89="",C89=""),"",COUNTIFS('Who Engaged'!$C$5:$C$1004,C89,'Who Engaged'!$P$5:$P$1004,"Yes",'Who Engaged'!$N$5:$N$1004,1))</f>
        <v/>
      </c>
      <c r="V89" s="23" t="str">
        <f aca="false">IF(OR(A89="",B89="",C89=""),"",COUNTIFS('Who Engaged'!$C$5:$C$1004,C89,'Who Engaged'!$P$5:$P$1004,"Yes",'Who Engaged'!$M$5:$M$1004,1))</f>
        <v/>
      </c>
      <c r="W89" s="26" t="str">
        <f aca="false" t="array" ref="W89:W89">IF(OR(A89="",B89="",C89=""),"",_xlfn.TEXTJOIN("; ",TRUE(),IF(('Who Engaged'!$C$5:$C$1004=C89)*('Who Engaged'!$P$5:$P$1004="Yes"),'Who Engaged'!$D$5:$D$1004&amp;" – "&amp;'Who Engaged'!$F$5:$F$1004&amp;IF('Who Engaged'!$M$5:$M$1004=1," (followed)",""),"")))</f>
        <v/>
      </c>
      <c r="X89" s="27"/>
      <c r="Y89" s="27"/>
      <c r="Z89" s="28"/>
      <c r="AA89" s="25" t="str">
        <f aca="false">IF(OR(A89="",B89="",C89=""),"","https://www.alphanodus.com/contact?utm_source="&amp;IF(B89="X","twitter",LOWER(B89))&amp;"&amp;utm_medium=social&amp;utm_campaign="&amp;IF(E89="","general",LOWER(SUBSTITUTE(SUBSTITUTE(E89," / ","-")," ","-")))&amp;"&amp;utm_content="&amp;LOWER(C89))</f>
        <v/>
      </c>
    </row>
    <row r="90" customFormat="false" ht="15" hidden="false" customHeight="false" outlineLevel="0" collapsed="false">
      <c r="A90" s="29"/>
      <c r="B90" s="28"/>
      <c r="C90" s="28"/>
      <c r="D90" s="27"/>
      <c r="E90" s="28"/>
      <c r="F90" s="28"/>
      <c r="G90" s="28"/>
      <c r="H90" s="22"/>
      <c r="I90" s="22"/>
      <c r="J90" s="22"/>
      <c r="K90" s="22"/>
      <c r="L90" s="22"/>
      <c r="M90" s="22"/>
      <c r="N90" s="22"/>
      <c r="O90" s="22"/>
      <c r="P90" s="23" t="str">
        <f aca="false">IF(OR(A90="",B90="",C90=""),"",IF(COUNT(J90:N90)=0,"",SUM(J90:N90)))</f>
        <v/>
      </c>
      <c r="Q90" s="23" t="str">
        <f aca="false">IF(OR(A90="",B90="",C90=""),"",SUMIFS('Who Engaged'!$I$5:$I$1004,'Who Engaged'!$C$5:$C$1004,C90,'Who Engaged'!$O$5:$O$1004,"Yes")+SUMIFS('Who Engaged'!$J$5:$J$1004,'Who Engaged'!$C$5:$C$1004,C90,'Who Engaged'!$O$5:$O$1004,"Yes")+SUMIFS('Who Engaged'!$K$5:$K$1004,'Who Engaged'!$C$5:$C$1004,C90,'Who Engaged'!$O$5:$O$1004,"Yes")+SUMIFS('Who Engaged'!$L$5:$L$1004,'Who Engaged'!$C$5:$C$1004,C90,'Who Engaged'!$O$5:$O$1004,"Yes"))</f>
        <v/>
      </c>
      <c r="R90" s="23" t="str">
        <f aca="false">IF(OR(OR(A90="",B90="",C90=""),P90=""),"",MAX(0,P90-N(Q90)))</f>
        <v/>
      </c>
      <c r="S90" s="24" t="str">
        <f aca="false">IF(OR(OR(A90="",B90="",C90=""),R90=""),"",IFERROR(R90/(IF(N(H90)&gt;0,H90,IF(N(I90)&gt;0,I90,IF(COUNTIFS($B$16:$B$215,B90,$H$16:$H$215,"&gt;0")+COUNTIFS($B$16:$B$215,B90,$I$16:$I$215,"&gt;0")&gt;0,"",INDEX($B$5:$B$7,MATCH(B90,$A$5:$A$7,0)))))),""))</f>
        <v/>
      </c>
      <c r="T90" s="25" t="str">
        <f aca="false">IF(OR(A90="",B90="",C90=""),"",IF(OR(S90="",COUNTIFS($B$16:$B$215,B90,$S$16:$S$215,"&gt;=0")&lt;2),"No Data Yet",IFERROR(IF(S90/AVERAGEIFS($S$16:$S$215,$B$16:$B$215,B90)&gt;=1.2,"Good",IF(S90/AVERAGEIFS($S$16:$S$215,$B$16:$B$215,B90)&gt;=0.8,"Average","Below Standard")),"Average")))</f>
        <v/>
      </c>
      <c r="U90" s="23" t="str">
        <f aca="false">IF(OR(A90="",B90="",C90=""),"",COUNTIFS('Who Engaged'!$C$5:$C$1004,C90,'Who Engaged'!$P$5:$P$1004,"Yes",'Who Engaged'!$N$5:$N$1004,1))</f>
        <v/>
      </c>
      <c r="V90" s="23" t="str">
        <f aca="false">IF(OR(A90="",B90="",C90=""),"",COUNTIFS('Who Engaged'!$C$5:$C$1004,C90,'Who Engaged'!$P$5:$P$1004,"Yes",'Who Engaged'!$M$5:$M$1004,1))</f>
        <v/>
      </c>
      <c r="W90" s="26" t="str">
        <f aca="false" t="array" ref="W90:W90">IF(OR(A90="",B90="",C90=""),"",_xlfn.TEXTJOIN("; ",TRUE(),IF(('Who Engaged'!$C$5:$C$1004=C90)*('Who Engaged'!$P$5:$P$1004="Yes"),'Who Engaged'!$D$5:$D$1004&amp;" – "&amp;'Who Engaged'!$F$5:$F$1004&amp;IF('Who Engaged'!$M$5:$M$1004=1," (followed)",""),"")))</f>
        <v/>
      </c>
      <c r="X90" s="27"/>
      <c r="Y90" s="27"/>
      <c r="Z90" s="28"/>
      <c r="AA90" s="25" t="str">
        <f aca="false">IF(OR(A90="",B90="",C90=""),"","https://www.alphanodus.com/contact?utm_source="&amp;IF(B90="X","twitter",LOWER(B90))&amp;"&amp;utm_medium=social&amp;utm_campaign="&amp;IF(E90="","general",LOWER(SUBSTITUTE(SUBSTITUTE(E90," / ","-")," ","-")))&amp;"&amp;utm_content="&amp;LOWER(C90))</f>
        <v/>
      </c>
    </row>
    <row r="91" customFormat="false" ht="15" hidden="false" customHeight="false" outlineLevel="0" collapsed="false">
      <c r="A91" s="29"/>
      <c r="B91" s="28"/>
      <c r="C91" s="28"/>
      <c r="D91" s="27"/>
      <c r="E91" s="28"/>
      <c r="F91" s="28"/>
      <c r="G91" s="28"/>
      <c r="H91" s="22"/>
      <c r="I91" s="22"/>
      <c r="J91" s="22"/>
      <c r="K91" s="22"/>
      <c r="L91" s="22"/>
      <c r="M91" s="22"/>
      <c r="N91" s="22"/>
      <c r="O91" s="22"/>
      <c r="P91" s="23" t="str">
        <f aca="false">IF(OR(A91="",B91="",C91=""),"",IF(COUNT(J91:N91)=0,"",SUM(J91:N91)))</f>
        <v/>
      </c>
      <c r="Q91" s="23" t="str">
        <f aca="false">IF(OR(A91="",B91="",C91=""),"",SUMIFS('Who Engaged'!$I$5:$I$1004,'Who Engaged'!$C$5:$C$1004,C91,'Who Engaged'!$O$5:$O$1004,"Yes")+SUMIFS('Who Engaged'!$J$5:$J$1004,'Who Engaged'!$C$5:$C$1004,C91,'Who Engaged'!$O$5:$O$1004,"Yes")+SUMIFS('Who Engaged'!$K$5:$K$1004,'Who Engaged'!$C$5:$C$1004,C91,'Who Engaged'!$O$5:$O$1004,"Yes")+SUMIFS('Who Engaged'!$L$5:$L$1004,'Who Engaged'!$C$5:$C$1004,C91,'Who Engaged'!$O$5:$O$1004,"Yes"))</f>
        <v/>
      </c>
      <c r="R91" s="23" t="str">
        <f aca="false">IF(OR(OR(A91="",B91="",C91=""),P91=""),"",MAX(0,P91-N(Q91)))</f>
        <v/>
      </c>
      <c r="S91" s="24" t="str">
        <f aca="false">IF(OR(OR(A91="",B91="",C91=""),R91=""),"",IFERROR(R91/(IF(N(H91)&gt;0,H91,IF(N(I91)&gt;0,I91,IF(COUNTIFS($B$16:$B$215,B91,$H$16:$H$215,"&gt;0")+COUNTIFS($B$16:$B$215,B91,$I$16:$I$215,"&gt;0")&gt;0,"",INDEX($B$5:$B$7,MATCH(B91,$A$5:$A$7,0)))))),""))</f>
        <v/>
      </c>
      <c r="T91" s="25" t="str">
        <f aca="false">IF(OR(A91="",B91="",C91=""),"",IF(OR(S91="",COUNTIFS($B$16:$B$215,B91,$S$16:$S$215,"&gt;=0")&lt;2),"No Data Yet",IFERROR(IF(S91/AVERAGEIFS($S$16:$S$215,$B$16:$B$215,B91)&gt;=1.2,"Good",IF(S91/AVERAGEIFS($S$16:$S$215,$B$16:$B$215,B91)&gt;=0.8,"Average","Below Standard")),"Average")))</f>
        <v/>
      </c>
      <c r="U91" s="23" t="str">
        <f aca="false">IF(OR(A91="",B91="",C91=""),"",COUNTIFS('Who Engaged'!$C$5:$C$1004,C91,'Who Engaged'!$P$5:$P$1004,"Yes",'Who Engaged'!$N$5:$N$1004,1))</f>
        <v/>
      </c>
      <c r="V91" s="23" t="str">
        <f aca="false">IF(OR(A91="",B91="",C91=""),"",COUNTIFS('Who Engaged'!$C$5:$C$1004,C91,'Who Engaged'!$P$5:$P$1004,"Yes",'Who Engaged'!$M$5:$M$1004,1))</f>
        <v/>
      </c>
      <c r="W91" s="26" t="str">
        <f aca="false" t="array" ref="W91:W91">IF(OR(A91="",B91="",C91=""),"",_xlfn.TEXTJOIN("; ",TRUE(),IF(('Who Engaged'!$C$5:$C$1004=C91)*('Who Engaged'!$P$5:$P$1004="Yes"),'Who Engaged'!$D$5:$D$1004&amp;" – "&amp;'Who Engaged'!$F$5:$F$1004&amp;IF('Who Engaged'!$M$5:$M$1004=1," (followed)",""),"")))</f>
        <v/>
      </c>
      <c r="X91" s="27"/>
      <c r="Y91" s="27"/>
      <c r="Z91" s="28"/>
      <c r="AA91" s="25" t="str">
        <f aca="false">IF(OR(A91="",B91="",C91=""),"","https://www.alphanodus.com/contact?utm_source="&amp;IF(B91="X","twitter",LOWER(B91))&amp;"&amp;utm_medium=social&amp;utm_campaign="&amp;IF(E91="","general",LOWER(SUBSTITUTE(SUBSTITUTE(E91," / ","-")," ","-")))&amp;"&amp;utm_content="&amp;LOWER(C91))</f>
        <v/>
      </c>
    </row>
    <row r="92" customFormat="false" ht="15" hidden="false" customHeight="false" outlineLevel="0" collapsed="false">
      <c r="A92" s="29"/>
      <c r="B92" s="28"/>
      <c r="C92" s="28"/>
      <c r="D92" s="27"/>
      <c r="E92" s="28"/>
      <c r="F92" s="28"/>
      <c r="G92" s="28"/>
      <c r="H92" s="22"/>
      <c r="I92" s="22"/>
      <c r="J92" s="22"/>
      <c r="K92" s="22"/>
      <c r="L92" s="22"/>
      <c r="M92" s="22"/>
      <c r="N92" s="22"/>
      <c r="O92" s="22"/>
      <c r="P92" s="23" t="str">
        <f aca="false">IF(OR(A92="",B92="",C92=""),"",IF(COUNT(J92:N92)=0,"",SUM(J92:N92)))</f>
        <v/>
      </c>
      <c r="Q92" s="23" t="str">
        <f aca="false">IF(OR(A92="",B92="",C92=""),"",SUMIFS('Who Engaged'!$I$5:$I$1004,'Who Engaged'!$C$5:$C$1004,C92,'Who Engaged'!$O$5:$O$1004,"Yes")+SUMIFS('Who Engaged'!$J$5:$J$1004,'Who Engaged'!$C$5:$C$1004,C92,'Who Engaged'!$O$5:$O$1004,"Yes")+SUMIFS('Who Engaged'!$K$5:$K$1004,'Who Engaged'!$C$5:$C$1004,C92,'Who Engaged'!$O$5:$O$1004,"Yes")+SUMIFS('Who Engaged'!$L$5:$L$1004,'Who Engaged'!$C$5:$C$1004,C92,'Who Engaged'!$O$5:$O$1004,"Yes"))</f>
        <v/>
      </c>
      <c r="R92" s="23" t="str">
        <f aca="false">IF(OR(OR(A92="",B92="",C92=""),P92=""),"",MAX(0,P92-N(Q92)))</f>
        <v/>
      </c>
      <c r="S92" s="24" t="str">
        <f aca="false">IF(OR(OR(A92="",B92="",C92=""),R92=""),"",IFERROR(R92/(IF(N(H92)&gt;0,H92,IF(N(I92)&gt;0,I92,IF(COUNTIFS($B$16:$B$215,B92,$H$16:$H$215,"&gt;0")+COUNTIFS($B$16:$B$215,B92,$I$16:$I$215,"&gt;0")&gt;0,"",INDEX($B$5:$B$7,MATCH(B92,$A$5:$A$7,0)))))),""))</f>
        <v/>
      </c>
      <c r="T92" s="25" t="str">
        <f aca="false">IF(OR(A92="",B92="",C92=""),"",IF(OR(S92="",COUNTIFS($B$16:$B$215,B92,$S$16:$S$215,"&gt;=0")&lt;2),"No Data Yet",IFERROR(IF(S92/AVERAGEIFS($S$16:$S$215,$B$16:$B$215,B92)&gt;=1.2,"Good",IF(S92/AVERAGEIFS($S$16:$S$215,$B$16:$B$215,B92)&gt;=0.8,"Average","Below Standard")),"Average")))</f>
        <v/>
      </c>
      <c r="U92" s="23" t="str">
        <f aca="false">IF(OR(A92="",B92="",C92=""),"",COUNTIFS('Who Engaged'!$C$5:$C$1004,C92,'Who Engaged'!$P$5:$P$1004,"Yes",'Who Engaged'!$N$5:$N$1004,1))</f>
        <v/>
      </c>
      <c r="V92" s="23" t="str">
        <f aca="false">IF(OR(A92="",B92="",C92=""),"",COUNTIFS('Who Engaged'!$C$5:$C$1004,C92,'Who Engaged'!$P$5:$P$1004,"Yes",'Who Engaged'!$M$5:$M$1004,1))</f>
        <v/>
      </c>
      <c r="W92" s="26" t="str">
        <f aca="false" t="array" ref="W92:W92">IF(OR(A92="",B92="",C92=""),"",_xlfn.TEXTJOIN("; ",TRUE(),IF(('Who Engaged'!$C$5:$C$1004=C92)*('Who Engaged'!$P$5:$P$1004="Yes"),'Who Engaged'!$D$5:$D$1004&amp;" – "&amp;'Who Engaged'!$F$5:$F$1004&amp;IF('Who Engaged'!$M$5:$M$1004=1," (followed)",""),"")))</f>
        <v/>
      </c>
      <c r="X92" s="27"/>
      <c r="Y92" s="27"/>
      <c r="Z92" s="28"/>
      <c r="AA92" s="25" t="str">
        <f aca="false">IF(OR(A92="",B92="",C92=""),"","https://www.alphanodus.com/contact?utm_source="&amp;IF(B92="X","twitter",LOWER(B92))&amp;"&amp;utm_medium=social&amp;utm_campaign="&amp;IF(E92="","general",LOWER(SUBSTITUTE(SUBSTITUTE(E92," / ","-")," ","-")))&amp;"&amp;utm_content="&amp;LOWER(C92))</f>
        <v/>
      </c>
    </row>
    <row r="93" customFormat="false" ht="15" hidden="false" customHeight="false" outlineLevel="0" collapsed="false">
      <c r="A93" s="29"/>
      <c r="B93" s="28"/>
      <c r="C93" s="28"/>
      <c r="D93" s="27"/>
      <c r="E93" s="28"/>
      <c r="F93" s="28"/>
      <c r="G93" s="28"/>
      <c r="H93" s="22"/>
      <c r="I93" s="22"/>
      <c r="J93" s="22"/>
      <c r="K93" s="22"/>
      <c r="L93" s="22"/>
      <c r="M93" s="22"/>
      <c r="N93" s="22"/>
      <c r="O93" s="22"/>
      <c r="P93" s="23" t="str">
        <f aca="false">IF(OR(A93="",B93="",C93=""),"",IF(COUNT(J93:N93)=0,"",SUM(J93:N93)))</f>
        <v/>
      </c>
      <c r="Q93" s="23" t="str">
        <f aca="false">IF(OR(A93="",B93="",C93=""),"",SUMIFS('Who Engaged'!$I$5:$I$1004,'Who Engaged'!$C$5:$C$1004,C93,'Who Engaged'!$O$5:$O$1004,"Yes")+SUMIFS('Who Engaged'!$J$5:$J$1004,'Who Engaged'!$C$5:$C$1004,C93,'Who Engaged'!$O$5:$O$1004,"Yes")+SUMIFS('Who Engaged'!$K$5:$K$1004,'Who Engaged'!$C$5:$C$1004,C93,'Who Engaged'!$O$5:$O$1004,"Yes")+SUMIFS('Who Engaged'!$L$5:$L$1004,'Who Engaged'!$C$5:$C$1004,C93,'Who Engaged'!$O$5:$O$1004,"Yes"))</f>
        <v/>
      </c>
      <c r="R93" s="23" t="str">
        <f aca="false">IF(OR(OR(A93="",B93="",C93=""),P93=""),"",MAX(0,P93-N(Q93)))</f>
        <v/>
      </c>
      <c r="S93" s="24" t="str">
        <f aca="false">IF(OR(OR(A93="",B93="",C93=""),R93=""),"",IFERROR(R93/(IF(N(H93)&gt;0,H93,IF(N(I93)&gt;0,I93,IF(COUNTIFS($B$16:$B$215,B93,$H$16:$H$215,"&gt;0")+COUNTIFS($B$16:$B$215,B93,$I$16:$I$215,"&gt;0")&gt;0,"",INDEX($B$5:$B$7,MATCH(B93,$A$5:$A$7,0)))))),""))</f>
        <v/>
      </c>
      <c r="T93" s="25" t="str">
        <f aca="false">IF(OR(A93="",B93="",C93=""),"",IF(OR(S93="",COUNTIFS($B$16:$B$215,B93,$S$16:$S$215,"&gt;=0")&lt;2),"No Data Yet",IFERROR(IF(S93/AVERAGEIFS($S$16:$S$215,$B$16:$B$215,B93)&gt;=1.2,"Good",IF(S93/AVERAGEIFS($S$16:$S$215,$B$16:$B$215,B93)&gt;=0.8,"Average","Below Standard")),"Average")))</f>
        <v/>
      </c>
      <c r="U93" s="23" t="str">
        <f aca="false">IF(OR(A93="",B93="",C93=""),"",COUNTIFS('Who Engaged'!$C$5:$C$1004,C93,'Who Engaged'!$P$5:$P$1004,"Yes",'Who Engaged'!$N$5:$N$1004,1))</f>
        <v/>
      </c>
      <c r="V93" s="23" t="str">
        <f aca="false">IF(OR(A93="",B93="",C93=""),"",COUNTIFS('Who Engaged'!$C$5:$C$1004,C93,'Who Engaged'!$P$5:$P$1004,"Yes",'Who Engaged'!$M$5:$M$1004,1))</f>
        <v/>
      </c>
      <c r="W93" s="26" t="str">
        <f aca="false" t="array" ref="W93:W93">IF(OR(A93="",B93="",C93=""),"",_xlfn.TEXTJOIN("; ",TRUE(),IF(('Who Engaged'!$C$5:$C$1004=C93)*('Who Engaged'!$P$5:$P$1004="Yes"),'Who Engaged'!$D$5:$D$1004&amp;" – "&amp;'Who Engaged'!$F$5:$F$1004&amp;IF('Who Engaged'!$M$5:$M$1004=1," (followed)",""),"")))</f>
        <v/>
      </c>
      <c r="X93" s="27"/>
      <c r="Y93" s="27"/>
      <c r="Z93" s="28"/>
      <c r="AA93" s="25" t="str">
        <f aca="false">IF(OR(A93="",B93="",C93=""),"","https://www.alphanodus.com/contact?utm_source="&amp;IF(B93="X","twitter",LOWER(B93))&amp;"&amp;utm_medium=social&amp;utm_campaign="&amp;IF(E93="","general",LOWER(SUBSTITUTE(SUBSTITUTE(E93," / ","-")," ","-")))&amp;"&amp;utm_content="&amp;LOWER(C93))</f>
        <v/>
      </c>
    </row>
    <row r="94" customFormat="false" ht="15" hidden="false" customHeight="false" outlineLevel="0" collapsed="false">
      <c r="A94" s="29"/>
      <c r="B94" s="28"/>
      <c r="C94" s="28"/>
      <c r="D94" s="27"/>
      <c r="E94" s="28"/>
      <c r="F94" s="28"/>
      <c r="G94" s="28"/>
      <c r="H94" s="22"/>
      <c r="I94" s="22"/>
      <c r="J94" s="22"/>
      <c r="K94" s="22"/>
      <c r="L94" s="22"/>
      <c r="M94" s="22"/>
      <c r="N94" s="22"/>
      <c r="O94" s="22"/>
      <c r="P94" s="23" t="str">
        <f aca="false">IF(OR(A94="",B94="",C94=""),"",IF(COUNT(J94:N94)=0,"",SUM(J94:N94)))</f>
        <v/>
      </c>
      <c r="Q94" s="23" t="str">
        <f aca="false">IF(OR(A94="",B94="",C94=""),"",SUMIFS('Who Engaged'!$I$5:$I$1004,'Who Engaged'!$C$5:$C$1004,C94,'Who Engaged'!$O$5:$O$1004,"Yes")+SUMIFS('Who Engaged'!$J$5:$J$1004,'Who Engaged'!$C$5:$C$1004,C94,'Who Engaged'!$O$5:$O$1004,"Yes")+SUMIFS('Who Engaged'!$K$5:$K$1004,'Who Engaged'!$C$5:$C$1004,C94,'Who Engaged'!$O$5:$O$1004,"Yes")+SUMIFS('Who Engaged'!$L$5:$L$1004,'Who Engaged'!$C$5:$C$1004,C94,'Who Engaged'!$O$5:$O$1004,"Yes"))</f>
        <v/>
      </c>
      <c r="R94" s="23" t="str">
        <f aca="false">IF(OR(OR(A94="",B94="",C94=""),P94=""),"",MAX(0,P94-N(Q94)))</f>
        <v/>
      </c>
      <c r="S94" s="24" t="str">
        <f aca="false">IF(OR(OR(A94="",B94="",C94=""),R94=""),"",IFERROR(R94/(IF(N(H94)&gt;0,H94,IF(N(I94)&gt;0,I94,IF(COUNTIFS($B$16:$B$215,B94,$H$16:$H$215,"&gt;0")+COUNTIFS($B$16:$B$215,B94,$I$16:$I$215,"&gt;0")&gt;0,"",INDEX($B$5:$B$7,MATCH(B94,$A$5:$A$7,0)))))),""))</f>
        <v/>
      </c>
      <c r="T94" s="25" t="str">
        <f aca="false">IF(OR(A94="",B94="",C94=""),"",IF(OR(S94="",COUNTIFS($B$16:$B$215,B94,$S$16:$S$215,"&gt;=0")&lt;2),"No Data Yet",IFERROR(IF(S94/AVERAGEIFS($S$16:$S$215,$B$16:$B$215,B94)&gt;=1.2,"Good",IF(S94/AVERAGEIFS($S$16:$S$215,$B$16:$B$215,B94)&gt;=0.8,"Average","Below Standard")),"Average")))</f>
        <v/>
      </c>
      <c r="U94" s="23" t="str">
        <f aca="false">IF(OR(A94="",B94="",C94=""),"",COUNTIFS('Who Engaged'!$C$5:$C$1004,C94,'Who Engaged'!$P$5:$P$1004,"Yes",'Who Engaged'!$N$5:$N$1004,1))</f>
        <v/>
      </c>
      <c r="V94" s="23" t="str">
        <f aca="false">IF(OR(A94="",B94="",C94=""),"",COUNTIFS('Who Engaged'!$C$5:$C$1004,C94,'Who Engaged'!$P$5:$P$1004,"Yes",'Who Engaged'!$M$5:$M$1004,1))</f>
        <v/>
      </c>
      <c r="W94" s="26" t="str">
        <f aca="false" t="array" ref="W94:W94">IF(OR(A94="",B94="",C94=""),"",_xlfn.TEXTJOIN("; ",TRUE(),IF(('Who Engaged'!$C$5:$C$1004=C94)*('Who Engaged'!$P$5:$P$1004="Yes"),'Who Engaged'!$D$5:$D$1004&amp;" – "&amp;'Who Engaged'!$F$5:$F$1004&amp;IF('Who Engaged'!$M$5:$M$1004=1," (followed)",""),"")))</f>
        <v/>
      </c>
      <c r="X94" s="27"/>
      <c r="Y94" s="27"/>
      <c r="Z94" s="28"/>
      <c r="AA94" s="25" t="str">
        <f aca="false">IF(OR(A94="",B94="",C94=""),"","https://www.alphanodus.com/contact?utm_source="&amp;IF(B94="X","twitter",LOWER(B94))&amp;"&amp;utm_medium=social&amp;utm_campaign="&amp;IF(E94="","general",LOWER(SUBSTITUTE(SUBSTITUTE(E94," / ","-")," ","-")))&amp;"&amp;utm_content="&amp;LOWER(C94))</f>
        <v/>
      </c>
    </row>
    <row r="95" customFormat="false" ht="15" hidden="false" customHeight="false" outlineLevel="0" collapsed="false">
      <c r="A95" s="29"/>
      <c r="B95" s="28"/>
      <c r="C95" s="28"/>
      <c r="D95" s="27"/>
      <c r="E95" s="28"/>
      <c r="F95" s="28"/>
      <c r="G95" s="28"/>
      <c r="H95" s="22"/>
      <c r="I95" s="22"/>
      <c r="J95" s="22"/>
      <c r="K95" s="22"/>
      <c r="L95" s="22"/>
      <c r="M95" s="22"/>
      <c r="N95" s="22"/>
      <c r="O95" s="22"/>
      <c r="P95" s="23" t="str">
        <f aca="false">IF(OR(A95="",B95="",C95=""),"",IF(COUNT(J95:N95)=0,"",SUM(J95:N95)))</f>
        <v/>
      </c>
      <c r="Q95" s="23" t="str">
        <f aca="false">IF(OR(A95="",B95="",C95=""),"",SUMIFS('Who Engaged'!$I$5:$I$1004,'Who Engaged'!$C$5:$C$1004,C95,'Who Engaged'!$O$5:$O$1004,"Yes")+SUMIFS('Who Engaged'!$J$5:$J$1004,'Who Engaged'!$C$5:$C$1004,C95,'Who Engaged'!$O$5:$O$1004,"Yes")+SUMIFS('Who Engaged'!$K$5:$K$1004,'Who Engaged'!$C$5:$C$1004,C95,'Who Engaged'!$O$5:$O$1004,"Yes")+SUMIFS('Who Engaged'!$L$5:$L$1004,'Who Engaged'!$C$5:$C$1004,C95,'Who Engaged'!$O$5:$O$1004,"Yes"))</f>
        <v/>
      </c>
      <c r="R95" s="23" t="str">
        <f aca="false">IF(OR(OR(A95="",B95="",C95=""),P95=""),"",MAX(0,P95-N(Q95)))</f>
        <v/>
      </c>
      <c r="S95" s="24" t="str">
        <f aca="false">IF(OR(OR(A95="",B95="",C95=""),R95=""),"",IFERROR(R95/(IF(N(H95)&gt;0,H95,IF(N(I95)&gt;0,I95,IF(COUNTIFS($B$16:$B$215,B95,$H$16:$H$215,"&gt;0")+COUNTIFS($B$16:$B$215,B95,$I$16:$I$215,"&gt;0")&gt;0,"",INDEX($B$5:$B$7,MATCH(B95,$A$5:$A$7,0)))))),""))</f>
        <v/>
      </c>
      <c r="T95" s="25" t="str">
        <f aca="false">IF(OR(A95="",B95="",C95=""),"",IF(OR(S95="",COUNTIFS($B$16:$B$215,B95,$S$16:$S$215,"&gt;=0")&lt;2),"No Data Yet",IFERROR(IF(S95/AVERAGEIFS($S$16:$S$215,$B$16:$B$215,B95)&gt;=1.2,"Good",IF(S95/AVERAGEIFS($S$16:$S$215,$B$16:$B$215,B95)&gt;=0.8,"Average","Below Standard")),"Average")))</f>
        <v/>
      </c>
      <c r="U95" s="23" t="str">
        <f aca="false">IF(OR(A95="",B95="",C95=""),"",COUNTIFS('Who Engaged'!$C$5:$C$1004,C95,'Who Engaged'!$P$5:$P$1004,"Yes",'Who Engaged'!$N$5:$N$1004,1))</f>
        <v/>
      </c>
      <c r="V95" s="23" t="str">
        <f aca="false">IF(OR(A95="",B95="",C95=""),"",COUNTIFS('Who Engaged'!$C$5:$C$1004,C95,'Who Engaged'!$P$5:$P$1004,"Yes",'Who Engaged'!$M$5:$M$1004,1))</f>
        <v/>
      </c>
      <c r="W95" s="26" t="str">
        <f aca="false" t="array" ref="W95:W95">IF(OR(A95="",B95="",C95=""),"",_xlfn.TEXTJOIN("; ",TRUE(),IF(('Who Engaged'!$C$5:$C$1004=C95)*('Who Engaged'!$P$5:$P$1004="Yes"),'Who Engaged'!$D$5:$D$1004&amp;" – "&amp;'Who Engaged'!$F$5:$F$1004&amp;IF('Who Engaged'!$M$5:$M$1004=1," (followed)",""),"")))</f>
        <v/>
      </c>
      <c r="X95" s="27"/>
      <c r="Y95" s="27"/>
      <c r="Z95" s="28"/>
      <c r="AA95" s="25" t="str">
        <f aca="false">IF(OR(A95="",B95="",C95=""),"","https://www.alphanodus.com/contact?utm_source="&amp;IF(B95="X","twitter",LOWER(B95))&amp;"&amp;utm_medium=social&amp;utm_campaign="&amp;IF(E95="","general",LOWER(SUBSTITUTE(SUBSTITUTE(E95," / ","-")," ","-")))&amp;"&amp;utm_content="&amp;LOWER(C95))</f>
        <v/>
      </c>
    </row>
    <row r="96" customFormat="false" ht="15" hidden="false" customHeight="false" outlineLevel="0" collapsed="false">
      <c r="A96" s="29"/>
      <c r="B96" s="28"/>
      <c r="C96" s="28"/>
      <c r="D96" s="27"/>
      <c r="E96" s="28"/>
      <c r="F96" s="28"/>
      <c r="G96" s="28"/>
      <c r="H96" s="22"/>
      <c r="I96" s="22"/>
      <c r="J96" s="22"/>
      <c r="K96" s="22"/>
      <c r="L96" s="22"/>
      <c r="M96" s="22"/>
      <c r="N96" s="22"/>
      <c r="O96" s="22"/>
      <c r="P96" s="23" t="str">
        <f aca="false">IF(OR(A96="",B96="",C96=""),"",IF(COUNT(J96:N96)=0,"",SUM(J96:N96)))</f>
        <v/>
      </c>
      <c r="Q96" s="23" t="str">
        <f aca="false">IF(OR(A96="",B96="",C96=""),"",SUMIFS('Who Engaged'!$I$5:$I$1004,'Who Engaged'!$C$5:$C$1004,C96,'Who Engaged'!$O$5:$O$1004,"Yes")+SUMIFS('Who Engaged'!$J$5:$J$1004,'Who Engaged'!$C$5:$C$1004,C96,'Who Engaged'!$O$5:$O$1004,"Yes")+SUMIFS('Who Engaged'!$K$5:$K$1004,'Who Engaged'!$C$5:$C$1004,C96,'Who Engaged'!$O$5:$O$1004,"Yes")+SUMIFS('Who Engaged'!$L$5:$L$1004,'Who Engaged'!$C$5:$C$1004,C96,'Who Engaged'!$O$5:$O$1004,"Yes"))</f>
        <v/>
      </c>
      <c r="R96" s="23" t="str">
        <f aca="false">IF(OR(OR(A96="",B96="",C96=""),P96=""),"",MAX(0,P96-N(Q96)))</f>
        <v/>
      </c>
      <c r="S96" s="24" t="str">
        <f aca="false">IF(OR(OR(A96="",B96="",C96=""),R96=""),"",IFERROR(R96/(IF(N(H96)&gt;0,H96,IF(N(I96)&gt;0,I96,IF(COUNTIFS($B$16:$B$215,B96,$H$16:$H$215,"&gt;0")+COUNTIFS($B$16:$B$215,B96,$I$16:$I$215,"&gt;0")&gt;0,"",INDEX($B$5:$B$7,MATCH(B96,$A$5:$A$7,0)))))),""))</f>
        <v/>
      </c>
      <c r="T96" s="25" t="str">
        <f aca="false">IF(OR(A96="",B96="",C96=""),"",IF(OR(S96="",COUNTIFS($B$16:$B$215,B96,$S$16:$S$215,"&gt;=0")&lt;2),"No Data Yet",IFERROR(IF(S96/AVERAGEIFS($S$16:$S$215,$B$16:$B$215,B96)&gt;=1.2,"Good",IF(S96/AVERAGEIFS($S$16:$S$215,$B$16:$B$215,B96)&gt;=0.8,"Average","Below Standard")),"Average")))</f>
        <v/>
      </c>
      <c r="U96" s="23" t="str">
        <f aca="false">IF(OR(A96="",B96="",C96=""),"",COUNTIFS('Who Engaged'!$C$5:$C$1004,C96,'Who Engaged'!$P$5:$P$1004,"Yes",'Who Engaged'!$N$5:$N$1004,1))</f>
        <v/>
      </c>
      <c r="V96" s="23" t="str">
        <f aca="false">IF(OR(A96="",B96="",C96=""),"",COUNTIFS('Who Engaged'!$C$5:$C$1004,C96,'Who Engaged'!$P$5:$P$1004,"Yes",'Who Engaged'!$M$5:$M$1004,1))</f>
        <v/>
      </c>
      <c r="W96" s="26" t="str">
        <f aca="false" t="array" ref="W96:W96">IF(OR(A96="",B96="",C96=""),"",_xlfn.TEXTJOIN("; ",TRUE(),IF(('Who Engaged'!$C$5:$C$1004=C96)*('Who Engaged'!$P$5:$P$1004="Yes"),'Who Engaged'!$D$5:$D$1004&amp;" – "&amp;'Who Engaged'!$F$5:$F$1004&amp;IF('Who Engaged'!$M$5:$M$1004=1," (followed)",""),"")))</f>
        <v/>
      </c>
      <c r="X96" s="27"/>
      <c r="Y96" s="27"/>
      <c r="Z96" s="28"/>
      <c r="AA96" s="25" t="str">
        <f aca="false">IF(OR(A96="",B96="",C96=""),"","https://www.alphanodus.com/contact?utm_source="&amp;IF(B96="X","twitter",LOWER(B96))&amp;"&amp;utm_medium=social&amp;utm_campaign="&amp;IF(E96="","general",LOWER(SUBSTITUTE(SUBSTITUTE(E96," / ","-")," ","-")))&amp;"&amp;utm_content="&amp;LOWER(C96))</f>
        <v/>
      </c>
    </row>
    <row r="97" customFormat="false" ht="15" hidden="false" customHeight="false" outlineLevel="0" collapsed="false">
      <c r="A97" s="29"/>
      <c r="B97" s="28"/>
      <c r="C97" s="28"/>
      <c r="D97" s="27"/>
      <c r="E97" s="28"/>
      <c r="F97" s="28"/>
      <c r="G97" s="28"/>
      <c r="H97" s="22"/>
      <c r="I97" s="22"/>
      <c r="J97" s="22"/>
      <c r="K97" s="22"/>
      <c r="L97" s="22"/>
      <c r="M97" s="22"/>
      <c r="N97" s="22"/>
      <c r="O97" s="22"/>
      <c r="P97" s="23" t="str">
        <f aca="false">IF(OR(A97="",B97="",C97=""),"",IF(COUNT(J97:N97)=0,"",SUM(J97:N97)))</f>
        <v/>
      </c>
      <c r="Q97" s="23" t="str">
        <f aca="false">IF(OR(A97="",B97="",C97=""),"",SUMIFS('Who Engaged'!$I$5:$I$1004,'Who Engaged'!$C$5:$C$1004,C97,'Who Engaged'!$O$5:$O$1004,"Yes")+SUMIFS('Who Engaged'!$J$5:$J$1004,'Who Engaged'!$C$5:$C$1004,C97,'Who Engaged'!$O$5:$O$1004,"Yes")+SUMIFS('Who Engaged'!$K$5:$K$1004,'Who Engaged'!$C$5:$C$1004,C97,'Who Engaged'!$O$5:$O$1004,"Yes")+SUMIFS('Who Engaged'!$L$5:$L$1004,'Who Engaged'!$C$5:$C$1004,C97,'Who Engaged'!$O$5:$O$1004,"Yes"))</f>
        <v/>
      </c>
      <c r="R97" s="23" t="str">
        <f aca="false">IF(OR(OR(A97="",B97="",C97=""),P97=""),"",MAX(0,P97-N(Q97)))</f>
        <v/>
      </c>
      <c r="S97" s="24" t="str">
        <f aca="false">IF(OR(OR(A97="",B97="",C97=""),R97=""),"",IFERROR(R97/(IF(N(H97)&gt;0,H97,IF(N(I97)&gt;0,I97,IF(COUNTIFS($B$16:$B$215,B97,$H$16:$H$215,"&gt;0")+COUNTIFS($B$16:$B$215,B97,$I$16:$I$215,"&gt;0")&gt;0,"",INDEX($B$5:$B$7,MATCH(B97,$A$5:$A$7,0)))))),""))</f>
        <v/>
      </c>
      <c r="T97" s="25" t="str">
        <f aca="false">IF(OR(A97="",B97="",C97=""),"",IF(OR(S97="",COUNTIFS($B$16:$B$215,B97,$S$16:$S$215,"&gt;=0")&lt;2),"No Data Yet",IFERROR(IF(S97/AVERAGEIFS($S$16:$S$215,$B$16:$B$215,B97)&gt;=1.2,"Good",IF(S97/AVERAGEIFS($S$16:$S$215,$B$16:$B$215,B97)&gt;=0.8,"Average","Below Standard")),"Average")))</f>
        <v/>
      </c>
      <c r="U97" s="23" t="str">
        <f aca="false">IF(OR(A97="",B97="",C97=""),"",COUNTIFS('Who Engaged'!$C$5:$C$1004,C97,'Who Engaged'!$P$5:$P$1004,"Yes",'Who Engaged'!$N$5:$N$1004,1))</f>
        <v/>
      </c>
      <c r="V97" s="23" t="str">
        <f aca="false">IF(OR(A97="",B97="",C97=""),"",COUNTIFS('Who Engaged'!$C$5:$C$1004,C97,'Who Engaged'!$P$5:$P$1004,"Yes",'Who Engaged'!$M$5:$M$1004,1))</f>
        <v/>
      </c>
      <c r="W97" s="26" t="str">
        <f aca="false" t="array" ref="W97:W97">IF(OR(A97="",B97="",C97=""),"",_xlfn.TEXTJOIN("; ",TRUE(),IF(('Who Engaged'!$C$5:$C$1004=C97)*('Who Engaged'!$P$5:$P$1004="Yes"),'Who Engaged'!$D$5:$D$1004&amp;" – "&amp;'Who Engaged'!$F$5:$F$1004&amp;IF('Who Engaged'!$M$5:$M$1004=1," (followed)",""),"")))</f>
        <v/>
      </c>
      <c r="X97" s="27"/>
      <c r="Y97" s="27"/>
      <c r="Z97" s="28"/>
      <c r="AA97" s="25" t="str">
        <f aca="false">IF(OR(A97="",B97="",C97=""),"","https://www.alphanodus.com/contact?utm_source="&amp;IF(B97="X","twitter",LOWER(B97))&amp;"&amp;utm_medium=social&amp;utm_campaign="&amp;IF(E97="","general",LOWER(SUBSTITUTE(SUBSTITUTE(E97," / ","-")," ","-")))&amp;"&amp;utm_content="&amp;LOWER(C97))</f>
        <v/>
      </c>
    </row>
    <row r="98" customFormat="false" ht="15" hidden="false" customHeight="false" outlineLevel="0" collapsed="false">
      <c r="A98" s="29"/>
      <c r="B98" s="28"/>
      <c r="C98" s="28"/>
      <c r="D98" s="27"/>
      <c r="E98" s="28"/>
      <c r="F98" s="28"/>
      <c r="G98" s="28"/>
      <c r="H98" s="22"/>
      <c r="I98" s="22"/>
      <c r="J98" s="22"/>
      <c r="K98" s="22"/>
      <c r="L98" s="22"/>
      <c r="M98" s="22"/>
      <c r="N98" s="22"/>
      <c r="O98" s="22"/>
      <c r="P98" s="23" t="str">
        <f aca="false">IF(OR(A98="",B98="",C98=""),"",IF(COUNT(J98:N98)=0,"",SUM(J98:N98)))</f>
        <v/>
      </c>
      <c r="Q98" s="23" t="str">
        <f aca="false">IF(OR(A98="",B98="",C98=""),"",SUMIFS('Who Engaged'!$I$5:$I$1004,'Who Engaged'!$C$5:$C$1004,C98,'Who Engaged'!$O$5:$O$1004,"Yes")+SUMIFS('Who Engaged'!$J$5:$J$1004,'Who Engaged'!$C$5:$C$1004,C98,'Who Engaged'!$O$5:$O$1004,"Yes")+SUMIFS('Who Engaged'!$K$5:$K$1004,'Who Engaged'!$C$5:$C$1004,C98,'Who Engaged'!$O$5:$O$1004,"Yes")+SUMIFS('Who Engaged'!$L$5:$L$1004,'Who Engaged'!$C$5:$C$1004,C98,'Who Engaged'!$O$5:$O$1004,"Yes"))</f>
        <v/>
      </c>
      <c r="R98" s="23" t="str">
        <f aca="false">IF(OR(OR(A98="",B98="",C98=""),P98=""),"",MAX(0,P98-N(Q98)))</f>
        <v/>
      </c>
      <c r="S98" s="24" t="str">
        <f aca="false">IF(OR(OR(A98="",B98="",C98=""),R98=""),"",IFERROR(R98/(IF(N(H98)&gt;0,H98,IF(N(I98)&gt;0,I98,IF(COUNTIFS($B$16:$B$215,B98,$H$16:$H$215,"&gt;0")+COUNTIFS($B$16:$B$215,B98,$I$16:$I$215,"&gt;0")&gt;0,"",INDEX($B$5:$B$7,MATCH(B98,$A$5:$A$7,0)))))),""))</f>
        <v/>
      </c>
      <c r="T98" s="25" t="str">
        <f aca="false">IF(OR(A98="",B98="",C98=""),"",IF(OR(S98="",COUNTIFS($B$16:$B$215,B98,$S$16:$S$215,"&gt;=0")&lt;2),"No Data Yet",IFERROR(IF(S98/AVERAGEIFS($S$16:$S$215,$B$16:$B$215,B98)&gt;=1.2,"Good",IF(S98/AVERAGEIFS($S$16:$S$215,$B$16:$B$215,B98)&gt;=0.8,"Average","Below Standard")),"Average")))</f>
        <v/>
      </c>
      <c r="U98" s="23" t="str">
        <f aca="false">IF(OR(A98="",B98="",C98=""),"",COUNTIFS('Who Engaged'!$C$5:$C$1004,C98,'Who Engaged'!$P$5:$P$1004,"Yes",'Who Engaged'!$N$5:$N$1004,1))</f>
        <v/>
      </c>
      <c r="V98" s="23" t="str">
        <f aca="false">IF(OR(A98="",B98="",C98=""),"",COUNTIFS('Who Engaged'!$C$5:$C$1004,C98,'Who Engaged'!$P$5:$P$1004,"Yes",'Who Engaged'!$M$5:$M$1004,1))</f>
        <v/>
      </c>
      <c r="W98" s="26" t="str">
        <f aca="false" t="array" ref="W98:W98">IF(OR(A98="",B98="",C98=""),"",_xlfn.TEXTJOIN("; ",TRUE(),IF(('Who Engaged'!$C$5:$C$1004=C98)*('Who Engaged'!$P$5:$P$1004="Yes"),'Who Engaged'!$D$5:$D$1004&amp;" – "&amp;'Who Engaged'!$F$5:$F$1004&amp;IF('Who Engaged'!$M$5:$M$1004=1," (followed)",""),"")))</f>
        <v/>
      </c>
      <c r="X98" s="27"/>
      <c r="Y98" s="27"/>
      <c r="Z98" s="28"/>
      <c r="AA98" s="25" t="str">
        <f aca="false">IF(OR(A98="",B98="",C98=""),"","https://www.alphanodus.com/contact?utm_source="&amp;IF(B98="X","twitter",LOWER(B98))&amp;"&amp;utm_medium=social&amp;utm_campaign="&amp;IF(E98="","general",LOWER(SUBSTITUTE(SUBSTITUTE(E98," / ","-")," ","-")))&amp;"&amp;utm_content="&amp;LOWER(C98))</f>
        <v/>
      </c>
    </row>
    <row r="99" customFormat="false" ht="15" hidden="false" customHeight="false" outlineLevel="0" collapsed="false">
      <c r="A99" s="29"/>
      <c r="B99" s="28"/>
      <c r="C99" s="28"/>
      <c r="D99" s="27"/>
      <c r="E99" s="28"/>
      <c r="F99" s="28"/>
      <c r="G99" s="28"/>
      <c r="H99" s="22"/>
      <c r="I99" s="22"/>
      <c r="J99" s="22"/>
      <c r="K99" s="22"/>
      <c r="L99" s="22"/>
      <c r="M99" s="22"/>
      <c r="N99" s="22"/>
      <c r="O99" s="22"/>
      <c r="P99" s="23" t="str">
        <f aca="false">IF(OR(A99="",B99="",C99=""),"",IF(COUNT(J99:N99)=0,"",SUM(J99:N99)))</f>
        <v/>
      </c>
      <c r="Q99" s="23" t="str">
        <f aca="false">IF(OR(A99="",B99="",C99=""),"",SUMIFS('Who Engaged'!$I$5:$I$1004,'Who Engaged'!$C$5:$C$1004,C99,'Who Engaged'!$O$5:$O$1004,"Yes")+SUMIFS('Who Engaged'!$J$5:$J$1004,'Who Engaged'!$C$5:$C$1004,C99,'Who Engaged'!$O$5:$O$1004,"Yes")+SUMIFS('Who Engaged'!$K$5:$K$1004,'Who Engaged'!$C$5:$C$1004,C99,'Who Engaged'!$O$5:$O$1004,"Yes")+SUMIFS('Who Engaged'!$L$5:$L$1004,'Who Engaged'!$C$5:$C$1004,C99,'Who Engaged'!$O$5:$O$1004,"Yes"))</f>
        <v/>
      </c>
      <c r="R99" s="23" t="str">
        <f aca="false">IF(OR(OR(A99="",B99="",C99=""),P99=""),"",MAX(0,P99-N(Q99)))</f>
        <v/>
      </c>
      <c r="S99" s="24" t="str">
        <f aca="false">IF(OR(OR(A99="",B99="",C99=""),R99=""),"",IFERROR(R99/(IF(N(H99)&gt;0,H99,IF(N(I99)&gt;0,I99,IF(COUNTIFS($B$16:$B$215,B99,$H$16:$H$215,"&gt;0")+COUNTIFS($B$16:$B$215,B99,$I$16:$I$215,"&gt;0")&gt;0,"",INDEX($B$5:$B$7,MATCH(B99,$A$5:$A$7,0)))))),""))</f>
        <v/>
      </c>
      <c r="T99" s="25" t="str">
        <f aca="false">IF(OR(A99="",B99="",C99=""),"",IF(OR(S99="",COUNTIFS($B$16:$B$215,B99,$S$16:$S$215,"&gt;=0")&lt;2),"No Data Yet",IFERROR(IF(S99/AVERAGEIFS($S$16:$S$215,$B$16:$B$215,B99)&gt;=1.2,"Good",IF(S99/AVERAGEIFS($S$16:$S$215,$B$16:$B$215,B99)&gt;=0.8,"Average","Below Standard")),"Average")))</f>
        <v/>
      </c>
      <c r="U99" s="23" t="str">
        <f aca="false">IF(OR(A99="",B99="",C99=""),"",COUNTIFS('Who Engaged'!$C$5:$C$1004,C99,'Who Engaged'!$P$5:$P$1004,"Yes",'Who Engaged'!$N$5:$N$1004,1))</f>
        <v/>
      </c>
      <c r="V99" s="23" t="str">
        <f aca="false">IF(OR(A99="",B99="",C99=""),"",COUNTIFS('Who Engaged'!$C$5:$C$1004,C99,'Who Engaged'!$P$5:$P$1004,"Yes",'Who Engaged'!$M$5:$M$1004,1))</f>
        <v/>
      </c>
      <c r="W99" s="26" t="str">
        <f aca="false" t="array" ref="W99:W99">IF(OR(A99="",B99="",C99=""),"",_xlfn.TEXTJOIN("; ",TRUE(),IF(('Who Engaged'!$C$5:$C$1004=C99)*('Who Engaged'!$P$5:$P$1004="Yes"),'Who Engaged'!$D$5:$D$1004&amp;" – "&amp;'Who Engaged'!$F$5:$F$1004&amp;IF('Who Engaged'!$M$5:$M$1004=1," (followed)",""),"")))</f>
        <v/>
      </c>
      <c r="X99" s="27"/>
      <c r="Y99" s="27"/>
      <c r="Z99" s="28"/>
      <c r="AA99" s="25" t="str">
        <f aca="false">IF(OR(A99="",B99="",C99=""),"","https://www.alphanodus.com/contact?utm_source="&amp;IF(B99="X","twitter",LOWER(B99))&amp;"&amp;utm_medium=social&amp;utm_campaign="&amp;IF(E99="","general",LOWER(SUBSTITUTE(SUBSTITUTE(E99," / ","-")," ","-")))&amp;"&amp;utm_content="&amp;LOWER(C99))</f>
        <v/>
      </c>
    </row>
    <row r="100" customFormat="false" ht="15" hidden="false" customHeight="false" outlineLevel="0" collapsed="false">
      <c r="A100" s="29"/>
      <c r="B100" s="28"/>
      <c r="C100" s="28"/>
      <c r="D100" s="27"/>
      <c r="E100" s="28"/>
      <c r="F100" s="28"/>
      <c r="G100" s="28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IF(OR(A100="",B100="",C100=""),"",IF(COUNT(J100:N100)=0,"",SUM(J100:N100)))</f>
        <v/>
      </c>
      <c r="Q100" s="23" t="str">
        <f aca="false">IF(OR(A100="",B100="",C100=""),"",SUMIFS('Who Engaged'!$I$5:$I$1004,'Who Engaged'!$C$5:$C$1004,C100,'Who Engaged'!$O$5:$O$1004,"Yes")+SUMIFS('Who Engaged'!$J$5:$J$1004,'Who Engaged'!$C$5:$C$1004,C100,'Who Engaged'!$O$5:$O$1004,"Yes")+SUMIFS('Who Engaged'!$K$5:$K$1004,'Who Engaged'!$C$5:$C$1004,C100,'Who Engaged'!$O$5:$O$1004,"Yes")+SUMIFS('Who Engaged'!$L$5:$L$1004,'Who Engaged'!$C$5:$C$1004,C100,'Who Engaged'!$O$5:$O$1004,"Yes"))</f>
        <v/>
      </c>
      <c r="R100" s="23" t="str">
        <f aca="false">IF(OR(OR(A100="",B100="",C100=""),P100=""),"",MAX(0,P100-N(Q100)))</f>
        <v/>
      </c>
      <c r="S100" s="24" t="str">
        <f aca="false">IF(OR(OR(A100="",B100="",C100=""),R100=""),"",IFERROR(R100/(IF(N(H100)&gt;0,H100,IF(N(I100)&gt;0,I100,IF(COUNTIFS($B$16:$B$215,B100,$H$16:$H$215,"&gt;0")+COUNTIFS($B$16:$B$215,B100,$I$16:$I$215,"&gt;0")&gt;0,"",INDEX($B$5:$B$7,MATCH(B100,$A$5:$A$7,0)))))),""))</f>
        <v/>
      </c>
      <c r="T100" s="25" t="str">
        <f aca="false">IF(OR(A100="",B100="",C100=""),"",IF(OR(S100="",COUNTIFS($B$16:$B$215,B100,$S$16:$S$215,"&gt;=0")&lt;2),"No Data Yet",IFERROR(IF(S100/AVERAGEIFS($S$16:$S$215,$B$16:$B$215,B100)&gt;=1.2,"Good",IF(S100/AVERAGEIFS($S$16:$S$215,$B$16:$B$215,B100)&gt;=0.8,"Average","Below Standard")),"Average")))</f>
        <v/>
      </c>
      <c r="U100" s="23" t="str">
        <f aca="false">IF(OR(A100="",B100="",C100=""),"",COUNTIFS('Who Engaged'!$C$5:$C$1004,C100,'Who Engaged'!$P$5:$P$1004,"Yes",'Who Engaged'!$N$5:$N$1004,1))</f>
        <v/>
      </c>
      <c r="V100" s="23" t="str">
        <f aca="false">IF(OR(A100="",B100="",C100=""),"",COUNTIFS('Who Engaged'!$C$5:$C$1004,C100,'Who Engaged'!$P$5:$P$1004,"Yes",'Who Engaged'!$M$5:$M$1004,1))</f>
        <v/>
      </c>
      <c r="W100" s="26" t="str">
        <f aca="false" t="array" ref="W100:W100">IF(OR(A100="",B100="",C100=""),"",_xlfn.TEXTJOIN("; ",TRUE(),IF(('Who Engaged'!$C$5:$C$1004=C100)*('Who Engaged'!$P$5:$P$1004="Yes"),'Who Engaged'!$D$5:$D$1004&amp;" – "&amp;'Who Engaged'!$F$5:$F$1004&amp;IF('Who Engaged'!$M$5:$M$1004=1," (followed)",""),"")))</f>
        <v/>
      </c>
      <c r="X100" s="27"/>
      <c r="Y100" s="27"/>
      <c r="Z100" s="28"/>
      <c r="AA100" s="25" t="str">
        <f aca="false">IF(OR(A100="",B100="",C100=""),"","https://www.alphanodus.com/contact?utm_source="&amp;IF(B100="X","twitter",LOWER(B100))&amp;"&amp;utm_medium=social&amp;utm_campaign="&amp;IF(E100="","general",LOWER(SUBSTITUTE(SUBSTITUTE(E100," / ","-")," ","-")))&amp;"&amp;utm_content="&amp;LOWER(C100))</f>
        <v/>
      </c>
    </row>
    <row r="101" customFormat="false" ht="15" hidden="false" customHeight="false" outlineLevel="0" collapsed="false">
      <c r="A101" s="29"/>
      <c r="B101" s="28"/>
      <c r="C101" s="28"/>
      <c r="D101" s="27"/>
      <c r="E101" s="28"/>
      <c r="F101" s="28"/>
      <c r="G101" s="28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IF(OR(A101="",B101="",C101=""),"",IF(COUNT(J101:N101)=0,"",SUM(J101:N101)))</f>
        <v/>
      </c>
      <c r="Q101" s="23" t="str">
        <f aca="false">IF(OR(A101="",B101="",C101=""),"",SUMIFS('Who Engaged'!$I$5:$I$1004,'Who Engaged'!$C$5:$C$1004,C101,'Who Engaged'!$O$5:$O$1004,"Yes")+SUMIFS('Who Engaged'!$J$5:$J$1004,'Who Engaged'!$C$5:$C$1004,C101,'Who Engaged'!$O$5:$O$1004,"Yes")+SUMIFS('Who Engaged'!$K$5:$K$1004,'Who Engaged'!$C$5:$C$1004,C101,'Who Engaged'!$O$5:$O$1004,"Yes")+SUMIFS('Who Engaged'!$L$5:$L$1004,'Who Engaged'!$C$5:$C$1004,C101,'Who Engaged'!$O$5:$O$1004,"Yes"))</f>
        <v/>
      </c>
      <c r="R101" s="23" t="str">
        <f aca="false">IF(OR(OR(A101="",B101="",C101=""),P101=""),"",MAX(0,P101-N(Q101)))</f>
        <v/>
      </c>
      <c r="S101" s="24" t="str">
        <f aca="false">IF(OR(OR(A101="",B101="",C101=""),R101=""),"",IFERROR(R101/(IF(N(H101)&gt;0,H101,IF(N(I101)&gt;0,I101,IF(COUNTIFS($B$16:$B$215,B101,$H$16:$H$215,"&gt;0")+COUNTIFS($B$16:$B$215,B101,$I$16:$I$215,"&gt;0")&gt;0,"",INDEX($B$5:$B$7,MATCH(B101,$A$5:$A$7,0)))))),""))</f>
        <v/>
      </c>
      <c r="T101" s="25" t="str">
        <f aca="false">IF(OR(A101="",B101="",C101=""),"",IF(OR(S101="",COUNTIFS($B$16:$B$215,B101,$S$16:$S$215,"&gt;=0")&lt;2),"No Data Yet",IFERROR(IF(S101/AVERAGEIFS($S$16:$S$215,$B$16:$B$215,B101)&gt;=1.2,"Good",IF(S101/AVERAGEIFS($S$16:$S$215,$B$16:$B$215,B101)&gt;=0.8,"Average","Below Standard")),"Average")))</f>
        <v/>
      </c>
      <c r="U101" s="23" t="str">
        <f aca="false">IF(OR(A101="",B101="",C101=""),"",COUNTIFS('Who Engaged'!$C$5:$C$1004,C101,'Who Engaged'!$P$5:$P$1004,"Yes",'Who Engaged'!$N$5:$N$1004,1))</f>
        <v/>
      </c>
      <c r="V101" s="23" t="str">
        <f aca="false">IF(OR(A101="",B101="",C101=""),"",COUNTIFS('Who Engaged'!$C$5:$C$1004,C101,'Who Engaged'!$P$5:$P$1004,"Yes",'Who Engaged'!$M$5:$M$1004,1))</f>
        <v/>
      </c>
      <c r="W101" s="26" t="str">
        <f aca="false" t="array" ref="W101:W101">IF(OR(A101="",B101="",C101=""),"",_xlfn.TEXTJOIN("; ",TRUE(),IF(('Who Engaged'!$C$5:$C$1004=C101)*('Who Engaged'!$P$5:$P$1004="Yes"),'Who Engaged'!$D$5:$D$1004&amp;" – "&amp;'Who Engaged'!$F$5:$F$1004&amp;IF('Who Engaged'!$M$5:$M$1004=1," (followed)",""),"")))</f>
        <v/>
      </c>
      <c r="X101" s="27"/>
      <c r="Y101" s="27"/>
      <c r="Z101" s="28"/>
      <c r="AA101" s="25" t="str">
        <f aca="false">IF(OR(A101="",B101="",C101=""),"","https://www.alphanodus.com/contact?utm_source="&amp;IF(B101="X","twitter",LOWER(B101))&amp;"&amp;utm_medium=social&amp;utm_campaign="&amp;IF(E101="","general",LOWER(SUBSTITUTE(SUBSTITUTE(E101," / ","-")," ","-")))&amp;"&amp;utm_content="&amp;LOWER(C101))</f>
        <v/>
      </c>
    </row>
    <row r="102" customFormat="false" ht="15" hidden="false" customHeight="false" outlineLevel="0" collapsed="false">
      <c r="A102" s="29"/>
      <c r="B102" s="28"/>
      <c r="C102" s="28"/>
      <c r="D102" s="27"/>
      <c r="E102" s="28"/>
      <c r="F102" s="28"/>
      <c r="G102" s="28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IF(OR(A102="",B102="",C102=""),"",IF(COUNT(J102:N102)=0,"",SUM(J102:N102)))</f>
        <v/>
      </c>
      <c r="Q102" s="23" t="str">
        <f aca="false">IF(OR(A102="",B102="",C102=""),"",SUMIFS('Who Engaged'!$I$5:$I$1004,'Who Engaged'!$C$5:$C$1004,C102,'Who Engaged'!$O$5:$O$1004,"Yes")+SUMIFS('Who Engaged'!$J$5:$J$1004,'Who Engaged'!$C$5:$C$1004,C102,'Who Engaged'!$O$5:$O$1004,"Yes")+SUMIFS('Who Engaged'!$K$5:$K$1004,'Who Engaged'!$C$5:$C$1004,C102,'Who Engaged'!$O$5:$O$1004,"Yes")+SUMIFS('Who Engaged'!$L$5:$L$1004,'Who Engaged'!$C$5:$C$1004,C102,'Who Engaged'!$O$5:$O$1004,"Yes"))</f>
        <v/>
      </c>
      <c r="R102" s="23" t="str">
        <f aca="false">IF(OR(OR(A102="",B102="",C102=""),P102=""),"",MAX(0,P102-N(Q102)))</f>
        <v/>
      </c>
      <c r="S102" s="24" t="str">
        <f aca="false">IF(OR(OR(A102="",B102="",C102=""),R102=""),"",IFERROR(R102/(IF(N(H102)&gt;0,H102,IF(N(I102)&gt;0,I102,IF(COUNTIFS($B$16:$B$215,B102,$H$16:$H$215,"&gt;0")+COUNTIFS($B$16:$B$215,B102,$I$16:$I$215,"&gt;0")&gt;0,"",INDEX($B$5:$B$7,MATCH(B102,$A$5:$A$7,0)))))),""))</f>
        <v/>
      </c>
      <c r="T102" s="25" t="str">
        <f aca="false">IF(OR(A102="",B102="",C102=""),"",IF(OR(S102="",COUNTIFS($B$16:$B$215,B102,$S$16:$S$215,"&gt;=0")&lt;2),"No Data Yet",IFERROR(IF(S102/AVERAGEIFS($S$16:$S$215,$B$16:$B$215,B102)&gt;=1.2,"Good",IF(S102/AVERAGEIFS($S$16:$S$215,$B$16:$B$215,B102)&gt;=0.8,"Average","Below Standard")),"Average")))</f>
        <v/>
      </c>
      <c r="U102" s="23" t="str">
        <f aca="false">IF(OR(A102="",B102="",C102=""),"",COUNTIFS('Who Engaged'!$C$5:$C$1004,C102,'Who Engaged'!$P$5:$P$1004,"Yes",'Who Engaged'!$N$5:$N$1004,1))</f>
        <v/>
      </c>
      <c r="V102" s="23" t="str">
        <f aca="false">IF(OR(A102="",B102="",C102=""),"",COUNTIFS('Who Engaged'!$C$5:$C$1004,C102,'Who Engaged'!$P$5:$P$1004,"Yes",'Who Engaged'!$M$5:$M$1004,1))</f>
        <v/>
      </c>
      <c r="W102" s="26" t="str">
        <f aca="false" t="array" ref="W102:W102">IF(OR(A102="",B102="",C102=""),"",_xlfn.TEXTJOIN("; ",TRUE(),IF(('Who Engaged'!$C$5:$C$1004=C102)*('Who Engaged'!$P$5:$P$1004="Yes"),'Who Engaged'!$D$5:$D$1004&amp;" – "&amp;'Who Engaged'!$F$5:$F$1004&amp;IF('Who Engaged'!$M$5:$M$1004=1," (followed)",""),"")))</f>
        <v/>
      </c>
      <c r="X102" s="27"/>
      <c r="Y102" s="27"/>
      <c r="Z102" s="28"/>
      <c r="AA102" s="25" t="str">
        <f aca="false">IF(OR(A102="",B102="",C102=""),"","https://www.alphanodus.com/contact?utm_source="&amp;IF(B102="X","twitter",LOWER(B102))&amp;"&amp;utm_medium=social&amp;utm_campaign="&amp;IF(E102="","general",LOWER(SUBSTITUTE(SUBSTITUTE(E102," / ","-")," ","-")))&amp;"&amp;utm_content="&amp;LOWER(C102))</f>
        <v/>
      </c>
    </row>
    <row r="103" customFormat="false" ht="15" hidden="false" customHeight="false" outlineLevel="0" collapsed="false">
      <c r="A103" s="29"/>
      <c r="B103" s="28"/>
      <c r="C103" s="28"/>
      <c r="D103" s="27"/>
      <c r="E103" s="28"/>
      <c r="F103" s="28"/>
      <c r="G103" s="28"/>
      <c r="H103" s="22"/>
      <c r="I103" s="22"/>
      <c r="J103" s="22"/>
      <c r="K103" s="22"/>
      <c r="L103" s="22"/>
      <c r="M103" s="22"/>
      <c r="N103" s="22"/>
      <c r="O103" s="22"/>
      <c r="P103" s="23" t="str">
        <f aca="false">IF(OR(A103="",B103="",C103=""),"",IF(COUNT(J103:N103)=0,"",SUM(J103:N103)))</f>
        <v/>
      </c>
      <c r="Q103" s="23" t="str">
        <f aca="false">IF(OR(A103="",B103="",C103=""),"",SUMIFS('Who Engaged'!$I$5:$I$1004,'Who Engaged'!$C$5:$C$1004,C103,'Who Engaged'!$O$5:$O$1004,"Yes")+SUMIFS('Who Engaged'!$J$5:$J$1004,'Who Engaged'!$C$5:$C$1004,C103,'Who Engaged'!$O$5:$O$1004,"Yes")+SUMIFS('Who Engaged'!$K$5:$K$1004,'Who Engaged'!$C$5:$C$1004,C103,'Who Engaged'!$O$5:$O$1004,"Yes")+SUMIFS('Who Engaged'!$L$5:$L$1004,'Who Engaged'!$C$5:$C$1004,C103,'Who Engaged'!$O$5:$O$1004,"Yes"))</f>
        <v/>
      </c>
      <c r="R103" s="23" t="str">
        <f aca="false">IF(OR(OR(A103="",B103="",C103=""),P103=""),"",MAX(0,P103-N(Q103)))</f>
        <v/>
      </c>
      <c r="S103" s="24" t="str">
        <f aca="false">IF(OR(OR(A103="",B103="",C103=""),R103=""),"",IFERROR(R103/(IF(N(H103)&gt;0,H103,IF(N(I103)&gt;0,I103,IF(COUNTIFS($B$16:$B$215,B103,$H$16:$H$215,"&gt;0")+COUNTIFS($B$16:$B$215,B103,$I$16:$I$215,"&gt;0")&gt;0,"",INDEX($B$5:$B$7,MATCH(B103,$A$5:$A$7,0)))))),""))</f>
        <v/>
      </c>
      <c r="T103" s="25" t="str">
        <f aca="false">IF(OR(A103="",B103="",C103=""),"",IF(OR(S103="",COUNTIFS($B$16:$B$215,B103,$S$16:$S$215,"&gt;=0")&lt;2),"No Data Yet",IFERROR(IF(S103/AVERAGEIFS($S$16:$S$215,$B$16:$B$215,B103)&gt;=1.2,"Good",IF(S103/AVERAGEIFS($S$16:$S$215,$B$16:$B$215,B103)&gt;=0.8,"Average","Below Standard")),"Average")))</f>
        <v/>
      </c>
      <c r="U103" s="23" t="str">
        <f aca="false">IF(OR(A103="",B103="",C103=""),"",COUNTIFS('Who Engaged'!$C$5:$C$1004,C103,'Who Engaged'!$P$5:$P$1004,"Yes",'Who Engaged'!$N$5:$N$1004,1))</f>
        <v/>
      </c>
      <c r="V103" s="23" t="str">
        <f aca="false">IF(OR(A103="",B103="",C103=""),"",COUNTIFS('Who Engaged'!$C$5:$C$1004,C103,'Who Engaged'!$P$5:$P$1004,"Yes",'Who Engaged'!$M$5:$M$1004,1))</f>
        <v/>
      </c>
      <c r="W103" s="26" t="str">
        <f aca="false" t="array" ref="W103:W103">IF(OR(A103="",B103="",C103=""),"",_xlfn.TEXTJOIN("; ",TRUE(),IF(('Who Engaged'!$C$5:$C$1004=C103)*('Who Engaged'!$P$5:$P$1004="Yes"),'Who Engaged'!$D$5:$D$1004&amp;" – "&amp;'Who Engaged'!$F$5:$F$1004&amp;IF('Who Engaged'!$M$5:$M$1004=1," (followed)",""),"")))</f>
        <v/>
      </c>
      <c r="X103" s="27"/>
      <c r="Y103" s="27"/>
      <c r="Z103" s="28"/>
      <c r="AA103" s="25" t="str">
        <f aca="false">IF(OR(A103="",B103="",C103=""),"","https://www.alphanodus.com/contact?utm_source="&amp;IF(B103="X","twitter",LOWER(B103))&amp;"&amp;utm_medium=social&amp;utm_campaign="&amp;IF(E103="","general",LOWER(SUBSTITUTE(SUBSTITUTE(E103," / ","-")," ","-")))&amp;"&amp;utm_content="&amp;LOWER(C103))</f>
        <v/>
      </c>
    </row>
    <row r="104" customFormat="false" ht="15" hidden="false" customHeight="false" outlineLevel="0" collapsed="false">
      <c r="A104" s="29"/>
      <c r="B104" s="28"/>
      <c r="C104" s="28"/>
      <c r="D104" s="27"/>
      <c r="E104" s="28"/>
      <c r="F104" s="28"/>
      <c r="G104" s="28"/>
      <c r="H104" s="22"/>
      <c r="I104" s="22"/>
      <c r="J104" s="22"/>
      <c r="K104" s="22"/>
      <c r="L104" s="22"/>
      <c r="M104" s="22"/>
      <c r="N104" s="22"/>
      <c r="O104" s="22"/>
      <c r="P104" s="23" t="str">
        <f aca="false">IF(OR(A104="",B104="",C104=""),"",IF(COUNT(J104:N104)=0,"",SUM(J104:N104)))</f>
        <v/>
      </c>
      <c r="Q104" s="23" t="str">
        <f aca="false">IF(OR(A104="",B104="",C104=""),"",SUMIFS('Who Engaged'!$I$5:$I$1004,'Who Engaged'!$C$5:$C$1004,C104,'Who Engaged'!$O$5:$O$1004,"Yes")+SUMIFS('Who Engaged'!$J$5:$J$1004,'Who Engaged'!$C$5:$C$1004,C104,'Who Engaged'!$O$5:$O$1004,"Yes")+SUMIFS('Who Engaged'!$K$5:$K$1004,'Who Engaged'!$C$5:$C$1004,C104,'Who Engaged'!$O$5:$O$1004,"Yes")+SUMIFS('Who Engaged'!$L$5:$L$1004,'Who Engaged'!$C$5:$C$1004,C104,'Who Engaged'!$O$5:$O$1004,"Yes"))</f>
        <v/>
      </c>
      <c r="R104" s="23" t="str">
        <f aca="false">IF(OR(OR(A104="",B104="",C104=""),P104=""),"",MAX(0,P104-N(Q104)))</f>
        <v/>
      </c>
      <c r="S104" s="24" t="str">
        <f aca="false">IF(OR(OR(A104="",B104="",C104=""),R104=""),"",IFERROR(R104/(IF(N(H104)&gt;0,H104,IF(N(I104)&gt;0,I104,IF(COUNTIFS($B$16:$B$215,B104,$H$16:$H$215,"&gt;0")+COUNTIFS($B$16:$B$215,B104,$I$16:$I$215,"&gt;0")&gt;0,"",INDEX($B$5:$B$7,MATCH(B104,$A$5:$A$7,0)))))),""))</f>
        <v/>
      </c>
      <c r="T104" s="25" t="str">
        <f aca="false">IF(OR(A104="",B104="",C104=""),"",IF(OR(S104="",COUNTIFS($B$16:$B$215,B104,$S$16:$S$215,"&gt;=0")&lt;2),"No Data Yet",IFERROR(IF(S104/AVERAGEIFS($S$16:$S$215,$B$16:$B$215,B104)&gt;=1.2,"Good",IF(S104/AVERAGEIFS($S$16:$S$215,$B$16:$B$215,B104)&gt;=0.8,"Average","Below Standard")),"Average")))</f>
        <v/>
      </c>
      <c r="U104" s="23" t="str">
        <f aca="false">IF(OR(A104="",B104="",C104=""),"",COUNTIFS('Who Engaged'!$C$5:$C$1004,C104,'Who Engaged'!$P$5:$P$1004,"Yes",'Who Engaged'!$N$5:$N$1004,1))</f>
        <v/>
      </c>
      <c r="V104" s="23" t="str">
        <f aca="false">IF(OR(A104="",B104="",C104=""),"",COUNTIFS('Who Engaged'!$C$5:$C$1004,C104,'Who Engaged'!$P$5:$P$1004,"Yes",'Who Engaged'!$M$5:$M$1004,1))</f>
        <v/>
      </c>
      <c r="W104" s="26" t="str">
        <f aca="false" t="array" ref="W104:W104">IF(OR(A104="",B104="",C104=""),"",_xlfn.TEXTJOIN("; ",TRUE(),IF(('Who Engaged'!$C$5:$C$1004=C104)*('Who Engaged'!$P$5:$P$1004="Yes"),'Who Engaged'!$D$5:$D$1004&amp;" – "&amp;'Who Engaged'!$F$5:$F$1004&amp;IF('Who Engaged'!$M$5:$M$1004=1," (followed)",""),"")))</f>
        <v/>
      </c>
      <c r="X104" s="27"/>
      <c r="Y104" s="27"/>
      <c r="Z104" s="28"/>
      <c r="AA104" s="25" t="str">
        <f aca="false">IF(OR(A104="",B104="",C104=""),"","https://www.alphanodus.com/contact?utm_source="&amp;IF(B104="X","twitter",LOWER(B104))&amp;"&amp;utm_medium=social&amp;utm_campaign="&amp;IF(E104="","general",LOWER(SUBSTITUTE(SUBSTITUTE(E104," / ","-")," ","-")))&amp;"&amp;utm_content="&amp;LOWER(C104))</f>
        <v/>
      </c>
    </row>
    <row r="105" customFormat="false" ht="15" hidden="false" customHeight="false" outlineLevel="0" collapsed="false">
      <c r="A105" s="29"/>
      <c r="B105" s="28"/>
      <c r="C105" s="28"/>
      <c r="D105" s="27"/>
      <c r="E105" s="28"/>
      <c r="F105" s="28"/>
      <c r="G105" s="28"/>
      <c r="H105" s="22"/>
      <c r="I105" s="22"/>
      <c r="J105" s="22"/>
      <c r="K105" s="22"/>
      <c r="L105" s="22"/>
      <c r="M105" s="22"/>
      <c r="N105" s="22"/>
      <c r="O105" s="22"/>
      <c r="P105" s="23" t="str">
        <f aca="false">IF(OR(A105="",B105="",C105=""),"",IF(COUNT(J105:N105)=0,"",SUM(J105:N105)))</f>
        <v/>
      </c>
      <c r="Q105" s="23" t="str">
        <f aca="false">IF(OR(A105="",B105="",C105=""),"",SUMIFS('Who Engaged'!$I$5:$I$1004,'Who Engaged'!$C$5:$C$1004,C105,'Who Engaged'!$O$5:$O$1004,"Yes")+SUMIFS('Who Engaged'!$J$5:$J$1004,'Who Engaged'!$C$5:$C$1004,C105,'Who Engaged'!$O$5:$O$1004,"Yes")+SUMIFS('Who Engaged'!$K$5:$K$1004,'Who Engaged'!$C$5:$C$1004,C105,'Who Engaged'!$O$5:$O$1004,"Yes")+SUMIFS('Who Engaged'!$L$5:$L$1004,'Who Engaged'!$C$5:$C$1004,C105,'Who Engaged'!$O$5:$O$1004,"Yes"))</f>
        <v/>
      </c>
      <c r="R105" s="23" t="str">
        <f aca="false">IF(OR(OR(A105="",B105="",C105=""),P105=""),"",MAX(0,P105-N(Q105)))</f>
        <v/>
      </c>
      <c r="S105" s="24" t="str">
        <f aca="false">IF(OR(OR(A105="",B105="",C105=""),R105=""),"",IFERROR(R105/(IF(N(H105)&gt;0,H105,IF(N(I105)&gt;0,I105,IF(COUNTIFS($B$16:$B$215,B105,$H$16:$H$215,"&gt;0")+COUNTIFS($B$16:$B$215,B105,$I$16:$I$215,"&gt;0")&gt;0,"",INDEX($B$5:$B$7,MATCH(B105,$A$5:$A$7,0)))))),""))</f>
        <v/>
      </c>
      <c r="T105" s="25" t="str">
        <f aca="false">IF(OR(A105="",B105="",C105=""),"",IF(OR(S105="",COUNTIFS($B$16:$B$215,B105,$S$16:$S$215,"&gt;=0")&lt;2),"No Data Yet",IFERROR(IF(S105/AVERAGEIFS($S$16:$S$215,$B$16:$B$215,B105)&gt;=1.2,"Good",IF(S105/AVERAGEIFS($S$16:$S$215,$B$16:$B$215,B105)&gt;=0.8,"Average","Below Standard")),"Average")))</f>
        <v/>
      </c>
      <c r="U105" s="23" t="str">
        <f aca="false">IF(OR(A105="",B105="",C105=""),"",COUNTIFS('Who Engaged'!$C$5:$C$1004,C105,'Who Engaged'!$P$5:$P$1004,"Yes",'Who Engaged'!$N$5:$N$1004,1))</f>
        <v/>
      </c>
      <c r="V105" s="23" t="str">
        <f aca="false">IF(OR(A105="",B105="",C105=""),"",COUNTIFS('Who Engaged'!$C$5:$C$1004,C105,'Who Engaged'!$P$5:$P$1004,"Yes",'Who Engaged'!$M$5:$M$1004,1))</f>
        <v/>
      </c>
      <c r="W105" s="26" t="str">
        <f aca="false" t="array" ref="W105:W105">IF(OR(A105="",B105="",C105=""),"",_xlfn.TEXTJOIN("; ",TRUE(),IF(('Who Engaged'!$C$5:$C$1004=C105)*('Who Engaged'!$P$5:$P$1004="Yes"),'Who Engaged'!$D$5:$D$1004&amp;" – "&amp;'Who Engaged'!$F$5:$F$1004&amp;IF('Who Engaged'!$M$5:$M$1004=1," (followed)",""),"")))</f>
        <v/>
      </c>
      <c r="X105" s="27"/>
      <c r="Y105" s="27"/>
      <c r="Z105" s="28"/>
      <c r="AA105" s="25" t="str">
        <f aca="false">IF(OR(A105="",B105="",C105=""),"","https://www.alphanodus.com/contact?utm_source="&amp;IF(B105="X","twitter",LOWER(B105))&amp;"&amp;utm_medium=social&amp;utm_campaign="&amp;IF(E105="","general",LOWER(SUBSTITUTE(SUBSTITUTE(E105," / ","-")," ","-")))&amp;"&amp;utm_content="&amp;LOWER(C105))</f>
        <v/>
      </c>
    </row>
    <row r="106" customFormat="false" ht="15" hidden="false" customHeight="false" outlineLevel="0" collapsed="false">
      <c r="A106" s="29"/>
      <c r="B106" s="28"/>
      <c r="C106" s="28"/>
      <c r="D106" s="27"/>
      <c r="E106" s="28"/>
      <c r="F106" s="28"/>
      <c r="G106" s="28"/>
      <c r="H106" s="22"/>
      <c r="I106" s="22"/>
      <c r="J106" s="22"/>
      <c r="K106" s="22"/>
      <c r="L106" s="22"/>
      <c r="M106" s="22"/>
      <c r="N106" s="22"/>
      <c r="O106" s="22"/>
      <c r="P106" s="23" t="str">
        <f aca="false">IF(OR(A106="",B106="",C106=""),"",IF(COUNT(J106:N106)=0,"",SUM(J106:N106)))</f>
        <v/>
      </c>
      <c r="Q106" s="23" t="str">
        <f aca="false">IF(OR(A106="",B106="",C106=""),"",SUMIFS('Who Engaged'!$I$5:$I$1004,'Who Engaged'!$C$5:$C$1004,C106,'Who Engaged'!$O$5:$O$1004,"Yes")+SUMIFS('Who Engaged'!$J$5:$J$1004,'Who Engaged'!$C$5:$C$1004,C106,'Who Engaged'!$O$5:$O$1004,"Yes")+SUMIFS('Who Engaged'!$K$5:$K$1004,'Who Engaged'!$C$5:$C$1004,C106,'Who Engaged'!$O$5:$O$1004,"Yes")+SUMIFS('Who Engaged'!$L$5:$L$1004,'Who Engaged'!$C$5:$C$1004,C106,'Who Engaged'!$O$5:$O$1004,"Yes"))</f>
        <v/>
      </c>
      <c r="R106" s="23" t="str">
        <f aca="false">IF(OR(OR(A106="",B106="",C106=""),P106=""),"",MAX(0,P106-N(Q106)))</f>
        <v/>
      </c>
      <c r="S106" s="24" t="str">
        <f aca="false">IF(OR(OR(A106="",B106="",C106=""),R106=""),"",IFERROR(R106/(IF(N(H106)&gt;0,H106,IF(N(I106)&gt;0,I106,IF(COUNTIFS($B$16:$B$215,B106,$H$16:$H$215,"&gt;0")+COUNTIFS($B$16:$B$215,B106,$I$16:$I$215,"&gt;0")&gt;0,"",INDEX($B$5:$B$7,MATCH(B106,$A$5:$A$7,0)))))),""))</f>
        <v/>
      </c>
      <c r="T106" s="25" t="str">
        <f aca="false">IF(OR(A106="",B106="",C106=""),"",IF(OR(S106="",COUNTIFS($B$16:$B$215,B106,$S$16:$S$215,"&gt;=0")&lt;2),"No Data Yet",IFERROR(IF(S106/AVERAGEIFS($S$16:$S$215,$B$16:$B$215,B106)&gt;=1.2,"Good",IF(S106/AVERAGEIFS($S$16:$S$215,$B$16:$B$215,B106)&gt;=0.8,"Average","Below Standard")),"Average")))</f>
        <v/>
      </c>
      <c r="U106" s="23" t="str">
        <f aca="false">IF(OR(A106="",B106="",C106=""),"",COUNTIFS('Who Engaged'!$C$5:$C$1004,C106,'Who Engaged'!$P$5:$P$1004,"Yes",'Who Engaged'!$N$5:$N$1004,1))</f>
        <v/>
      </c>
      <c r="V106" s="23" t="str">
        <f aca="false">IF(OR(A106="",B106="",C106=""),"",COUNTIFS('Who Engaged'!$C$5:$C$1004,C106,'Who Engaged'!$P$5:$P$1004,"Yes",'Who Engaged'!$M$5:$M$1004,1))</f>
        <v/>
      </c>
      <c r="W106" s="26" t="str">
        <f aca="false" t="array" ref="W106:W106">IF(OR(A106="",B106="",C106=""),"",_xlfn.TEXTJOIN("; ",TRUE(),IF(('Who Engaged'!$C$5:$C$1004=C106)*('Who Engaged'!$P$5:$P$1004="Yes"),'Who Engaged'!$D$5:$D$1004&amp;" – "&amp;'Who Engaged'!$F$5:$F$1004&amp;IF('Who Engaged'!$M$5:$M$1004=1," (followed)",""),"")))</f>
        <v/>
      </c>
      <c r="X106" s="27"/>
      <c r="Y106" s="27"/>
      <c r="Z106" s="28"/>
      <c r="AA106" s="25" t="str">
        <f aca="false">IF(OR(A106="",B106="",C106=""),"","https://www.alphanodus.com/contact?utm_source="&amp;IF(B106="X","twitter",LOWER(B106))&amp;"&amp;utm_medium=social&amp;utm_campaign="&amp;IF(E106="","general",LOWER(SUBSTITUTE(SUBSTITUTE(E106," / ","-")," ","-")))&amp;"&amp;utm_content="&amp;LOWER(C106))</f>
        <v/>
      </c>
    </row>
    <row r="107" customFormat="false" ht="15" hidden="false" customHeight="false" outlineLevel="0" collapsed="false">
      <c r="A107" s="29"/>
      <c r="B107" s="28"/>
      <c r="C107" s="28"/>
      <c r="D107" s="27"/>
      <c r="E107" s="28"/>
      <c r="F107" s="28"/>
      <c r="G107" s="28"/>
      <c r="H107" s="22"/>
      <c r="I107" s="22"/>
      <c r="J107" s="22"/>
      <c r="K107" s="22"/>
      <c r="L107" s="22"/>
      <c r="M107" s="22"/>
      <c r="N107" s="22"/>
      <c r="O107" s="22"/>
      <c r="P107" s="23" t="str">
        <f aca="false">IF(OR(A107="",B107="",C107=""),"",IF(COUNT(J107:N107)=0,"",SUM(J107:N107)))</f>
        <v/>
      </c>
      <c r="Q107" s="23" t="str">
        <f aca="false">IF(OR(A107="",B107="",C107=""),"",SUMIFS('Who Engaged'!$I$5:$I$1004,'Who Engaged'!$C$5:$C$1004,C107,'Who Engaged'!$O$5:$O$1004,"Yes")+SUMIFS('Who Engaged'!$J$5:$J$1004,'Who Engaged'!$C$5:$C$1004,C107,'Who Engaged'!$O$5:$O$1004,"Yes")+SUMIFS('Who Engaged'!$K$5:$K$1004,'Who Engaged'!$C$5:$C$1004,C107,'Who Engaged'!$O$5:$O$1004,"Yes")+SUMIFS('Who Engaged'!$L$5:$L$1004,'Who Engaged'!$C$5:$C$1004,C107,'Who Engaged'!$O$5:$O$1004,"Yes"))</f>
        <v/>
      </c>
      <c r="R107" s="23" t="str">
        <f aca="false">IF(OR(OR(A107="",B107="",C107=""),P107=""),"",MAX(0,P107-N(Q107)))</f>
        <v/>
      </c>
      <c r="S107" s="24" t="str">
        <f aca="false">IF(OR(OR(A107="",B107="",C107=""),R107=""),"",IFERROR(R107/(IF(N(H107)&gt;0,H107,IF(N(I107)&gt;0,I107,IF(COUNTIFS($B$16:$B$215,B107,$H$16:$H$215,"&gt;0")+COUNTIFS($B$16:$B$215,B107,$I$16:$I$215,"&gt;0")&gt;0,"",INDEX($B$5:$B$7,MATCH(B107,$A$5:$A$7,0)))))),""))</f>
        <v/>
      </c>
      <c r="T107" s="25" t="str">
        <f aca="false">IF(OR(A107="",B107="",C107=""),"",IF(OR(S107="",COUNTIFS($B$16:$B$215,B107,$S$16:$S$215,"&gt;=0")&lt;2),"No Data Yet",IFERROR(IF(S107/AVERAGEIFS($S$16:$S$215,$B$16:$B$215,B107)&gt;=1.2,"Good",IF(S107/AVERAGEIFS($S$16:$S$215,$B$16:$B$215,B107)&gt;=0.8,"Average","Below Standard")),"Average")))</f>
        <v/>
      </c>
      <c r="U107" s="23" t="str">
        <f aca="false">IF(OR(A107="",B107="",C107=""),"",COUNTIFS('Who Engaged'!$C$5:$C$1004,C107,'Who Engaged'!$P$5:$P$1004,"Yes",'Who Engaged'!$N$5:$N$1004,1))</f>
        <v/>
      </c>
      <c r="V107" s="23" t="str">
        <f aca="false">IF(OR(A107="",B107="",C107=""),"",COUNTIFS('Who Engaged'!$C$5:$C$1004,C107,'Who Engaged'!$P$5:$P$1004,"Yes",'Who Engaged'!$M$5:$M$1004,1))</f>
        <v/>
      </c>
      <c r="W107" s="26" t="str">
        <f aca="false" t="array" ref="W107:W107">IF(OR(A107="",B107="",C107=""),"",_xlfn.TEXTJOIN("; ",TRUE(),IF(('Who Engaged'!$C$5:$C$1004=C107)*('Who Engaged'!$P$5:$P$1004="Yes"),'Who Engaged'!$D$5:$D$1004&amp;" – "&amp;'Who Engaged'!$F$5:$F$1004&amp;IF('Who Engaged'!$M$5:$M$1004=1," (followed)",""),"")))</f>
        <v/>
      </c>
      <c r="X107" s="27"/>
      <c r="Y107" s="27"/>
      <c r="Z107" s="28"/>
      <c r="AA107" s="25" t="str">
        <f aca="false">IF(OR(A107="",B107="",C107=""),"","https://www.alphanodus.com/contact?utm_source="&amp;IF(B107="X","twitter",LOWER(B107))&amp;"&amp;utm_medium=social&amp;utm_campaign="&amp;IF(E107="","general",LOWER(SUBSTITUTE(SUBSTITUTE(E107," / ","-")," ","-")))&amp;"&amp;utm_content="&amp;LOWER(C107))</f>
        <v/>
      </c>
    </row>
    <row r="108" customFormat="false" ht="15" hidden="false" customHeight="false" outlineLevel="0" collapsed="false">
      <c r="A108" s="29"/>
      <c r="B108" s="28"/>
      <c r="C108" s="28"/>
      <c r="D108" s="27"/>
      <c r="E108" s="28"/>
      <c r="F108" s="28"/>
      <c r="G108" s="28"/>
      <c r="H108" s="22"/>
      <c r="I108" s="22"/>
      <c r="J108" s="22"/>
      <c r="K108" s="22"/>
      <c r="L108" s="22"/>
      <c r="M108" s="22"/>
      <c r="N108" s="22"/>
      <c r="O108" s="22"/>
      <c r="P108" s="23" t="str">
        <f aca="false">IF(OR(A108="",B108="",C108=""),"",IF(COUNT(J108:N108)=0,"",SUM(J108:N108)))</f>
        <v/>
      </c>
      <c r="Q108" s="23" t="str">
        <f aca="false">IF(OR(A108="",B108="",C108=""),"",SUMIFS('Who Engaged'!$I$5:$I$1004,'Who Engaged'!$C$5:$C$1004,C108,'Who Engaged'!$O$5:$O$1004,"Yes")+SUMIFS('Who Engaged'!$J$5:$J$1004,'Who Engaged'!$C$5:$C$1004,C108,'Who Engaged'!$O$5:$O$1004,"Yes")+SUMIFS('Who Engaged'!$K$5:$K$1004,'Who Engaged'!$C$5:$C$1004,C108,'Who Engaged'!$O$5:$O$1004,"Yes")+SUMIFS('Who Engaged'!$L$5:$L$1004,'Who Engaged'!$C$5:$C$1004,C108,'Who Engaged'!$O$5:$O$1004,"Yes"))</f>
        <v/>
      </c>
      <c r="R108" s="23" t="str">
        <f aca="false">IF(OR(OR(A108="",B108="",C108=""),P108=""),"",MAX(0,P108-N(Q108)))</f>
        <v/>
      </c>
      <c r="S108" s="24" t="str">
        <f aca="false">IF(OR(OR(A108="",B108="",C108=""),R108=""),"",IFERROR(R108/(IF(N(H108)&gt;0,H108,IF(N(I108)&gt;0,I108,IF(COUNTIFS($B$16:$B$215,B108,$H$16:$H$215,"&gt;0")+COUNTIFS($B$16:$B$215,B108,$I$16:$I$215,"&gt;0")&gt;0,"",INDEX($B$5:$B$7,MATCH(B108,$A$5:$A$7,0)))))),""))</f>
        <v/>
      </c>
      <c r="T108" s="25" t="str">
        <f aca="false">IF(OR(A108="",B108="",C108=""),"",IF(OR(S108="",COUNTIFS($B$16:$B$215,B108,$S$16:$S$215,"&gt;=0")&lt;2),"No Data Yet",IFERROR(IF(S108/AVERAGEIFS($S$16:$S$215,$B$16:$B$215,B108)&gt;=1.2,"Good",IF(S108/AVERAGEIFS($S$16:$S$215,$B$16:$B$215,B108)&gt;=0.8,"Average","Below Standard")),"Average")))</f>
        <v/>
      </c>
      <c r="U108" s="23" t="str">
        <f aca="false">IF(OR(A108="",B108="",C108=""),"",COUNTIFS('Who Engaged'!$C$5:$C$1004,C108,'Who Engaged'!$P$5:$P$1004,"Yes",'Who Engaged'!$N$5:$N$1004,1))</f>
        <v/>
      </c>
      <c r="V108" s="23" t="str">
        <f aca="false">IF(OR(A108="",B108="",C108=""),"",COUNTIFS('Who Engaged'!$C$5:$C$1004,C108,'Who Engaged'!$P$5:$P$1004,"Yes",'Who Engaged'!$M$5:$M$1004,1))</f>
        <v/>
      </c>
      <c r="W108" s="26" t="str">
        <f aca="false" t="array" ref="W108:W108">IF(OR(A108="",B108="",C108=""),"",_xlfn.TEXTJOIN("; ",TRUE(),IF(('Who Engaged'!$C$5:$C$1004=C108)*('Who Engaged'!$P$5:$P$1004="Yes"),'Who Engaged'!$D$5:$D$1004&amp;" – "&amp;'Who Engaged'!$F$5:$F$1004&amp;IF('Who Engaged'!$M$5:$M$1004=1," (followed)",""),"")))</f>
        <v/>
      </c>
      <c r="X108" s="27"/>
      <c r="Y108" s="27"/>
      <c r="Z108" s="28"/>
      <c r="AA108" s="25" t="str">
        <f aca="false">IF(OR(A108="",B108="",C108=""),"","https://www.alphanodus.com/contact?utm_source="&amp;IF(B108="X","twitter",LOWER(B108))&amp;"&amp;utm_medium=social&amp;utm_campaign="&amp;IF(E108="","general",LOWER(SUBSTITUTE(SUBSTITUTE(E108," / ","-")," ","-")))&amp;"&amp;utm_content="&amp;LOWER(C108))</f>
        <v/>
      </c>
    </row>
    <row r="109" customFormat="false" ht="15" hidden="false" customHeight="false" outlineLevel="0" collapsed="false">
      <c r="A109" s="29"/>
      <c r="B109" s="28"/>
      <c r="C109" s="28"/>
      <c r="D109" s="27"/>
      <c r="E109" s="28"/>
      <c r="F109" s="28"/>
      <c r="G109" s="28"/>
      <c r="H109" s="22"/>
      <c r="I109" s="22"/>
      <c r="J109" s="22"/>
      <c r="K109" s="22"/>
      <c r="L109" s="22"/>
      <c r="M109" s="22"/>
      <c r="N109" s="22"/>
      <c r="O109" s="22"/>
      <c r="P109" s="23" t="str">
        <f aca="false">IF(OR(A109="",B109="",C109=""),"",IF(COUNT(J109:N109)=0,"",SUM(J109:N109)))</f>
        <v/>
      </c>
      <c r="Q109" s="23" t="str">
        <f aca="false">IF(OR(A109="",B109="",C109=""),"",SUMIFS('Who Engaged'!$I$5:$I$1004,'Who Engaged'!$C$5:$C$1004,C109,'Who Engaged'!$O$5:$O$1004,"Yes")+SUMIFS('Who Engaged'!$J$5:$J$1004,'Who Engaged'!$C$5:$C$1004,C109,'Who Engaged'!$O$5:$O$1004,"Yes")+SUMIFS('Who Engaged'!$K$5:$K$1004,'Who Engaged'!$C$5:$C$1004,C109,'Who Engaged'!$O$5:$O$1004,"Yes")+SUMIFS('Who Engaged'!$L$5:$L$1004,'Who Engaged'!$C$5:$C$1004,C109,'Who Engaged'!$O$5:$O$1004,"Yes"))</f>
        <v/>
      </c>
      <c r="R109" s="23" t="str">
        <f aca="false">IF(OR(OR(A109="",B109="",C109=""),P109=""),"",MAX(0,P109-N(Q109)))</f>
        <v/>
      </c>
      <c r="S109" s="24" t="str">
        <f aca="false">IF(OR(OR(A109="",B109="",C109=""),R109=""),"",IFERROR(R109/(IF(N(H109)&gt;0,H109,IF(N(I109)&gt;0,I109,IF(COUNTIFS($B$16:$B$215,B109,$H$16:$H$215,"&gt;0")+COUNTIFS($B$16:$B$215,B109,$I$16:$I$215,"&gt;0")&gt;0,"",INDEX($B$5:$B$7,MATCH(B109,$A$5:$A$7,0)))))),""))</f>
        <v/>
      </c>
      <c r="T109" s="25" t="str">
        <f aca="false">IF(OR(A109="",B109="",C109=""),"",IF(OR(S109="",COUNTIFS($B$16:$B$215,B109,$S$16:$S$215,"&gt;=0")&lt;2),"No Data Yet",IFERROR(IF(S109/AVERAGEIFS($S$16:$S$215,$B$16:$B$215,B109)&gt;=1.2,"Good",IF(S109/AVERAGEIFS($S$16:$S$215,$B$16:$B$215,B109)&gt;=0.8,"Average","Below Standard")),"Average")))</f>
        <v/>
      </c>
      <c r="U109" s="23" t="str">
        <f aca="false">IF(OR(A109="",B109="",C109=""),"",COUNTIFS('Who Engaged'!$C$5:$C$1004,C109,'Who Engaged'!$P$5:$P$1004,"Yes",'Who Engaged'!$N$5:$N$1004,1))</f>
        <v/>
      </c>
      <c r="V109" s="23" t="str">
        <f aca="false">IF(OR(A109="",B109="",C109=""),"",COUNTIFS('Who Engaged'!$C$5:$C$1004,C109,'Who Engaged'!$P$5:$P$1004,"Yes",'Who Engaged'!$M$5:$M$1004,1))</f>
        <v/>
      </c>
      <c r="W109" s="26" t="str">
        <f aca="false" t="array" ref="W109:W109">IF(OR(A109="",B109="",C109=""),"",_xlfn.TEXTJOIN("; ",TRUE(),IF(('Who Engaged'!$C$5:$C$1004=C109)*('Who Engaged'!$P$5:$P$1004="Yes"),'Who Engaged'!$D$5:$D$1004&amp;" – "&amp;'Who Engaged'!$F$5:$F$1004&amp;IF('Who Engaged'!$M$5:$M$1004=1," (followed)",""),"")))</f>
        <v/>
      </c>
      <c r="X109" s="27"/>
      <c r="Y109" s="27"/>
      <c r="Z109" s="28"/>
      <c r="AA109" s="25" t="str">
        <f aca="false">IF(OR(A109="",B109="",C109=""),"","https://www.alphanodus.com/contact?utm_source="&amp;IF(B109="X","twitter",LOWER(B109))&amp;"&amp;utm_medium=social&amp;utm_campaign="&amp;IF(E109="","general",LOWER(SUBSTITUTE(SUBSTITUTE(E109," / ","-")," ","-")))&amp;"&amp;utm_content="&amp;LOWER(C109))</f>
        <v/>
      </c>
    </row>
    <row r="110" customFormat="false" ht="15" hidden="false" customHeight="false" outlineLevel="0" collapsed="false">
      <c r="A110" s="29"/>
      <c r="B110" s="28"/>
      <c r="C110" s="28"/>
      <c r="D110" s="27"/>
      <c r="E110" s="28"/>
      <c r="F110" s="28"/>
      <c r="G110" s="28"/>
      <c r="H110" s="22"/>
      <c r="I110" s="22"/>
      <c r="J110" s="22"/>
      <c r="K110" s="22"/>
      <c r="L110" s="22"/>
      <c r="M110" s="22"/>
      <c r="N110" s="22"/>
      <c r="O110" s="22"/>
      <c r="P110" s="23" t="str">
        <f aca="false">IF(OR(A110="",B110="",C110=""),"",IF(COUNT(J110:N110)=0,"",SUM(J110:N110)))</f>
        <v/>
      </c>
      <c r="Q110" s="23" t="str">
        <f aca="false">IF(OR(A110="",B110="",C110=""),"",SUMIFS('Who Engaged'!$I$5:$I$1004,'Who Engaged'!$C$5:$C$1004,C110,'Who Engaged'!$O$5:$O$1004,"Yes")+SUMIFS('Who Engaged'!$J$5:$J$1004,'Who Engaged'!$C$5:$C$1004,C110,'Who Engaged'!$O$5:$O$1004,"Yes")+SUMIFS('Who Engaged'!$K$5:$K$1004,'Who Engaged'!$C$5:$C$1004,C110,'Who Engaged'!$O$5:$O$1004,"Yes")+SUMIFS('Who Engaged'!$L$5:$L$1004,'Who Engaged'!$C$5:$C$1004,C110,'Who Engaged'!$O$5:$O$1004,"Yes"))</f>
        <v/>
      </c>
      <c r="R110" s="23" t="str">
        <f aca="false">IF(OR(OR(A110="",B110="",C110=""),P110=""),"",MAX(0,P110-N(Q110)))</f>
        <v/>
      </c>
      <c r="S110" s="24" t="str">
        <f aca="false">IF(OR(OR(A110="",B110="",C110=""),R110=""),"",IFERROR(R110/(IF(N(H110)&gt;0,H110,IF(N(I110)&gt;0,I110,IF(COUNTIFS($B$16:$B$215,B110,$H$16:$H$215,"&gt;0")+COUNTIFS($B$16:$B$215,B110,$I$16:$I$215,"&gt;0")&gt;0,"",INDEX($B$5:$B$7,MATCH(B110,$A$5:$A$7,0)))))),""))</f>
        <v/>
      </c>
      <c r="T110" s="25" t="str">
        <f aca="false">IF(OR(A110="",B110="",C110=""),"",IF(OR(S110="",COUNTIFS($B$16:$B$215,B110,$S$16:$S$215,"&gt;=0")&lt;2),"No Data Yet",IFERROR(IF(S110/AVERAGEIFS($S$16:$S$215,$B$16:$B$215,B110)&gt;=1.2,"Good",IF(S110/AVERAGEIFS($S$16:$S$215,$B$16:$B$215,B110)&gt;=0.8,"Average","Below Standard")),"Average")))</f>
        <v/>
      </c>
      <c r="U110" s="23" t="str">
        <f aca="false">IF(OR(A110="",B110="",C110=""),"",COUNTIFS('Who Engaged'!$C$5:$C$1004,C110,'Who Engaged'!$P$5:$P$1004,"Yes",'Who Engaged'!$N$5:$N$1004,1))</f>
        <v/>
      </c>
      <c r="V110" s="23" t="str">
        <f aca="false">IF(OR(A110="",B110="",C110=""),"",COUNTIFS('Who Engaged'!$C$5:$C$1004,C110,'Who Engaged'!$P$5:$P$1004,"Yes",'Who Engaged'!$M$5:$M$1004,1))</f>
        <v/>
      </c>
      <c r="W110" s="26" t="str">
        <f aca="false" t="array" ref="W110:W110">IF(OR(A110="",B110="",C110=""),"",_xlfn.TEXTJOIN("; ",TRUE(),IF(('Who Engaged'!$C$5:$C$1004=C110)*('Who Engaged'!$P$5:$P$1004="Yes"),'Who Engaged'!$D$5:$D$1004&amp;" – "&amp;'Who Engaged'!$F$5:$F$1004&amp;IF('Who Engaged'!$M$5:$M$1004=1," (followed)",""),"")))</f>
        <v/>
      </c>
      <c r="X110" s="27"/>
      <c r="Y110" s="27"/>
      <c r="Z110" s="28"/>
      <c r="AA110" s="25" t="str">
        <f aca="false">IF(OR(A110="",B110="",C110=""),"","https://www.alphanodus.com/contact?utm_source="&amp;IF(B110="X","twitter",LOWER(B110))&amp;"&amp;utm_medium=social&amp;utm_campaign="&amp;IF(E110="","general",LOWER(SUBSTITUTE(SUBSTITUTE(E110," / ","-")," ","-")))&amp;"&amp;utm_content="&amp;LOWER(C110))</f>
        <v/>
      </c>
    </row>
    <row r="111" customFormat="false" ht="15" hidden="false" customHeight="false" outlineLevel="0" collapsed="false">
      <c r="A111" s="29"/>
      <c r="B111" s="28"/>
      <c r="C111" s="28"/>
      <c r="D111" s="27"/>
      <c r="E111" s="28"/>
      <c r="F111" s="28"/>
      <c r="G111" s="28"/>
      <c r="H111" s="22"/>
      <c r="I111" s="22"/>
      <c r="J111" s="22"/>
      <c r="K111" s="22"/>
      <c r="L111" s="22"/>
      <c r="M111" s="22"/>
      <c r="N111" s="22"/>
      <c r="O111" s="22"/>
      <c r="P111" s="23" t="str">
        <f aca="false">IF(OR(A111="",B111="",C111=""),"",IF(COUNT(J111:N111)=0,"",SUM(J111:N111)))</f>
        <v/>
      </c>
      <c r="Q111" s="23" t="str">
        <f aca="false">IF(OR(A111="",B111="",C111=""),"",SUMIFS('Who Engaged'!$I$5:$I$1004,'Who Engaged'!$C$5:$C$1004,C111,'Who Engaged'!$O$5:$O$1004,"Yes")+SUMIFS('Who Engaged'!$J$5:$J$1004,'Who Engaged'!$C$5:$C$1004,C111,'Who Engaged'!$O$5:$O$1004,"Yes")+SUMIFS('Who Engaged'!$K$5:$K$1004,'Who Engaged'!$C$5:$C$1004,C111,'Who Engaged'!$O$5:$O$1004,"Yes")+SUMIFS('Who Engaged'!$L$5:$L$1004,'Who Engaged'!$C$5:$C$1004,C111,'Who Engaged'!$O$5:$O$1004,"Yes"))</f>
        <v/>
      </c>
      <c r="R111" s="23" t="str">
        <f aca="false">IF(OR(OR(A111="",B111="",C111=""),P111=""),"",MAX(0,P111-N(Q111)))</f>
        <v/>
      </c>
      <c r="S111" s="24" t="str">
        <f aca="false">IF(OR(OR(A111="",B111="",C111=""),R111=""),"",IFERROR(R111/(IF(N(H111)&gt;0,H111,IF(N(I111)&gt;0,I111,IF(COUNTIFS($B$16:$B$215,B111,$H$16:$H$215,"&gt;0")+COUNTIFS($B$16:$B$215,B111,$I$16:$I$215,"&gt;0")&gt;0,"",INDEX($B$5:$B$7,MATCH(B111,$A$5:$A$7,0)))))),""))</f>
        <v/>
      </c>
      <c r="T111" s="25" t="str">
        <f aca="false">IF(OR(A111="",B111="",C111=""),"",IF(OR(S111="",COUNTIFS($B$16:$B$215,B111,$S$16:$S$215,"&gt;=0")&lt;2),"No Data Yet",IFERROR(IF(S111/AVERAGEIFS($S$16:$S$215,$B$16:$B$215,B111)&gt;=1.2,"Good",IF(S111/AVERAGEIFS($S$16:$S$215,$B$16:$B$215,B111)&gt;=0.8,"Average","Below Standard")),"Average")))</f>
        <v/>
      </c>
      <c r="U111" s="23" t="str">
        <f aca="false">IF(OR(A111="",B111="",C111=""),"",COUNTIFS('Who Engaged'!$C$5:$C$1004,C111,'Who Engaged'!$P$5:$P$1004,"Yes",'Who Engaged'!$N$5:$N$1004,1))</f>
        <v/>
      </c>
      <c r="V111" s="23" t="str">
        <f aca="false">IF(OR(A111="",B111="",C111=""),"",COUNTIFS('Who Engaged'!$C$5:$C$1004,C111,'Who Engaged'!$P$5:$P$1004,"Yes",'Who Engaged'!$M$5:$M$1004,1))</f>
        <v/>
      </c>
      <c r="W111" s="26" t="str">
        <f aca="false" t="array" ref="W111:W111">IF(OR(A111="",B111="",C111=""),"",_xlfn.TEXTJOIN("; ",TRUE(),IF(('Who Engaged'!$C$5:$C$1004=C111)*('Who Engaged'!$P$5:$P$1004="Yes"),'Who Engaged'!$D$5:$D$1004&amp;" – "&amp;'Who Engaged'!$F$5:$F$1004&amp;IF('Who Engaged'!$M$5:$M$1004=1," (followed)",""),"")))</f>
        <v/>
      </c>
      <c r="X111" s="27"/>
      <c r="Y111" s="27"/>
      <c r="Z111" s="28"/>
      <c r="AA111" s="25" t="str">
        <f aca="false">IF(OR(A111="",B111="",C111=""),"","https://www.alphanodus.com/contact?utm_source="&amp;IF(B111="X","twitter",LOWER(B111))&amp;"&amp;utm_medium=social&amp;utm_campaign="&amp;IF(E111="","general",LOWER(SUBSTITUTE(SUBSTITUTE(E111," / ","-")," ","-")))&amp;"&amp;utm_content="&amp;LOWER(C111))</f>
        <v/>
      </c>
    </row>
    <row r="112" customFormat="false" ht="15" hidden="false" customHeight="false" outlineLevel="0" collapsed="false">
      <c r="A112" s="29"/>
      <c r="B112" s="28"/>
      <c r="C112" s="28"/>
      <c r="D112" s="27"/>
      <c r="E112" s="28"/>
      <c r="F112" s="28"/>
      <c r="G112" s="28"/>
      <c r="H112" s="22"/>
      <c r="I112" s="22"/>
      <c r="J112" s="22"/>
      <c r="K112" s="22"/>
      <c r="L112" s="22"/>
      <c r="M112" s="22"/>
      <c r="N112" s="22"/>
      <c r="O112" s="22"/>
      <c r="P112" s="23" t="str">
        <f aca="false">IF(OR(A112="",B112="",C112=""),"",IF(COUNT(J112:N112)=0,"",SUM(J112:N112)))</f>
        <v/>
      </c>
      <c r="Q112" s="23" t="str">
        <f aca="false">IF(OR(A112="",B112="",C112=""),"",SUMIFS('Who Engaged'!$I$5:$I$1004,'Who Engaged'!$C$5:$C$1004,C112,'Who Engaged'!$O$5:$O$1004,"Yes")+SUMIFS('Who Engaged'!$J$5:$J$1004,'Who Engaged'!$C$5:$C$1004,C112,'Who Engaged'!$O$5:$O$1004,"Yes")+SUMIFS('Who Engaged'!$K$5:$K$1004,'Who Engaged'!$C$5:$C$1004,C112,'Who Engaged'!$O$5:$O$1004,"Yes")+SUMIFS('Who Engaged'!$L$5:$L$1004,'Who Engaged'!$C$5:$C$1004,C112,'Who Engaged'!$O$5:$O$1004,"Yes"))</f>
        <v/>
      </c>
      <c r="R112" s="23" t="str">
        <f aca="false">IF(OR(OR(A112="",B112="",C112=""),P112=""),"",MAX(0,P112-N(Q112)))</f>
        <v/>
      </c>
      <c r="S112" s="24" t="str">
        <f aca="false">IF(OR(OR(A112="",B112="",C112=""),R112=""),"",IFERROR(R112/(IF(N(H112)&gt;0,H112,IF(N(I112)&gt;0,I112,IF(COUNTIFS($B$16:$B$215,B112,$H$16:$H$215,"&gt;0")+COUNTIFS($B$16:$B$215,B112,$I$16:$I$215,"&gt;0")&gt;0,"",INDEX($B$5:$B$7,MATCH(B112,$A$5:$A$7,0)))))),""))</f>
        <v/>
      </c>
      <c r="T112" s="25" t="str">
        <f aca="false">IF(OR(A112="",B112="",C112=""),"",IF(OR(S112="",COUNTIFS($B$16:$B$215,B112,$S$16:$S$215,"&gt;=0")&lt;2),"No Data Yet",IFERROR(IF(S112/AVERAGEIFS($S$16:$S$215,$B$16:$B$215,B112)&gt;=1.2,"Good",IF(S112/AVERAGEIFS($S$16:$S$215,$B$16:$B$215,B112)&gt;=0.8,"Average","Below Standard")),"Average")))</f>
        <v/>
      </c>
      <c r="U112" s="23" t="str">
        <f aca="false">IF(OR(A112="",B112="",C112=""),"",COUNTIFS('Who Engaged'!$C$5:$C$1004,C112,'Who Engaged'!$P$5:$P$1004,"Yes",'Who Engaged'!$N$5:$N$1004,1))</f>
        <v/>
      </c>
      <c r="V112" s="23" t="str">
        <f aca="false">IF(OR(A112="",B112="",C112=""),"",COUNTIFS('Who Engaged'!$C$5:$C$1004,C112,'Who Engaged'!$P$5:$P$1004,"Yes",'Who Engaged'!$M$5:$M$1004,1))</f>
        <v/>
      </c>
      <c r="W112" s="26" t="str">
        <f aca="false" t="array" ref="W112:W112">IF(OR(A112="",B112="",C112=""),"",_xlfn.TEXTJOIN("; ",TRUE(),IF(('Who Engaged'!$C$5:$C$1004=C112)*('Who Engaged'!$P$5:$P$1004="Yes"),'Who Engaged'!$D$5:$D$1004&amp;" – "&amp;'Who Engaged'!$F$5:$F$1004&amp;IF('Who Engaged'!$M$5:$M$1004=1," (followed)",""),"")))</f>
        <v/>
      </c>
      <c r="X112" s="27"/>
      <c r="Y112" s="27"/>
      <c r="Z112" s="28"/>
      <c r="AA112" s="25" t="str">
        <f aca="false">IF(OR(A112="",B112="",C112=""),"","https://www.alphanodus.com/contact?utm_source="&amp;IF(B112="X","twitter",LOWER(B112))&amp;"&amp;utm_medium=social&amp;utm_campaign="&amp;IF(E112="","general",LOWER(SUBSTITUTE(SUBSTITUTE(E112," / ","-")," ","-")))&amp;"&amp;utm_content="&amp;LOWER(C112))</f>
        <v/>
      </c>
    </row>
    <row r="113" customFormat="false" ht="15" hidden="false" customHeight="false" outlineLevel="0" collapsed="false">
      <c r="A113" s="29"/>
      <c r="B113" s="28"/>
      <c r="C113" s="28"/>
      <c r="D113" s="27"/>
      <c r="E113" s="28"/>
      <c r="F113" s="28"/>
      <c r="G113" s="28"/>
      <c r="H113" s="22"/>
      <c r="I113" s="22"/>
      <c r="J113" s="22"/>
      <c r="K113" s="22"/>
      <c r="L113" s="22"/>
      <c r="M113" s="22"/>
      <c r="N113" s="22"/>
      <c r="O113" s="22"/>
      <c r="P113" s="23" t="str">
        <f aca="false">IF(OR(A113="",B113="",C113=""),"",IF(COUNT(J113:N113)=0,"",SUM(J113:N113)))</f>
        <v/>
      </c>
      <c r="Q113" s="23" t="str">
        <f aca="false">IF(OR(A113="",B113="",C113=""),"",SUMIFS('Who Engaged'!$I$5:$I$1004,'Who Engaged'!$C$5:$C$1004,C113,'Who Engaged'!$O$5:$O$1004,"Yes")+SUMIFS('Who Engaged'!$J$5:$J$1004,'Who Engaged'!$C$5:$C$1004,C113,'Who Engaged'!$O$5:$O$1004,"Yes")+SUMIFS('Who Engaged'!$K$5:$K$1004,'Who Engaged'!$C$5:$C$1004,C113,'Who Engaged'!$O$5:$O$1004,"Yes")+SUMIFS('Who Engaged'!$L$5:$L$1004,'Who Engaged'!$C$5:$C$1004,C113,'Who Engaged'!$O$5:$O$1004,"Yes"))</f>
        <v/>
      </c>
      <c r="R113" s="23" t="str">
        <f aca="false">IF(OR(OR(A113="",B113="",C113=""),P113=""),"",MAX(0,P113-N(Q113)))</f>
        <v/>
      </c>
      <c r="S113" s="24" t="str">
        <f aca="false">IF(OR(OR(A113="",B113="",C113=""),R113=""),"",IFERROR(R113/(IF(N(H113)&gt;0,H113,IF(N(I113)&gt;0,I113,IF(COUNTIFS($B$16:$B$215,B113,$H$16:$H$215,"&gt;0")+COUNTIFS($B$16:$B$215,B113,$I$16:$I$215,"&gt;0")&gt;0,"",INDEX($B$5:$B$7,MATCH(B113,$A$5:$A$7,0)))))),""))</f>
        <v/>
      </c>
      <c r="T113" s="25" t="str">
        <f aca="false">IF(OR(A113="",B113="",C113=""),"",IF(OR(S113="",COUNTIFS($B$16:$B$215,B113,$S$16:$S$215,"&gt;=0")&lt;2),"No Data Yet",IFERROR(IF(S113/AVERAGEIFS($S$16:$S$215,$B$16:$B$215,B113)&gt;=1.2,"Good",IF(S113/AVERAGEIFS($S$16:$S$215,$B$16:$B$215,B113)&gt;=0.8,"Average","Below Standard")),"Average")))</f>
        <v/>
      </c>
      <c r="U113" s="23" t="str">
        <f aca="false">IF(OR(A113="",B113="",C113=""),"",COUNTIFS('Who Engaged'!$C$5:$C$1004,C113,'Who Engaged'!$P$5:$P$1004,"Yes",'Who Engaged'!$N$5:$N$1004,1))</f>
        <v/>
      </c>
      <c r="V113" s="23" t="str">
        <f aca="false">IF(OR(A113="",B113="",C113=""),"",COUNTIFS('Who Engaged'!$C$5:$C$1004,C113,'Who Engaged'!$P$5:$P$1004,"Yes",'Who Engaged'!$M$5:$M$1004,1))</f>
        <v/>
      </c>
      <c r="W113" s="26" t="str">
        <f aca="false" t="array" ref="W113:W113">IF(OR(A113="",B113="",C113=""),"",_xlfn.TEXTJOIN("; ",TRUE(),IF(('Who Engaged'!$C$5:$C$1004=C113)*('Who Engaged'!$P$5:$P$1004="Yes"),'Who Engaged'!$D$5:$D$1004&amp;" – "&amp;'Who Engaged'!$F$5:$F$1004&amp;IF('Who Engaged'!$M$5:$M$1004=1," (followed)",""),"")))</f>
        <v/>
      </c>
      <c r="X113" s="27"/>
      <c r="Y113" s="27"/>
      <c r="Z113" s="28"/>
      <c r="AA113" s="25" t="str">
        <f aca="false">IF(OR(A113="",B113="",C113=""),"","https://www.alphanodus.com/contact?utm_source="&amp;IF(B113="X","twitter",LOWER(B113))&amp;"&amp;utm_medium=social&amp;utm_campaign="&amp;IF(E113="","general",LOWER(SUBSTITUTE(SUBSTITUTE(E113," / ","-")," ","-")))&amp;"&amp;utm_content="&amp;LOWER(C113))</f>
        <v/>
      </c>
    </row>
    <row r="114" customFormat="false" ht="15" hidden="false" customHeight="false" outlineLevel="0" collapsed="false">
      <c r="A114" s="29"/>
      <c r="B114" s="28"/>
      <c r="C114" s="28"/>
      <c r="D114" s="27"/>
      <c r="E114" s="28"/>
      <c r="F114" s="28"/>
      <c r="G114" s="28"/>
      <c r="H114" s="22"/>
      <c r="I114" s="22"/>
      <c r="J114" s="22"/>
      <c r="K114" s="22"/>
      <c r="L114" s="22"/>
      <c r="M114" s="22"/>
      <c r="N114" s="22"/>
      <c r="O114" s="22"/>
      <c r="P114" s="23" t="str">
        <f aca="false">IF(OR(A114="",B114="",C114=""),"",IF(COUNT(J114:N114)=0,"",SUM(J114:N114)))</f>
        <v/>
      </c>
      <c r="Q114" s="23" t="str">
        <f aca="false">IF(OR(A114="",B114="",C114=""),"",SUMIFS('Who Engaged'!$I$5:$I$1004,'Who Engaged'!$C$5:$C$1004,C114,'Who Engaged'!$O$5:$O$1004,"Yes")+SUMIFS('Who Engaged'!$J$5:$J$1004,'Who Engaged'!$C$5:$C$1004,C114,'Who Engaged'!$O$5:$O$1004,"Yes")+SUMIFS('Who Engaged'!$K$5:$K$1004,'Who Engaged'!$C$5:$C$1004,C114,'Who Engaged'!$O$5:$O$1004,"Yes")+SUMIFS('Who Engaged'!$L$5:$L$1004,'Who Engaged'!$C$5:$C$1004,C114,'Who Engaged'!$O$5:$O$1004,"Yes"))</f>
        <v/>
      </c>
      <c r="R114" s="23" t="str">
        <f aca="false">IF(OR(OR(A114="",B114="",C114=""),P114=""),"",MAX(0,P114-N(Q114)))</f>
        <v/>
      </c>
      <c r="S114" s="24" t="str">
        <f aca="false">IF(OR(OR(A114="",B114="",C114=""),R114=""),"",IFERROR(R114/(IF(N(H114)&gt;0,H114,IF(N(I114)&gt;0,I114,IF(COUNTIFS($B$16:$B$215,B114,$H$16:$H$215,"&gt;0")+COUNTIFS($B$16:$B$215,B114,$I$16:$I$215,"&gt;0")&gt;0,"",INDEX($B$5:$B$7,MATCH(B114,$A$5:$A$7,0)))))),""))</f>
        <v/>
      </c>
      <c r="T114" s="25" t="str">
        <f aca="false">IF(OR(A114="",B114="",C114=""),"",IF(OR(S114="",COUNTIFS($B$16:$B$215,B114,$S$16:$S$215,"&gt;=0")&lt;2),"No Data Yet",IFERROR(IF(S114/AVERAGEIFS($S$16:$S$215,$B$16:$B$215,B114)&gt;=1.2,"Good",IF(S114/AVERAGEIFS($S$16:$S$215,$B$16:$B$215,B114)&gt;=0.8,"Average","Below Standard")),"Average")))</f>
        <v/>
      </c>
      <c r="U114" s="23" t="str">
        <f aca="false">IF(OR(A114="",B114="",C114=""),"",COUNTIFS('Who Engaged'!$C$5:$C$1004,C114,'Who Engaged'!$P$5:$P$1004,"Yes",'Who Engaged'!$N$5:$N$1004,1))</f>
        <v/>
      </c>
      <c r="V114" s="23" t="str">
        <f aca="false">IF(OR(A114="",B114="",C114=""),"",COUNTIFS('Who Engaged'!$C$5:$C$1004,C114,'Who Engaged'!$P$5:$P$1004,"Yes",'Who Engaged'!$M$5:$M$1004,1))</f>
        <v/>
      </c>
      <c r="W114" s="26" t="str">
        <f aca="false" t="array" ref="W114:W114">IF(OR(A114="",B114="",C114=""),"",_xlfn.TEXTJOIN("; ",TRUE(),IF(('Who Engaged'!$C$5:$C$1004=C114)*('Who Engaged'!$P$5:$P$1004="Yes"),'Who Engaged'!$D$5:$D$1004&amp;" – "&amp;'Who Engaged'!$F$5:$F$1004&amp;IF('Who Engaged'!$M$5:$M$1004=1," (followed)",""),"")))</f>
        <v/>
      </c>
      <c r="X114" s="27"/>
      <c r="Y114" s="27"/>
      <c r="Z114" s="28"/>
      <c r="AA114" s="25" t="str">
        <f aca="false">IF(OR(A114="",B114="",C114=""),"","https://www.alphanodus.com/contact?utm_source="&amp;IF(B114="X","twitter",LOWER(B114))&amp;"&amp;utm_medium=social&amp;utm_campaign="&amp;IF(E114="","general",LOWER(SUBSTITUTE(SUBSTITUTE(E114," / ","-")," ","-")))&amp;"&amp;utm_content="&amp;LOWER(C114))</f>
        <v/>
      </c>
    </row>
    <row r="115" customFormat="false" ht="15" hidden="false" customHeight="false" outlineLevel="0" collapsed="false">
      <c r="A115" s="29"/>
      <c r="B115" s="28"/>
      <c r="C115" s="28"/>
      <c r="D115" s="27"/>
      <c r="E115" s="28"/>
      <c r="F115" s="28"/>
      <c r="G115" s="28"/>
      <c r="H115" s="22"/>
      <c r="I115" s="22"/>
      <c r="J115" s="22"/>
      <c r="K115" s="22"/>
      <c r="L115" s="22"/>
      <c r="M115" s="22"/>
      <c r="N115" s="22"/>
      <c r="O115" s="22"/>
      <c r="P115" s="23" t="str">
        <f aca="false">IF(OR(A115="",B115="",C115=""),"",IF(COUNT(J115:N115)=0,"",SUM(J115:N115)))</f>
        <v/>
      </c>
      <c r="Q115" s="23" t="str">
        <f aca="false">IF(OR(A115="",B115="",C115=""),"",SUMIFS('Who Engaged'!$I$5:$I$1004,'Who Engaged'!$C$5:$C$1004,C115,'Who Engaged'!$O$5:$O$1004,"Yes")+SUMIFS('Who Engaged'!$J$5:$J$1004,'Who Engaged'!$C$5:$C$1004,C115,'Who Engaged'!$O$5:$O$1004,"Yes")+SUMIFS('Who Engaged'!$K$5:$K$1004,'Who Engaged'!$C$5:$C$1004,C115,'Who Engaged'!$O$5:$O$1004,"Yes")+SUMIFS('Who Engaged'!$L$5:$L$1004,'Who Engaged'!$C$5:$C$1004,C115,'Who Engaged'!$O$5:$O$1004,"Yes"))</f>
        <v/>
      </c>
      <c r="R115" s="23" t="str">
        <f aca="false">IF(OR(OR(A115="",B115="",C115=""),P115=""),"",MAX(0,P115-N(Q115)))</f>
        <v/>
      </c>
      <c r="S115" s="24" t="str">
        <f aca="false">IF(OR(OR(A115="",B115="",C115=""),R115=""),"",IFERROR(R115/(IF(N(H115)&gt;0,H115,IF(N(I115)&gt;0,I115,IF(COUNTIFS($B$16:$B$215,B115,$H$16:$H$215,"&gt;0")+COUNTIFS($B$16:$B$215,B115,$I$16:$I$215,"&gt;0")&gt;0,"",INDEX($B$5:$B$7,MATCH(B115,$A$5:$A$7,0)))))),""))</f>
        <v/>
      </c>
      <c r="T115" s="25" t="str">
        <f aca="false">IF(OR(A115="",B115="",C115=""),"",IF(OR(S115="",COUNTIFS($B$16:$B$215,B115,$S$16:$S$215,"&gt;=0")&lt;2),"No Data Yet",IFERROR(IF(S115/AVERAGEIFS($S$16:$S$215,$B$16:$B$215,B115)&gt;=1.2,"Good",IF(S115/AVERAGEIFS($S$16:$S$215,$B$16:$B$215,B115)&gt;=0.8,"Average","Below Standard")),"Average")))</f>
        <v/>
      </c>
      <c r="U115" s="23" t="str">
        <f aca="false">IF(OR(A115="",B115="",C115=""),"",COUNTIFS('Who Engaged'!$C$5:$C$1004,C115,'Who Engaged'!$P$5:$P$1004,"Yes",'Who Engaged'!$N$5:$N$1004,1))</f>
        <v/>
      </c>
      <c r="V115" s="23" t="str">
        <f aca="false">IF(OR(A115="",B115="",C115=""),"",COUNTIFS('Who Engaged'!$C$5:$C$1004,C115,'Who Engaged'!$P$5:$P$1004,"Yes",'Who Engaged'!$M$5:$M$1004,1))</f>
        <v/>
      </c>
      <c r="W115" s="26" t="str">
        <f aca="false" t="array" ref="W115:W115">IF(OR(A115="",B115="",C115=""),"",_xlfn.TEXTJOIN("; ",TRUE(),IF(('Who Engaged'!$C$5:$C$1004=C115)*('Who Engaged'!$P$5:$P$1004="Yes"),'Who Engaged'!$D$5:$D$1004&amp;" – "&amp;'Who Engaged'!$F$5:$F$1004&amp;IF('Who Engaged'!$M$5:$M$1004=1," (followed)",""),"")))</f>
        <v/>
      </c>
      <c r="X115" s="27"/>
      <c r="Y115" s="27"/>
      <c r="Z115" s="28"/>
      <c r="AA115" s="25" t="str">
        <f aca="false">IF(OR(A115="",B115="",C115=""),"","https://www.alphanodus.com/contact?utm_source="&amp;IF(B115="X","twitter",LOWER(B115))&amp;"&amp;utm_medium=social&amp;utm_campaign="&amp;IF(E115="","general",LOWER(SUBSTITUTE(SUBSTITUTE(E115," / ","-")," ","-")))&amp;"&amp;utm_content="&amp;LOWER(C115))</f>
        <v/>
      </c>
    </row>
    <row r="116" customFormat="false" ht="15" hidden="false" customHeight="false" outlineLevel="0" collapsed="false">
      <c r="A116" s="29"/>
      <c r="B116" s="28"/>
      <c r="C116" s="28"/>
      <c r="D116" s="27"/>
      <c r="E116" s="28"/>
      <c r="F116" s="28"/>
      <c r="G116" s="28"/>
      <c r="H116" s="22"/>
      <c r="I116" s="22"/>
      <c r="J116" s="22"/>
      <c r="K116" s="22"/>
      <c r="L116" s="22"/>
      <c r="M116" s="22"/>
      <c r="N116" s="22"/>
      <c r="O116" s="22"/>
      <c r="P116" s="23" t="str">
        <f aca="false">IF(OR(A116="",B116="",C116=""),"",IF(COUNT(J116:N116)=0,"",SUM(J116:N116)))</f>
        <v/>
      </c>
      <c r="Q116" s="23" t="str">
        <f aca="false">IF(OR(A116="",B116="",C116=""),"",SUMIFS('Who Engaged'!$I$5:$I$1004,'Who Engaged'!$C$5:$C$1004,C116,'Who Engaged'!$O$5:$O$1004,"Yes")+SUMIFS('Who Engaged'!$J$5:$J$1004,'Who Engaged'!$C$5:$C$1004,C116,'Who Engaged'!$O$5:$O$1004,"Yes")+SUMIFS('Who Engaged'!$K$5:$K$1004,'Who Engaged'!$C$5:$C$1004,C116,'Who Engaged'!$O$5:$O$1004,"Yes")+SUMIFS('Who Engaged'!$L$5:$L$1004,'Who Engaged'!$C$5:$C$1004,C116,'Who Engaged'!$O$5:$O$1004,"Yes"))</f>
        <v/>
      </c>
      <c r="R116" s="23" t="str">
        <f aca="false">IF(OR(OR(A116="",B116="",C116=""),P116=""),"",MAX(0,P116-N(Q116)))</f>
        <v/>
      </c>
      <c r="S116" s="24" t="str">
        <f aca="false">IF(OR(OR(A116="",B116="",C116=""),R116=""),"",IFERROR(R116/(IF(N(H116)&gt;0,H116,IF(N(I116)&gt;0,I116,IF(COUNTIFS($B$16:$B$215,B116,$H$16:$H$215,"&gt;0")+COUNTIFS($B$16:$B$215,B116,$I$16:$I$215,"&gt;0")&gt;0,"",INDEX($B$5:$B$7,MATCH(B116,$A$5:$A$7,0)))))),""))</f>
        <v/>
      </c>
      <c r="T116" s="25" t="str">
        <f aca="false">IF(OR(A116="",B116="",C116=""),"",IF(OR(S116="",COUNTIFS($B$16:$B$215,B116,$S$16:$S$215,"&gt;=0")&lt;2),"No Data Yet",IFERROR(IF(S116/AVERAGEIFS($S$16:$S$215,$B$16:$B$215,B116)&gt;=1.2,"Good",IF(S116/AVERAGEIFS($S$16:$S$215,$B$16:$B$215,B116)&gt;=0.8,"Average","Below Standard")),"Average")))</f>
        <v/>
      </c>
      <c r="U116" s="23" t="str">
        <f aca="false">IF(OR(A116="",B116="",C116=""),"",COUNTIFS('Who Engaged'!$C$5:$C$1004,C116,'Who Engaged'!$P$5:$P$1004,"Yes",'Who Engaged'!$N$5:$N$1004,1))</f>
        <v/>
      </c>
      <c r="V116" s="23" t="str">
        <f aca="false">IF(OR(A116="",B116="",C116=""),"",COUNTIFS('Who Engaged'!$C$5:$C$1004,C116,'Who Engaged'!$P$5:$P$1004,"Yes",'Who Engaged'!$M$5:$M$1004,1))</f>
        <v/>
      </c>
      <c r="W116" s="26" t="str">
        <f aca="false" t="array" ref="W116:W116">IF(OR(A116="",B116="",C116=""),"",_xlfn.TEXTJOIN("; ",TRUE(),IF(('Who Engaged'!$C$5:$C$1004=C116)*('Who Engaged'!$P$5:$P$1004="Yes"),'Who Engaged'!$D$5:$D$1004&amp;" – "&amp;'Who Engaged'!$F$5:$F$1004&amp;IF('Who Engaged'!$M$5:$M$1004=1," (followed)",""),"")))</f>
        <v/>
      </c>
      <c r="X116" s="27"/>
      <c r="Y116" s="27"/>
      <c r="Z116" s="28"/>
      <c r="AA116" s="25" t="str">
        <f aca="false">IF(OR(A116="",B116="",C116=""),"","https://www.alphanodus.com/contact?utm_source="&amp;IF(B116="X","twitter",LOWER(B116))&amp;"&amp;utm_medium=social&amp;utm_campaign="&amp;IF(E116="","general",LOWER(SUBSTITUTE(SUBSTITUTE(E116," / ","-")," ","-")))&amp;"&amp;utm_content="&amp;LOWER(C116))</f>
        <v/>
      </c>
    </row>
    <row r="117" customFormat="false" ht="15" hidden="false" customHeight="false" outlineLevel="0" collapsed="false">
      <c r="A117" s="29"/>
      <c r="B117" s="28"/>
      <c r="C117" s="28"/>
      <c r="D117" s="27"/>
      <c r="E117" s="28"/>
      <c r="F117" s="28"/>
      <c r="G117" s="28"/>
      <c r="H117" s="22"/>
      <c r="I117" s="22"/>
      <c r="J117" s="22"/>
      <c r="K117" s="22"/>
      <c r="L117" s="22"/>
      <c r="M117" s="22"/>
      <c r="N117" s="22"/>
      <c r="O117" s="22"/>
      <c r="P117" s="23" t="str">
        <f aca="false">IF(OR(A117="",B117="",C117=""),"",IF(COUNT(J117:N117)=0,"",SUM(J117:N117)))</f>
        <v/>
      </c>
      <c r="Q117" s="23" t="str">
        <f aca="false">IF(OR(A117="",B117="",C117=""),"",SUMIFS('Who Engaged'!$I$5:$I$1004,'Who Engaged'!$C$5:$C$1004,C117,'Who Engaged'!$O$5:$O$1004,"Yes")+SUMIFS('Who Engaged'!$J$5:$J$1004,'Who Engaged'!$C$5:$C$1004,C117,'Who Engaged'!$O$5:$O$1004,"Yes")+SUMIFS('Who Engaged'!$K$5:$K$1004,'Who Engaged'!$C$5:$C$1004,C117,'Who Engaged'!$O$5:$O$1004,"Yes")+SUMIFS('Who Engaged'!$L$5:$L$1004,'Who Engaged'!$C$5:$C$1004,C117,'Who Engaged'!$O$5:$O$1004,"Yes"))</f>
        <v/>
      </c>
      <c r="R117" s="23" t="str">
        <f aca="false">IF(OR(OR(A117="",B117="",C117=""),P117=""),"",MAX(0,P117-N(Q117)))</f>
        <v/>
      </c>
      <c r="S117" s="24" t="str">
        <f aca="false">IF(OR(OR(A117="",B117="",C117=""),R117=""),"",IFERROR(R117/(IF(N(H117)&gt;0,H117,IF(N(I117)&gt;0,I117,IF(COUNTIFS($B$16:$B$215,B117,$H$16:$H$215,"&gt;0")+COUNTIFS($B$16:$B$215,B117,$I$16:$I$215,"&gt;0")&gt;0,"",INDEX($B$5:$B$7,MATCH(B117,$A$5:$A$7,0)))))),""))</f>
        <v/>
      </c>
      <c r="T117" s="25" t="str">
        <f aca="false">IF(OR(A117="",B117="",C117=""),"",IF(OR(S117="",COUNTIFS($B$16:$B$215,B117,$S$16:$S$215,"&gt;=0")&lt;2),"No Data Yet",IFERROR(IF(S117/AVERAGEIFS($S$16:$S$215,$B$16:$B$215,B117)&gt;=1.2,"Good",IF(S117/AVERAGEIFS($S$16:$S$215,$B$16:$B$215,B117)&gt;=0.8,"Average","Below Standard")),"Average")))</f>
        <v/>
      </c>
      <c r="U117" s="23" t="str">
        <f aca="false">IF(OR(A117="",B117="",C117=""),"",COUNTIFS('Who Engaged'!$C$5:$C$1004,C117,'Who Engaged'!$P$5:$P$1004,"Yes",'Who Engaged'!$N$5:$N$1004,1))</f>
        <v/>
      </c>
      <c r="V117" s="23" t="str">
        <f aca="false">IF(OR(A117="",B117="",C117=""),"",COUNTIFS('Who Engaged'!$C$5:$C$1004,C117,'Who Engaged'!$P$5:$P$1004,"Yes",'Who Engaged'!$M$5:$M$1004,1))</f>
        <v/>
      </c>
      <c r="W117" s="26" t="str">
        <f aca="false" t="array" ref="W117:W117">IF(OR(A117="",B117="",C117=""),"",_xlfn.TEXTJOIN("; ",TRUE(),IF(('Who Engaged'!$C$5:$C$1004=C117)*('Who Engaged'!$P$5:$P$1004="Yes"),'Who Engaged'!$D$5:$D$1004&amp;" – "&amp;'Who Engaged'!$F$5:$F$1004&amp;IF('Who Engaged'!$M$5:$M$1004=1," (followed)",""),"")))</f>
        <v/>
      </c>
      <c r="X117" s="27"/>
      <c r="Y117" s="27"/>
      <c r="Z117" s="28"/>
      <c r="AA117" s="25" t="str">
        <f aca="false">IF(OR(A117="",B117="",C117=""),"","https://www.alphanodus.com/contact?utm_source="&amp;IF(B117="X","twitter",LOWER(B117))&amp;"&amp;utm_medium=social&amp;utm_campaign="&amp;IF(E117="","general",LOWER(SUBSTITUTE(SUBSTITUTE(E117," / ","-")," ","-")))&amp;"&amp;utm_content="&amp;LOWER(C117))</f>
        <v/>
      </c>
    </row>
    <row r="118" customFormat="false" ht="15" hidden="false" customHeight="false" outlineLevel="0" collapsed="false">
      <c r="A118" s="29"/>
      <c r="B118" s="28"/>
      <c r="C118" s="28"/>
      <c r="D118" s="27"/>
      <c r="E118" s="28"/>
      <c r="F118" s="28"/>
      <c r="G118" s="28"/>
      <c r="H118" s="22"/>
      <c r="I118" s="22"/>
      <c r="J118" s="22"/>
      <c r="K118" s="22"/>
      <c r="L118" s="22"/>
      <c r="M118" s="22"/>
      <c r="N118" s="22"/>
      <c r="O118" s="22"/>
      <c r="P118" s="23" t="str">
        <f aca="false">IF(OR(A118="",B118="",C118=""),"",IF(COUNT(J118:N118)=0,"",SUM(J118:N118)))</f>
        <v/>
      </c>
      <c r="Q118" s="23" t="str">
        <f aca="false">IF(OR(A118="",B118="",C118=""),"",SUMIFS('Who Engaged'!$I$5:$I$1004,'Who Engaged'!$C$5:$C$1004,C118,'Who Engaged'!$O$5:$O$1004,"Yes")+SUMIFS('Who Engaged'!$J$5:$J$1004,'Who Engaged'!$C$5:$C$1004,C118,'Who Engaged'!$O$5:$O$1004,"Yes")+SUMIFS('Who Engaged'!$K$5:$K$1004,'Who Engaged'!$C$5:$C$1004,C118,'Who Engaged'!$O$5:$O$1004,"Yes")+SUMIFS('Who Engaged'!$L$5:$L$1004,'Who Engaged'!$C$5:$C$1004,C118,'Who Engaged'!$O$5:$O$1004,"Yes"))</f>
        <v/>
      </c>
      <c r="R118" s="23" t="str">
        <f aca="false">IF(OR(OR(A118="",B118="",C118=""),P118=""),"",MAX(0,P118-N(Q118)))</f>
        <v/>
      </c>
      <c r="S118" s="24" t="str">
        <f aca="false">IF(OR(OR(A118="",B118="",C118=""),R118=""),"",IFERROR(R118/(IF(N(H118)&gt;0,H118,IF(N(I118)&gt;0,I118,IF(COUNTIFS($B$16:$B$215,B118,$H$16:$H$215,"&gt;0")+COUNTIFS($B$16:$B$215,B118,$I$16:$I$215,"&gt;0")&gt;0,"",INDEX($B$5:$B$7,MATCH(B118,$A$5:$A$7,0)))))),""))</f>
        <v/>
      </c>
      <c r="T118" s="25" t="str">
        <f aca="false">IF(OR(A118="",B118="",C118=""),"",IF(OR(S118="",COUNTIFS($B$16:$B$215,B118,$S$16:$S$215,"&gt;=0")&lt;2),"No Data Yet",IFERROR(IF(S118/AVERAGEIFS($S$16:$S$215,$B$16:$B$215,B118)&gt;=1.2,"Good",IF(S118/AVERAGEIFS($S$16:$S$215,$B$16:$B$215,B118)&gt;=0.8,"Average","Below Standard")),"Average")))</f>
        <v/>
      </c>
      <c r="U118" s="23" t="str">
        <f aca="false">IF(OR(A118="",B118="",C118=""),"",COUNTIFS('Who Engaged'!$C$5:$C$1004,C118,'Who Engaged'!$P$5:$P$1004,"Yes",'Who Engaged'!$N$5:$N$1004,1))</f>
        <v/>
      </c>
      <c r="V118" s="23" t="str">
        <f aca="false">IF(OR(A118="",B118="",C118=""),"",COUNTIFS('Who Engaged'!$C$5:$C$1004,C118,'Who Engaged'!$P$5:$P$1004,"Yes",'Who Engaged'!$M$5:$M$1004,1))</f>
        <v/>
      </c>
      <c r="W118" s="26" t="str">
        <f aca="false" t="array" ref="W118:W118">IF(OR(A118="",B118="",C118=""),"",_xlfn.TEXTJOIN("; ",TRUE(),IF(('Who Engaged'!$C$5:$C$1004=C118)*('Who Engaged'!$P$5:$P$1004="Yes"),'Who Engaged'!$D$5:$D$1004&amp;" – "&amp;'Who Engaged'!$F$5:$F$1004&amp;IF('Who Engaged'!$M$5:$M$1004=1," (followed)",""),"")))</f>
        <v/>
      </c>
      <c r="X118" s="27"/>
      <c r="Y118" s="27"/>
      <c r="Z118" s="28"/>
      <c r="AA118" s="25" t="str">
        <f aca="false">IF(OR(A118="",B118="",C118=""),"","https://www.alphanodus.com/contact?utm_source="&amp;IF(B118="X","twitter",LOWER(B118))&amp;"&amp;utm_medium=social&amp;utm_campaign="&amp;IF(E118="","general",LOWER(SUBSTITUTE(SUBSTITUTE(E118," / ","-")," ","-")))&amp;"&amp;utm_content="&amp;LOWER(C118))</f>
        <v/>
      </c>
    </row>
    <row r="119" customFormat="false" ht="15" hidden="false" customHeight="false" outlineLevel="0" collapsed="false">
      <c r="A119" s="29"/>
      <c r="B119" s="28"/>
      <c r="C119" s="28"/>
      <c r="D119" s="27"/>
      <c r="E119" s="28"/>
      <c r="F119" s="28"/>
      <c r="G119" s="28"/>
      <c r="H119" s="22"/>
      <c r="I119" s="22"/>
      <c r="J119" s="22"/>
      <c r="K119" s="22"/>
      <c r="L119" s="22"/>
      <c r="M119" s="22"/>
      <c r="N119" s="22"/>
      <c r="O119" s="22"/>
      <c r="P119" s="23" t="str">
        <f aca="false">IF(OR(A119="",B119="",C119=""),"",IF(COUNT(J119:N119)=0,"",SUM(J119:N119)))</f>
        <v/>
      </c>
      <c r="Q119" s="23" t="str">
        <f aca="false">IF(OR(A119="",B119="",C119=""),"",SUMIFS('Who Engaged'!$I$5:$I$1004,'Who Engaged'!$C$5:$C$1004,C119,'Who Engaged'!$O$5:$O$1004,"Yes")+SUMIFS('Who Engaged'!$J$5:$J$1004,'Who Engaged'!$C$5:$C$1004,C119,'Who Engaged'!$O$5:$O$1004,"Yes")+SUMIFS('Who Engaged'!$K$5:$K$1004,'Who Engaged'!$C$5:$C$1004,C119,'Who Engaged'!$O$5:$O$1004,"Yes")+SUMIFS('Who Engaged'!$L$5:$L$1004,'Who Engaged'!$C$5:$C$1004,C119,'Who Engaged'!$O$5:$O$1004,"Yes"))</f>
        <v/>
      </c>
      <c r="R119" s="23" t="str">
        <f aca="false">IF(OR(OR(A119="",B119="",C119=""),P119=""),"",MAX(0,P119-N(Q119)))</f>
        <v/>
      </c>
      <c r="S119" s="24" t="str">
        <f aca="false">IF(OR(OR(A119="",B119="",C119=""),R119=""),"",IFERROR(R119/(IF(N(H119)&gt;0,H119,IF(N(I119)&gt;0,I119,IF(COUNTIFS($B$16:$B$215,B119,$H$16:$H$215,"&gt;0")+COUNTIFS($B$16:$B$215,B119,$I$16:$I$215,"&gt;0")&gt;0,"",INDEX($B$5:$B$7,MATCH(B119,$A$5:$A$7,0)))))),""))</f>
        <v/>
      </c>
      <c r="T119" s="25" t="str">
        <f aca="false">IF(OR(A119="",B119="",C119=""),"",IF(OR(S119="",COUNTIFS($B$16:$B$215,B119,$S$16:$S$215,"&gt;=0")&lt;2),"No Data Yet",IFERROR(IF(S119/AVERAGEIFS($S$16:$S$215,$B$16:$B$215,B119)&gt;=1.2,"Good",IF(S119/AVERAGEIFS($S$16:$S$215,$B$16:$B$215,B119)&gt;=0.8,"Average","Below Standard")),"Average")))</f>
        <v/>
      </c>
      <c r="U119" s="23" t="str">
        <f aca="false">IF(OR(A119="",B119="",C119=""),"",COUNTIFS('Who Engaged'!$C$5:$C$1004,C119,'Who Engaged'!$P$5:$P$1004,"Yes",'Who Engaged'!$N$5:$N$1004,1))</f>
        <v/>
      </c>
      <c r="V119" s="23" t="str">
        <f aca="false">IF(OR(A119="",B119="",C119=""),"",COUNTIFS('Who Engaged'!$C$5:$C$1004,C119,'Who Engaged'!$P$5:$P$1004,"Yes",'Who Engaged'!$M$5:$M$1004,1))</f>
        <v/>
      </c>
      <c r="W119" s="26" t="str">
        <f aca="false" t="array" ref="W119:W119">IF(OR(A119="",B119="",C119=""),"",_xlfn.TEXTJOIN("; ",TRUE(),IF(('Who Engaged'!$C$5:$C$1004=C119)*('Who Engaged'!$P$5:$P$1004="Yes"),'Who Engaged'!$D$5:$D$1004&amp;" – "&amp;'Who Engaged'!$F$5:$F$1004&amp;IF('Who Engaged'!$M$5:$M$1004=1," (followed)",""),"")))</f>
        <v/>
      </c>
      <c r="X119" s="27"/>
      <c r="Y119" s="27"/>
      <c r="Z119" s="28"/>
      <c r="AA119" s="25" t="str">
        <f aca="false">IF(OR(A119="",B119="",C119=""),"","https://www.alphanodus.com/contact?utm_source="&amp;IF(B119="X","twitter",LOWER(B119))&amp;"&amp;utm_medium=social&amp;utm_campaign="&amp;IF(E119="","general",LOWER(SUBSTITUTE(SUBSTITUTE(E119," / ","-")," ","-")))&amp;"&amp;utm_content="&amp;LOWER(C119))</f>
        <v/>
      </c>
    </row>
    <row r="120" customFormat="false" ht="15" hidden="false" customHeight="false" outlineLevel="0" collapsed="false">
      <c r="A120" s="29"/>
      <c r="B120" s="28"/>
      <c r="C120" s="28"/>
      <c r="D120" s="27"/>
      <c r="E120" s="28"/>
      <c r="F120" s="28"/>
      <c r="G120" s="28"/>
      <c r="H120" s="22"/>
      <c r="I120" s="22"/>
      <c r="J120" s="22"/>
      <c r="K120" s="22"/>
      <c r="L120" s="22"/>
      <c r="M120" s="22"/>
      <c r="N120" s="22"/>
      <c r="O120" s="22"/>
      <c r="P120" s="23" t="str">
        <f aca="false">IF(OR(A120="",B120="",C120=""),"",IF(COUNT(J120:N120)=0,"",SUM(J120:N120)))</f>
        <v/>
      </c>
      <c r="Q120" s="23" t="str">
        <f aca="false">IF(OR(A120="",B120="",C120=""),"",SUMIFS('Who Engaged'!$I$5:$I$1004,'Who Engaged'!$C$5:$C$1004,C120,'Who Engaged'!$O$5:$O$1004,"Yes")+SUMIFS('Who Engaged'!$J$5:$J$1004,'Who Engaged'!$C$5:$C$1004,C120,'Who Engaged'!$O$5:$O$1004,"Yes")+SUMIFS('Who Engaged'!$K$5:$K$1004,'Who Engaged'!$C$5:$C$1004,C120,'Who Engaged'!$O$5:$O$1004,"Yes")+SUMIFS('Who Engaged'!$L$5:$L$1004,'Who Engaged'!$C$5:$C$1004,C120,'Who Engaged'!$O$5:$O$1004,"Yes"))</f>
        <v/>
      </c>
      <c r="R120" s="23" t="str">
        <f aca="false">IF(OR(OR(A120="",B120="",C120=""),P120=""),"",MAX(0,P120-N(Q120)))</f>
        <v/>
      </c>
      <c r="S120" s="24" t="str">
        <f aca="false">IF(OR(OR(A120="",B120="",C120=""),R120=""),"",IFERROR(R120/(IF(N(H120)&gt;0,H120,IF(N(I120)&gt;0,I120,IF(COUNTIFS($B$16:$B$215,B120,$H$16:$H$215,"&gt;0")+COUNTIFS($B$16:$B$215,B120,$I$16:$I$215,"&gt;0")&gt;0,"",INDEX($B$5:$B$7,MATCH(B120,$A$5:$A$7,0)))))),""))</f>
        <v/>
      </c>
      <c r="T120" s="25" t="str">
        <f aca="false">IF(OR(A120="",B120="",C120=""),"",IF(OR(S120="",COUNTIFS($B$16:$B$215,B120,$S$16:$S$215,"&gt;=0")&lt;2),"No Data Yet",IFERROR(IF(S120/AVERAGEIFS($S$16:$S$215,$B$16:$B$215,B120)&gt;=1.2,"Good",IF(S120/AVERAGEIFS($S$16:$S$215,$B$16:$B$215,B120)&gt;=0.8,"Average","Below Standard")),"Average")))</f>
        <v/>
      </c>
      <c r="U120" s="23" t="str">
        <f aca="false">IF(OR(A120="",B120="",C120=""),"",COUNTIFS('Who Engaged'!$C$5:$C$1004,C120,'Who Engaged'!$P$5:$P$1004,"Yes",'Who Engaged'!$N$5:$N$1004,1))</f>
        <v/>
      </c>
      <c r="V120" s="23" t="str">
        <f aca="false">IF(OR(A120="",B120="",C120=""),"",COUNTIFS('Who Engaged'!$C$5:$C$1004,C120,'Who Engaged'!$P$5:$P$1004,"Yes",'Who Engaged'!$M$5:$M$1004,1))</f>
        <v/>
      </c>
      <c r="W120" s="26" t="str">
        <f aca="false" t="array" ref="W120:W120">IF(OR(A120="",B120="",C120=""),"",_xlfn.TEXTJOIN("; ",TRUE(),IF(('Who Engaged'!$C$5:$C$1004=C120)*('Who Engaged'!$P$5:$P$1004="Yes"),'Who Engaged'!$D$5:$D$1004&amp;" – "&amp;'Who Engaged'!$F$5:$F$1004&amp;IF('Who Engaged'!$M$5:$M$1004=1," (followed)",""),"")))</f>
        <v/>
      </c>
      <c r="X120" s="27"/>
      <c r="Y120" s="27"/>
      <c r="Z120" s="28"/>
      <c r="AA120" s="25" t="str">
        <f aca="false">IF(OR(A120="",B120="",C120=""),"","https://www.alphanodus.com/contact?utm_source="&amp;IF(B120="X","twitter",LOWER(B120))&amp;"&amp;utm_medium=social&amp;utm_campaign="&amp;IF(E120="","general",LOWER(SUBSTITUTE(SUBSTITUTE(E120," / ","-")," ","-")))&amp;"&amp;utm_content="&amp;LOWER(C120))</f>
        <v/>
      </c>
    </row>
    <row r="121" customFormat="false" ht="15" hidden="false" customHeight="false" outlineLevel="0" collapsed="false">
      <c r="A121" s="29"/>
      <c r="B121" s="28"/>
      <c r="C121" s="28"/>
      <c r="D121" s="27"/>
      <c r="E121" s="28"/>
      <c r="F121" s="28"/>
      <c r="G121" s="28"/>
      <c r="H121" s="22"/>
      <c r="I121" s="22"/>
      <c r="J121" s="22"/>
      <c r="K121" s="22"/>
      <c r="L121" s="22"/>
      <c r="M121" s="22"/>
      <c r="N121" s="22"/>
      <c r="O121" s="22"/>
      <c r="P121" s="23" t="str">
        <f aca="false">IF(OR(A121="",B121="",C121=""),"",IF(COUNT(J121:N121)=0,"",SUM(J121:N121)))</f>
        <v/>
      </c>
      <c r="Q121" s="23" t="str">
        <f aca="false">IF(OR(A121="",B121="",C121=""),"",SUMIFS('Who Engaged'!$I$5:$I$1004,'Who Engaged'!$C$5:$C$1004,C121,'Who Engaged'!$O$5:$O$1004,"Yes")+SUMIFS('Who Engaged'!$J$5:$J$1004,'Who Engaged'!$C$5:$C$1004,C121,'Who Engaged'!$O$5:$O$1004,"Yes")+SUMIFS('Who Engaged'!$K$5:$K$1004,'Who Engaged'!$C$5:$C$1004,C121,'Who Engaged'!$O$5:$O$1004,"Yes")+SUMIFS('Who Engaged'!$L$5:$L$1004,'Who Engaged'!$C$5:$C$1004,C121,'Who Engaged'!$O$5:$O$1004,"Yes"))</f>
        <v/>
      </c>
      <c r="R121" s="23" t="str">
        <f aca="false">IF(OR(OR(A121="",B121="",C121=""),P121=""),"",MAX(0,P121-N(Q121)))</f>
        <v/>
      </c>
      <c r="S121" s="24" t="str">
        <f aca="false">IF(OR(OR(A121="",B121="",C121=""),R121=""),"",IFERROR(R121/(IF(N(H121)&gt;0,H121,IF(N(I121)&gt;0,I121,IF(COUNTIFS($B$16:$B$215,B121,$H$16:$H$215,"&gt;0")+COUNTIFS($B$16:$B$215,B121,$I$16:$I$215,"&gt;0")&gt;0,"",INDEX($B$5:$B$7,MATCH(B121,$A$5:$A$7,0)))))),""))</f>
        <v/>
      </c>
      <c r="T121" s="25" t="str">
        <f aca="false">IF(OR(A121="",B121="",C121=""),"",IF(OR(S121="",COUNTIFS($B$16:$B$215,B121,$S$16:$S$215,"&gt;=0")&lt;2),"No Data Yet",IFERROR(IF(S121/AVERAGEIFS($S$16:$S$215,$B$16:$B$215,B121)&gt;=1.2,"Good",IF(S121/AVERAGEIFS($S$16:$S$215,$B$16:$B$215,B121)&gt;=0.8,"Average","Below Standard")),"Average")))</f>
        <v/>
      </c>
      <c r="U121" s="23" t="str">
        <f aca="false">IF(OR(A121="",B121="",C121=""),"",COUNTIFS('Who Engaged'!$C$5:$C$1004,C121,'Who Engaged'!$P$5:$P$1004,"Yes",'Who Engaged'!$N$5:$N$1004,1))</f>
        <v/>
      </c>
      <c r="V121" s="23" t="str">
        <f aca="false">IF(OR(A121="",B121="",C121=""),"",COUNTIFS('Who Engaged'!$C$5:$C$1004,C121,'Who Engaged'!$P$5:$P$1004,"Yes",'Who Engaged'!$M$5:$M$1004,1))</f>
        <v/>
      </c>
      <c r="W121" s="26" t="str">
        <f aca="false" t="array" ref="W121:W121">IF(OR(A121="",B121="",C121=""),"",_xlfn.TEXTJOIN("; ",TRUE(),IF(('Who Engaged'!$C$5:$C$1004=C121)*('Who Engaged'!$P$5:$P$1004="Yes"),'Who Engaged'!$D$5:$D$1004&amp;" – "&amp;'Who Engaged'!$F$5:$F$1004&amp;IF('Who Engaged'!$M$5:$M$1004=1," (followed)",""),"")))</f>
        <v/>
      </c>
      <c r="X121" s="27"/>
      <c r="Y121" s="27"/>
      <c r="Z121" s="28"/>
      <c r="AA121" s="25" t="str">
        <f aca="false">IF(OR(A121="",B121="",C121=""),"","https://www.alphanodus.com/contact?utm_source="&amp;IF(B121="X","twitter",LOWER(B121))&amp;"&amp;utm_medium=social&amp;utm_campaign="&amp;IF(E121="","general",LOWER(SUBSTITUTE(SUBSTITUTE(E121," / ","-")," ","-")))&amp;"&amp;utm_content="&amp;LOWER(C121))</f>
        <v/>
      </c>
    </row>
    <row r="122" customFormat="false" ht="15" hidden="false" customHeight="false" outlineLevel="0" collapsed="false">
      <c r="A122" s="29"/>
      <c r="B122" s="28"/>
      <c r="C122" s="28"/>
      <c r="D122" s="27"/>
      <c r="E122" s="28"/>
      <c r="F122" s="28"/>
      <c r="G122" s="28"/>
      <c r="H122" s="22"/>
      <c r="I122" s="22"/>
      <c r="J122" s="22"/>
      <c r="K122" s="22"/>
      <c r="L122" s="22"/>
      <c r="M122" s="22"/>
      <c r="N122" s="22"/>
      <c r="O122" s="22"/>
      <c r="P122" s="23" t="str">
        <f aca="false">IF(OR(A122="",B122="",C122=""),"",IF(COUNT(J122:N122)=0,"",SUM(J122:N122)))</f>
        <v/>
      </c>
      <c r="Q122" s="23" t="str">
        <f aca="false">IF(OR(A122="",B122="",C122=""),"",SUMIFS('Who Engaged'!$I$5:$I$1004,'Who Engaged'!$C$5:$C$1004,C122,'Who Engaged'!$O$5:$O$1004,"Yes")+SUMIFS('Who Engaged'!$J$5:$J$1004,'Who Engaged'!$C$5:$C$1004,C122,'Who Engaged'!$O$5:$O$1004,"Yes")+SUMIFS('Who Engaged'!$K$5:$K$1004,'Who Engaged'!$C$5:$C$1004,C122,'Who Engaged'!$O$5:$O$1004,"Yes")+SUMIFS('Who Engaged'!$L$5:$L$1004,'Who Engaged'!$C$5:$C$1004,C122,'Who Engaged'!$O$5:$O$1004,"Yes"))</f>
        <v/>
      </c>
      <c r="R122" s="23" t="str">
        <f aca="false">IF(OR(OR(A122="",B122="",C122=""),P122=""),"",MAX(0,P122-N(Q122)))</f>
        <v/>
      </c>
      <c r="S122" s="24" t="str">
        <f aca="false">IF(OR(OR(A122="",B122="",C122=""),R122=""),"",IFERROR(R122/(IF(N(H122)&gt;0,H122,IF(N(I122)&gt;0,I122,IF(COUNTIFS($B$16:$B$215,B122,$H$16:$H$215,"&gt;0")+COUNTIFS($B$16:$B$215,B122,$I$16:$I$215,"&gt;0")&gt;0,"",INDEX($B$5:$B$7,MATCH(B122,$A$5:$A$7,0)))))),""))</f>
        <v/>
      </c>
      <c r="T122" s="25" t="str">
        <f aca="false">IF(OR(A122="",B122="",C122=""),"",IF(OR(S122="",COUNTIFS($B$16:$B$215,B122,$S$16:$S$215,"&gt;=0")&lt;2),"No Data Yet",IFERROR(IF(S122/AVERAGEIFS($S$16:$S$215,$B$16:$B$215,B122)&gt;=1.2,"Good",IF(S122/AVERAGEIFS($S$16:$S$215,$B$16:$B$215,B122)&gt;=0.8,"Average","Below Standard")),"Average")))</f>
        <v/>
      </c>
      <c r="U122" s="23" t="str">
        <f aca="false">IF(OR(A122="",B122="",C122=""),"",COUNTIFS('Who Engaged'!$C$5:$C$1004,C122,'Who Engaged'!$P$5:$P$1004,"Yes",'Who Engaged'!$N$5:$N$1004,1))</f>
        <v/>
      </c>
      <c r="V122" s="23" t="str">
        <f aca="false">IF(OR(A122="",B122="",C122=""),"",COUNTIFS('Who Engaged'!$C$5:$C$1004,C122,'Who Engaged'!$P$5:$P$1004,"Yes",'Who Engaged'!$M$5:$M$1004,1))</f>
        <v/>
      </c>
      <c r="W122" s="26" t="str">
        <f aca="false" t="array" ref="W122:W122">IF(OR(A122="",B122="",C122=""),"",_xlfn.TEXTJOIN("; ",TRUE(),IF(('Who Engaged'!$C$5:$C$1004=C122)*('Who Engaged'!$P$5:$P$1004="Yes"),'Who Engaged'!$D$5:$D$1004&amp;" – "&amp;'Who Engaged'!$F$5:$F$1004&amp;IF('Who Engaged'!$M$5:$M$1004=1," (followed)",""),"")))</f>
        <v/>
      </c>
      <c r="X122" s="27"/>
      <c r="Y122" s="27"/>
      <c r="Z122" s="28"/>
      <c r="AA122" s="25" t="str">
        <f aca="false">IF(OR(A122="",B122="",C122=""),"","https://www.alphanodus.com/contact?utm_source="&amp;IF(B122="X","twitter",LOWER(B122))&amp;"&amp;utm_medium=social&amp;utm_campaign="&amp;IF(E122="","general",LOWER(SUBSTITUTE(SUBSTITUTE(E122," / ","-")," ","-")))&amp;"&amp;utm_content="&amp;LOWER(C122))</f>
        <v/>
      </c>
    </row>
    <row r="123" customFormat="false" ht="15" hidden="false" customHeight="false" outlineLevel="0" collapsed="false">
      <c r="A123" s="29"/>
      <c r="B123" s="28"/>
      <c r="C123" s="28"/>
      <c r="D123" s="27"/>
      <c r="E123" s="28"/>
      <c r="F123" s="28"/>
      <c r="G123" s="28"/>
      <c r="H123" s="22"/>
      <c r="I123" s="22"/>
      <c r="J123" s="22"/>
      <c r="K123" s="22"/>
      <c r="L123" s="22"/>
      <c r="M123" s="22"/>
      <c r="N123" s="22"/>
      <c r="O123" s="22"/>
      <c r="P123" s="23" t="str">
        <f aca="false">IF(OR(A123="",B123="",C123=""),"",IF(COUNT(J123:N123)=0,"",SUM(J123:N123)))</f>
        <v/>
      </c>
      <c r="Q123" s="23" t="str">
        <f aca="false">IF(OR(A123="",B123="",C123=""),"",SUMIFS('Who Engaged'!$I$5:$I$1004,'Who Engaged'!$C$5:$C$1004,C123,'Who Engaged'!$O$5:$O$1004,"Yes")+SUMIFS('Who Engaged'!$J$5:$J$1004,'Who Engaged'!$C$5:$C$1004,C123,'Who Engaged'!$O$5:$O$1004,"Yes")+SUMIFS('Who Engaged'!$K$5:$K$1004,'Who Engaged'!$C$5:$C$1004,C123,'Who Engaged'!$O$5:$O$1004,"Yes")+SUMIFS('Who Engaged'!$L$5:$L$1004,'Who Engaged'!$C$5:$C$1004,C123,'Who Engaged'!$O$5:$O$1004,"Yes"))</f>
        <v/>
      </c>
      <c r="R123" s="23" t="str">
        <f aca="false">IF(OR(OR(A123="",B123="",C123=""),P123=""),"",MAX(0,P123-N(Q123)))</f>
        <v/>
      </c>
      <c r="S123" s="24" t="str">
        <f aca="false">IF(OR(OR(A123="",B123="",C123=""),R123=""),"",IFERROR(R123/(IF(N(H123)&gt;0,H123,IF(N(I123)&gt;0,I123,IF(COUNTIFS($B$16:$B$215,B123,$H$16:$H$215,"&gt;0")+COUNTIFS($B$16:$B$215,B123,$I$16:$I$215,"&gt;0")&gt;0,"",INDEX($B$5:$B$7,MATCH(B123,$A$5:$A$7,0)))))),""))</f>
        <v/>
      </c>
      <c r="T123" s="25" t="str">
        <f aca="false">IF(OR(A123="",B123="",C123=""),"",IF(OR(S123="",COUNTIFS($B$16:$B$215,B123,$S$16:$S$215,"&gt;=0")&lt;2),"No Data Yet",IFERROR(IF(S123/AVERAGEIFS($S$16:$S$215,$B$16:$B$215,B123)&gt;=1.2,"Good",IF(S123/AVERAGEIFS($S$16:$S$215,$B$16:$B$215,B123)&gt;=0.8,"Average","Below Standard")),"Average")))</f>
        <v/>
      </c>
      <c r="U123" s="23" t="str">
        <f aca="false">IF(OR(A123="",B123="",C123=""),"",COUNTIFS('Who Engaged'!$C$5:$C$1004,C123,'Who Engaged'!$P$5:$P$1004,"Yes",'Who Engaged'!$N$5:$N$1004,1))</f>
        <v/>
      </c>
      <c r="V123" s="23" t="str">
        <f aca="false">IF(OR(A123="",B123="",C123=""),"",COUNTIFS('Who Engaged'!$C$5:$C$1004,C123,'Who Engaged'!$P$5:$P$1004,"Yes",'Who Engaged'!$M$5:$M$1004,1))</f>
        <v/>
      </c>
      <c r="W123" s="26" t="str">
        <f aca="false" t="array" ref="W123:W123">IF(OR(A123="",B123="",C123=""),"",_xlfn.TEXTJOIN("; ",TRUE(),IF(('Who Engaged'!$C$5:$C$1004=C123)*('Who Engaged'!$P$5:$P$1004="Yes"),'Who Engaged'!$D$5:$D$1004&amp;" – "&amp;'Who Engaged'!$F$5:$F$1004&amp;IF('Who Engaged'!$M$5:$M$1004=1," (followed)",""),"")))</f>
        <v/>
      </c>
      <c r="X123" s="27"/>
      <c r="Y123" s="27"/>
      <c r="Z123" s="28"/>
      <c r="AA123" s="25" t="str">
        <f aca="false">IF(OR(A123="",B123="",C123=""),"","https://www.alphanodus.com/contact?utm_source="&amp;IF(B123="X","twitter",LOWER(B123))&amp;"&amp;utm_medium=social&amp;utm_campaign="&amp;IF(E123="","general",LOWER(SUBSTITUTE(SUBSTITUTE(E123," / ","-")," ","-")))&amp;"&amp;utm_content="&amp;LOWER(C123))</f>
        <v/>
      </c>
    </row>
    <row r="124" customFormat="false" ht="15" hidden="false" customHeight="false" outlineLevel="0" collapsed="false">
      <c r="A124" s="29"/>
      <c r="B124" s="28"/>
      <c r="C124" s="28"/>
      <c r="D124" s="27"/>
      <c r="E124" s="28"/>
      <c r="F124" s="28"/>
      <c r="G124" s="28"/>
      <c r="H124" s="22"/>
      <c r="I124" s="22"/>
      <c r="J124" s="22"/>
      <c r="K124" s="22"/>
      <c r="L124" s="22"/>
      <c r="M124" s="22"/>
      <c r="N124" s="22"/>
      <c r="O124" s="22"/>
      <c r="P124" s="23" t="str">
        <f aca="false">IF(OR(A124="",B124="",C124=""),"",IF(COUNT(J124:N124)=0,"",SUM(J124:N124)))</f>
        <v/>
      </c>
      <c r="Q124" s="23" t="str">
        <f aca="false">IF(OR(A124="",B124="",C124=""),"",SUMIFS('Who Engaged'!$I$5:$I$1004,'Who Engaged'!$C$5:$C$1004,C124,'Who Engaged'!$O$5:$O$1004,"Yes")+SUMIFS('Who Engaged'!$J$5:$J$1004,'Who Engaged'!$C$5:$C$1004,C124,'Who Engaged'!$O$5:$O$1004,"Yes")+SUMIFS('Who Engaged'!$K$5:$K$1004,'Who Engaged'!$C$5:$C$1004,C124,'Who Engaged'!$O$5:$O$1004,"Yes")+SUMIFS('Who Engaged'!$L$5:$L$1004,'Who Engaged'!$C$5:$C$1004,C124,'Who Engaged'!$O$5:$O$1004,"Yes"))</f>
        <v/>
      </c>
      <c r="R124" s="23" t="str">
        <f aca="false">IF(OR(OR(A124="",B124="",C124=""),P124=""),"",MAX(0,P124-N(Q124)))</f>
        <v/>
      </c>
      <c r="S124" s="24" t="str">
        <f aca="false">IF(OR(OR(A124="",B124="",C124=""),R124=""),"",IFERROR(R124/(IF(N(H124)&gt;0,H124,IF(N(I124)&gt;0,I124,IF(COUNTIFS($B$16:$B$215,B124,$H$16:$H$215,"&gt;0")+COUNTIFS($B$16:$B$215,B124,$I$16:$I$215,"&gt;0")&gt;0,"",INDEX($B$5:$B$7,MATCH(B124,$A$5:$A$7,0)))))),""))</f>
        <v/>
      </c>
      <c r="T124" s="25" t="str">
        <f aca="false">IF(OR(A124="",B124="",C124=""),"",IF(OR(S124="",COUNTIFS($B$16:$B$215,B124,$S$16:$S$215,"&gt;=0")&lt;2),"No Data Yet",IFERROR(IF(S124/AVERAGEIFS($S$16:$S$215,$B$16:$B$215,B124)&gt;=1.2,"Good",IF(S124/AVERAGEIFS($S$16:$S$215,$B$16:$B$215,B124)&gt;=0.8,"Average","Below Standard")),"Average")))</f>
        <v/>
      </c>
      <c r="U124" s="23" t="str">
        <f aca="false">IF(OR(A124="",B124="",C124=""),"",COUNTIFS('Who Engaged'!$C$5:$C$1004,C124,'Who Engaged'!$P$5:$P$1004,"Yes",'Who Engaged'!$N$5:$N$1004,1))</f>
        <v/>
      </c>
      <c r="V124" s="23" t="str">
        <f aca="false">IF(OR(A124="",B124="",C124=""),"",COUNTIFS('Who Engaged'!$C$5:$C$1004,C124,'Who Engaged'!$P$5:$P$1004,"Yes",'Who Engaged'!$M$5:$M$1004,1))</f>
        <v/>
      </c>
      <c r="W124" s="26" t="str">
        <f aca="false" t="array" ref="W124:W124">IF(OR(A124="",B124="",C124=""),"",_xlfn.TEXTJOIN("; ",TRUE(),IF(('Who Engaged'!$C$5:$C$1004=C124)*('Who Engaged'!$P$5:$P$1004="Yes"),'Who Engaged'!$D$5:$D$1004&amp;" – "&amp;'Who Engaged'!$F$5:$F$1004&amp;IF('Who Engaged'!$M$5:$M$1004=1," (followed)",""),"")))</f>
        <v/>
      </c>
      <c r="X124" s="27"/>
      <c r="Y124" s="27"/>
      <c r="Z124" s="28"/>
      <c r="AA124" s="25" t="str">
        <f aca="false">IF(OR(A124="",B124="",C124=""),"","https://www.alphanodus.com/contact?utm_source="&amp;IF(B124="X","twitter",LOWER(B124))&amp;"&amp;utm_medium=social&amp;utm_campaign="&amp;IF(E124="","general",LOWER(SUBSTITUTE(SUBSTITUTE(E124," / ","-")," ","-")))&amp;"&amp;utm_content="&amp;LOWER(C124))</f>
        <v/>
      </c>
    </row>
    <row r="125" customFormat="false" ht="15" hidden="false" customHeight="false" outlineLevel="0" collapsed="false">
      <c r="A125" s="29"/>
      <c r="B125" s="28"/>
      <c r="C125" s="28"/>
      <c r="D125" s="27"/>
      <c r="E125" s="28"/>
      <c r="F125" s="28"/>
      <c r="G125" s="28"/>
      <c r="H125" s="22"/>
      <c r="I125" s="22"/>
      <c r="J125" s="22"/>
      <c r="K125" s="22"/>
      <c r="L125" s="22"/>
      <c r="M125" s="22"/>
      <c r="N125" s="22"/>
      <c r="O125" s="22"/>
      <c r="P125" s="23" t="str">
        <f aca="false">IF(OR(A125="",B125="",C125=""),"",IF(COUNT(J125:N125)=0,"",SUM(J125:N125)))</f>
        <v/>
      </c>
      <c r="Q125" s="23" t="str">
        <f aca="false">IF(OR(A125="",B125="",C125=""),"",SUMIFS('Who Engaged'!$I$5:$I$1004,'Who Engaged'!$C$5:$C$1004,C125,'Who Engaged'!$O$5:$O$1004,"Yes")+SUMIFS('Who Engaged'!$J$5:$J$1004,'Who Engaged'!$C$5:$C$1004,C125,'Who Engaged'!$O$5:$O$1004,"Yes")+SUMIFS('Who Engaged'!$K$5:$K$1004,'Who Engaged'!$C$5:$C$1004,C125,'Who Engaged'!$O$5:$O$1004,"Yes")+SUMIFS('Who Engaged'!$L$5:$L$1004,'Who Engaged'!$C$5:$C$1004,C125,'Who Engaged'!$O$5:$O$1004,"Yes"))</f>
        <v/>
      </c>
      <c r="R125" s="23" t="str">
        <f aca="false">IF(OR(OR(A125="",B125="",C125=""),P125=""),"",MAX(0,P125-N(Q125)))</f>
        <v/>
      </c>
      <c r="S125" s="24" t="str">
        <f aca="false">IF(OR(OR(A125="",B125="",C125=""),R125=""),"",IFERROR(R125/(IF(N(H125)&gt;0,H125,IF(N(I125)&gt;0,I125,IF(COUNTIFS($B$16:$B$215,B125,$H$16:$H$215,"&gt;0")+COUNTIFS($B$16:$B$215,B125,$I$16:$I$215,"&gt;0")&gt;0,"",INDEX($B$5:$B$7,MATCH(B125,$A$5:$A$7,0)))))),""))</f>
        <v/>
      </c>
      <c r="T125" s="25" t="str">
        <f aca="false">IF(OR(A125="",B125="",C125=""),"",IF(OR(S125="",COUNTIFS($B$16:$B$215,B125,$S$16:$S$215,"&gt;=0")&lt;2),"No Data Yet",IFERROR(IF(S125/AVERAGEIFS($S$16:$S$215,$B$16:$B$215,B125)&gt;=1.2,"Good",IF(S125/AVERAGEIFS($S$16:$S$215,$B$16:$B$215,B125)&gt;=0.8,"Average","Below Standard")),"Average")))</f>
        <v/>
      </c>
      <c r="U125" s="23" t="str">
        <f aca="false">IF(OR(A125="",B125="",C125=""),"",COUNTIFS('Who Engaged'!$C$5:$C$1004,C125,'Who Engaged'!$P$5:$P$1004,"Yes",'Who Engaged'!$N$5:$N$1004,1))</f>
        <v/>
      </c>
      <c r="V125" s="23" t="str">
        <f aca="false">IF(OR(A125="",B125="",C125=""),"",COUNTIFS('Who Engaged'!$C$5:$C$1004,C125,'Who Engaged'!$P$5:$P$1004,"Yes",'Who Engaged'!$M$5:$M$1004,1))</f>
        <v/>
      </c>
      <c r="W125" s="26" t="str">
        <f aca="false" t="array" ref="W125:W125">IF(OR(A125="",B125="",C125=""),"",_xlfn.TEXTJOIN("; ",TRUE(),IF(('Who Engaged'!$C$5:$C$1004=C125)*('Who Engaged'!$P$5:$P$1004="Yes"),'Who Engaged'!$D$5:$D$1004&amp;" – "&amp;'Who Engaged'!$F$5:$F$1004&amp;IF('Who Engaged'!$M$5:$M$1004=1," (followed)",""),"")))</f>
        <v/>
      </c>
      <c r="X125" s="27"/>
      <c r="Y125" s="27"/>
      <c r="Z125" s="28"/>
      <c r="AA125" s="25" t="str">
        <f aca="false">IF(OR(A125="",B125="",C125=""),"","https://www.alphanodus.com/contact?utm_source="&amp;IF(B125="X","twitter",LOWER(B125))&amp;"&amp;utm_medium=social&amp;utm_campaign="&amp;IF(E125="","general",LOWER(SUBSTITUTE(SUBSTITUTE(E125," / ","-")," ","-")))&amp;"&amp;utm_content="&amp;LOWER(C125))</f>
        <v/>
      </c>
    </row>
    <row r="126" customFormat="false" ht="15" hidden="false" customHeight="false" outlineLevel="0" collapsed="false">
      <c r="A126" s="29"/>
      <c r="B126" s="28"/>
      <c r="C126" s="28"/>
      <c r="D126" s="27"/>
      <c r="E126" s="28"/>
      <c r="F126" s="28"/>
      <c r="G126" s="28"/>
      <c r="H126" s="22"/>
      <c r="I126" s="22"/>
      <c r="J126" s="22"/>
      <c r="K126" s="22"/>
      <c r="L126" s="22"/>
      <c r="M126" s="22"/>
      <c r="N126" s="22"/>
      <c r="O126" s="22"/>
      <c r="P126" s="23" t="str">
        <f aca="false">IF(OR(A126="",B126="",C126=""),"",IF(COUNT(J126:N126)=0,"",SUM(J126:N126)))</f>
        <v/>
      </c>
      <c r="Q126" s="23" t="str">
        <f aca="false">IF(OR(A126="",B126="",C126=""),"",SUMIFS('Who Engaged'!$I$5:$I$1004,'Who Engaged'!$C$5:$C$1004,C126,'Who Engaged'!$O$5:$O$1004,"Yes")+SUMIFS('Who Engaged'!$J$5:$J$1004,'Who Engaged'!$C$5:$C$1004,C126,'Who Engaged'!$O$5:$O$1004,"Yes")+SUMIFS('Who Engaged'!$K$5:$K$1004,'Who Engaged'!$C$5:$C$1004,C126,'Who Engaged'!$O$5:$O$1004,"Yes")+SUMIFS('Who Engaged'!$L$5:$L$1004,'Who Engaged'!$C$5:$C$1004,C126,'Who Engaged'!$O$5:$O$1004,"Yes"))</f>
        <v/>
      </c>
      <c r="R126" s="23" t="str">
        <f aca="false">IF(OR(OR(A126="",B126="",C126=""),P126=""),"",MAX(0,P126-N(Q126)))</f>
        <v/>
      </c>
      <c r="S126" s="24" t="str">
        <f aca="false">IF(OR(OR(A126="",B126="",C126=""),R126=""),"",IFERROR(R126/(IF(N(H126)&gt;0,H126,IF(N(I126)&gt;0,I126,IF(COUNTIFS($B$16:$B$215,B126,$H$16:$H$215,"&gt;0")+COUNTIFS($B$16:$B$215,B126,$I$16:$I$215,"&gt;0")&gt;0,"",INDEX($B$5:$B$7,MATCH(B126,$A$5:$A$7,0)))))),""))</f>
        <v/>
      </c>
      <c r="T126" s="25" t="str">
        <f aca="false">IF(OR(A126="",B126="",C126=""),"",IF(OR(S126="",COUNTIFS($B$16:$B$215,B126,$S$16:$S$215,"&gt;=0")&lt;2),"No Data Yet",IFERROR(IF(S126/AVERAGEIFS($S$16:$S$215,$B$16:$B$215,B126)&gt;=1.2,"Good",IF(S126/AVERAGEIFS($S$16:$S$215,$B$16:$B$215,B126)&gt;=0.8,"Average","Below Standard")),"Average")))</f>
        <v/>
      </c>
      <c r="U126" s="23" t="str">
        <f aca="false">IF(OR(A126="",B126="",C126=""),"",COUNTIFS('Who Engaged'!$C$5:$C$1004,C126,'Who Engaged'!$P$5:$P$1004,"Yes",'Who Engaged'!$N$5:$N$1004,1))</f>
        <v/>
      </c>
      <c r="V126" s="23" t="str">
        <f aca="false">IF(OR(A126="",B126="",C126=""),"",COUNTIFS('Who Engaged'!$C$5:$C$1004,C126,'Who Engaged'!$P$5:$P$1004,"Yes",'Who Engaged'!$M$5:$M$1004,1))</f>
        <v/>
      </c>
      <c r="W126" s="26" t="str">
        <f aca="false" t="array" ref="W126:W126">IF(OR(A126="",B126="",C126=""),"",_xlfn.TEXTJOIN("; ",TRUE(),IF(('Who Engaged'!$C$5:$C$1004=C126)*('Who Engaged'!$P$5:$P$1004="Yes"),'Who Engaged'!$D$5:$D$1004&amp;" – "&amp;'Who Engaged'!$F$5:$F$1004&amp;IF('Who Engaged'!$M$5:$M$1004=1," (followed)",""),"")))</f>
        <v/>
      </c>
      <c r="X126" s="27"/>
      <c r="Y126" s="27"/>
      <c r="Z126" s="28"/>
      <c r="AA126" s="25" t="str">
        <f aca="false">IF(OR(A126="",B126="",C126=""),"","https://www.alphanodus.com/contact?utm_source="&amp;IF(B126="X","twitter",LOWER(B126))&amp;"&amp;utm_medium=social&amp;utm_campaign="&amp;IF(E126="","general",LOWER(SUBSTITUTE(SUBSTITUTE(E126," / ","-")," ","-")))&amp;"&amp;utm_content="&amp;LOWER(C126))</f>
        <v/>
      </c>
    </row>
    <row r="127" customFormat="false" ht="15" hidden="false" customHeight="false" outlineLevel="0" collapsed="false">
      <c r="A127" s="29"/>
      <c r="B127" s="28"/>
      <c r="C127" s="28"/>
      <c r="D127" s="27"/>
      <c r="E127" s="28"/>
      <c r="F127" s="28"/>
      <c r="G127" s="28"/>
      <c r="H127" s="22"/>
      <c r="I127" s="22"/>
      <c r="J127" s="22"/>
      <c r="K127" s="22"/>
      <c r="L127" s="22"/>
      <c r="M127" s="22"/>
      <c r="N127" s="22"/>
      <c r="O127" s="22"/>
      <c r="P127" s="23" t="str">
        <f aca="false">IF(OR(A127="",B127="",C127=""),"",IF(COUNT(J127:N127)=0,"",SUM(J127:N127)))</f>
        <v/>
      </c>
      <c r="Q127" s="23" t="str">
        <f aca="false">IF(OR(A127="",B127="",C127=""),"",SUMIFS('Who Engaged'!$I$5:$I$1004,'Who Engaged'!$C$5:$C$1004,C127,'Who Engaged'!$O$5:$O$1004,"Yes")+SUMIFS('Who Engaged'!$J$5:$J$1004,'Who Engaged'!$C$5:$C$1004,C127,'Who Engaged'!$O$5:$O$1004,"Yes")+SUMIFS('Who Engaged'!$K$5:$K$1004,'Who Engaged'!$C$5:$C$1004,C127,'Who Engaged'!$O$5:$O$1004,"Yes")+SUMIFS('Who Engaged'!$L$5:$L$1004,'Who Engaged'!$C$5:$C$1004,C127,'Who Engaged'!$O$5:$O$1004,"Yes"))</f>
        <v/>
      </c>
      <c r="R127" s="23" t="str">
        <f aca="false">IF(OR(OR(A127="",B127="",C127=""),P127=""),"",MAX(0,P127-N(Q127)))</f>
        <v/>
      </c>
      <c r="S127" s="24" t="str">
        <f aca="false">IF(OR(OR(A127="",B127="",C127=""),R127=""),"",IFERROR(R127/(IF(N(H127)&gt;0,H127,IF(N(I127)&gt;0,I127,IF(COUNTIFS($B$16:$B$215,B127,$H$16:$H$215,"&gt;0")+COUNTIFS($B$16:$B$215,B127,$I$16:$I$215,"&gt;0")&gt;0,"",INDEX($B$5:$B$7,MATCH(B127,$A$5:$A$7,0)))))),""))</f>
        <v/>
      </c>
      <c r="T127" s="25" t="str">
        <f aca="false">IF(OR(A127="",B127="",C127=""),"",IF(OR(S127="",COUNTIFS($B$16:$B$215,B127,$S$16:$S$215,"&gt;=0")&lt;2),"No Data Yet",IFERROR(IF(S127/AVERAGEIFS($S$16:$S$215,$B$16:$B$215,B127)&gt;=1.2,"Good",IF(S127/AVERAGEIFS($S$16:$S$215,$B$16:$B$215,B127)&gt;=0.8,"Average","Below Standard")),"Average")))</f>
        <v/>
      </c>
      <c r="U127" s="23" t="str">
        <f aca="false">IF(OR(A127="",B127="",C127=""),"",COUNTIFS('Who Engaged'!$C$5:$C$1004,C127,'Who Engaged'!$P$5:$P$1004,"Yes",'Who Engaged'!$N$5:$N$1004,1))</f>
        <v/>
      </c>
      <c r="V127" s="23" t="str">
        <f aca="false">IF(OR(A127="",B127="",C127=""),"",COUNTIFS('Who Engaged'!$C$5:$C$1004,C127,'Who Engaged'!$P$5:$P$1004,"Yes",'Who Engaged'!$M$5:$M$1004,1))</f>
        <v/>
      </c>
      <c r="W127" s="26" t="str">
        <f aca="false" t="array" ref="W127:W127">IF(OR(A127="",B127="",C127=""),"",_xlfn.TEXTJOIN("; ",TRUE(),IF(('Who Engaged'!$C$5:$C$1004=C127)*('Who Engaged'!$P$5:$P$1004="Yes"),'Who Engaged'!$D$5:$D$1004&amp;" – "&amp;'Who Engaged'!$F$5:$F$1004&amp;IF('Who Engaged'!$M$5:$M$1004=1," (followed)",""),"")))</f>
        <v/>
      </c>
      <c r="X127" s="27"/>
      <c r="Y127" s="27"/>
      <c r="Z127" s="28"/>
      <c r="AA127" s="25" t="str">
        <f aca="false">IF(OR(A127="",B127="",C127=""),"","https://www.alphanodus.com/contact?utm_source="&amp;IF(B127="X","twitter",LOWER(B127))&amp;"&amp;utm_medium=social&amp;utm_campaign="&amp;IF(E127="","general",LOWER(SUBSTITUTE(SUBSTITUTE(E127," / ","-")," ","-")))&amp;"&amp;utm_content="&amp;LOWER(C127))</f>
        <v/>
      </c>
    </row>
    <row r="128" customFormat="false" ht="15" hidden="false" customHeight="false" outlineLevel="0" collapsed="false">
      <c r="A128" s="29"/>
      <c r="B128" s="28"/>
      <c r="C128" s="28"/>
      <c r="D128" s="27"/>
      <c r="E128" s="28"/>
      <c r="F128" s="28"/>
      <c r="G128" s="28"/>
      <c r="H128" s="22"/>
      <c r="I128" s="22"/>
      <c r="J128" s="22"/>
      <c r="K128" s="22"/>
      <c r="L128" s="22"/>
      <c r="M128" s="22"/>
      <c r="N128" s="22"/>
      <c r="O128" s="22"/>
      <c r="P128" s="23" t="str">
        <f aca="false">IF(OR(A128="",B128="",C128=""),"",IF(COUNT(J128:N128)=0,"",SUM(J128:N128)))</f>
        <v/>
      </c>
      <c r="Q128" s="23" t="str">
        <f aca="false">IF(OR(A128="",B128="",C128=""),"",SUMIFS('Who Engaged'!$I$5:$I$1004,'Who Engaged'!$C$5:$C$1004,C128,'Who Engaged'!$O$5:$O$1004,"Yes")+SUMIFS('Who Engaged'!$J$5:$J$1004,'Who Engaged'!$C$5:$C$1004,C128,'Who Engaged'!$O$5:$O$1004,"Yes")+SUMIFS('Who Engaged'!$K$5:$K$1004,'Who Engaged'!$C$5:$C$1004,C128,'Who Engaged'!$O$5:$O$1004,"Yes")+SUMIFS('Who Engaged'!$L$5:$L$1004,'Who Engaged'!$C$5:$C$1004,C128,'Who Engaged'!$O$5:$O$1004,"Yes"))</f>
        <v/>
      </c>
      <c r="R128" s="23" t="str">
        <f aca="false">IF(OR(OR(A128="",B128="",C128=""),P128=""),"",MAX(0,P128-N(Q128)))</f>
        <v/>
      </c>
      <c r="S128" s="24" t="str">
        <f aca="false">IF(OR(OR(A128="",B128="",C128=""),R128=""),"",IFERROR(R128/(IF(N(H128)&gt;0,H128,IF(N(I128)&gt;0,I128,IF(COUNTIFS($B$16:$B$215,B128,$H$16:$H$215,"&gt;0")+COUNTIFS($B$16:$B$215,B128,$I$16:$I$215,"&gt;0")&gt;0,"",INDEX($B$5:$B$7,MATCH(B128,$A$5:$A$7,0)))))),""))</f>
        <v/>
      </c>
      <c r="T128" s="25" t="str">
        <f aca="false">IF(OR(A128="",B128="",C128=""),"",IF(OR(S128="",COUNTIFS($B$16:$B$215,B128,$S$16:$S$215,"&gt;=0")&lt;2),"No Data Yet",IFERROR(IF(S128/AVERAGEIFS($S$16:$S$215,$B$16:$B$215,B128)&gt;=1.2,"Good",IF(S128/AVERAGEIFS($S$16:$S$215,$B$16:$B$215,B128)&gt;=0.8,"Average","Below Standard")),"Average")))</f>
        <v/>
      </c>
      <c r="U128" s="23" t="str">
        <f aca="false">IF(OR(A128="",B128="",C128=""),"",COUNTIFS('Who Engaged'!$C$5:$C$1004,C128,'Who Engaged'!$P$5:$P$1004,"Yes",'Who Engaged'!$N$5:$N$1004,1))</f>
        <v/>
      </c>
      <c r="V128" s="23" t="str">
        <f aca="false">IF(OR(A128="",B128="",C128=""),"",COUNTIFS('Who Engaged'!$C$5:$C$1004,C128,'Who Engaged'!$P$5:$P$1004,"Yes",'Who Engaged'!$M$5:$M$1004,1))</f>
        <v/>
      </c>
      <c r="W128" s="26" t="str">
        <f aca="false" t="array" ref="W128:W128">IF(OR(A128="",B128="",C128=""),"",_xlfn.TEXTJOIN("; ",TRUE(),IF(('Who Engaged'!$C$5:$C$1004=C128)*('Who Engaged'!$P$5:$P$1004="Yes"),'Who Engaged'!$D$5:$D$1004&amp;" – "&amp;'Who Engaged'!$F$5:$F$1004&amp;IF('Who Engaged'!$M$5:$M$1004=1," (followed)",""),"")))</f>
        <v/>
      </c>
      <c r="X128" s="27"/>
      <c r="Y128" s="27"/>
      <c r="Z128" s="28"/>
      <c r="AA128" s="25" t="str">
        <f aca="false">IF(OR(A128="",B128="",C128=""),"","https://www.alphanodus.com/contact?utm_source="&amp;IF(B128="X","twitter",LOWER(B128))&amp;"&amp;utm_medium=social&amp;utm_campaign="&amp;IF(E128="","general",LOWER(SUBSTITUTE(SUBSTITUTE(E128," / ","-")," ","-")))&amp;"&amp;utm_content="&amp;LOWER(C128))</f>
        <v/>
      </c>
    </row>
    <row r="129" customFormat="false" ht="15" hidden="false" customHeight="false" outlineLevel="0" collapsed="false">
      <c r="A129" s="29"/>
      <c r="B129" s="28"/>
      <c r="C129" s="28"/>
      <c r="D129" s="27"/>
      <c r="E129" s="28"/>
      <c r="F129" s="28"/>
      <c r="G129" s="28"/>
      <c r="H129" s="22"/>
      <c r="I129" s="22"/>
      <c r="J129" s="22"/>
      <c r="K129" s="22"/>
      <c r="L129" s="22"/>
      <c r="M129" s="22"/>
      <c r="N129" s="22"/>
      <c r="O129" s="22"/>
      <c r="P129" s="23" t="str">
        <f aca="false">IF(OR(A129="",B129="",C129=""),"",IF(COUNT(J129:N129)=0,"",SUM(J129:N129)))</f>
        <v/>
      </c>
      <c r="Q129" s="23" t="str">
        <f aca="false">IF(OR(A129="",B129="",C129=""),"",SUMIFS('Who Engaged'!$I$5:$I$1004,'Who Engaged'!$C$5:$C$1004,C129,'Who Engaged'!$O$5:$O$1004,"Yes")+SUMIFS('Who Engaged'!$J$5:$J$1004,'Who Engaged'!$C$5:$C$1004,C129,'Who Engaged'!$O$5:$O$1004,"Yes")+SUMIFS('Who Engaged'!$K$5:$K$1004,'Who Engaged'!$C$5:$C$1004,C129,'Who Engaged'!$O$5:$O$1004,"Yes")+SUMIFS('Who Engaged'!$L$5:$L$1004,'Who Engaged'!$C$5:$C$1004,C129,'Who Engaged'!$O$5:$O$1004,"Yes"))</f>
        <v/>
      </c>
      <c r="R129" s="23" t="str">
        <f aca="false">IF(OR(OR(A129="",B129="",C129=""),P129=""),"",MAX(0,P129-N(Q129)))</f>
        <v/>
      </c>
      <c r="S129" s="24" t="str">
        <f aca="false">IF(OR(OR(A129="",B129="",C129=""),R129=""),"",IFERROR(R129/(IF(N(H129)&gt;0,H129,IF(N(I129)&gt;0,I129,IF(COUNTIFS($B$16:$B$215,B129,$H$16:$H$215,"&gt;0")+COUNTIFS($B$16:$B$215,B129,$I$16:$I$215,"&gt;0")&gt;0,"",INDEX($B$5:$B$7,MATCH(B129,$A$5:$A$7,0)))))),""))</f>
        <v/>
      </c>
      <c r="T129" s="25" t="str">
        <f aca="false">IF(OR(A129="",B129="",C129=""),"",IF(OR(S129="",COUNTIFS($B$16:$B$215,B129,$S$16:$S$215,"&gt;=0")&lt;2),"No Data Yet",IFERROR(IF(S129/AVERAGEIFS($S$16:$S$215,$B$16:$B$215,B129)&gt;=1.2,"Good",IF(S129/AVERAGEIFS($S$16:$S$215,$B$16:$B$215,B129)&gt;=0.8,"Average","Below Standard")),"Average")))</f>
        <v/>
      </c>
      <c r="U129" s="23" t="str">
        <f aca="false">IF(OR(A129="",B129="",C129=""),"",COUNTIFS('Who Engaged'!$C$5:$C$1004,C129,'Who Engaged'!$P$5:$P$1004,"Yes",'Who Engaged'!$N$5:$N$1004,1))</f>
        <v/>
      </c>
      <c r="V129" s="23" t="str">
        <f aca="false">IF(OR(A129="",B129="",C129=""),"",COUNTIFS('Who Engaged'!$C$5:$C$1004,C129,'Who Engaged'!$P$5:$P$1004,"Yes",'Who Engaged'!$M$5:$M$1004,1))</f>
        <v/>
      </c>
      <c r="W129" s="26" t="str">
        <f aca="false" t="array" ref="W129:W129">IF(OR(A129="",B129="",C129=""),"",_xlfn.TEXTJOIN("; ",TRUE(),IF(('Who Engaged'!$C$5:$C$1004=C129)*('Who Engaged'!$P$5:$P$1004="Yes"),'Who Engaged'!$D$5:$D$1004&amp;" – "&amp;'Who Engaged'!$F$5:$F$1004&amp;IF('Who Engaged'!$M$5:$M$1004=1," (followed)",""),"")))</f>
        <v/>
      </c>
      <c r="X129" s="27"/>
      <c r="Y129" s="27"/>
      <c r="Z129" s="28"/>
      <c r="AA129" s="25" t="str">
        <f aca="false">IF(OR(A129="",B129="",C129=""),"","https://www.alphanodus.com/contact?utm_source="&amp;IF(B129="X","twitter",LOWER(B129))&amp;"&amp;utm_medium=social&amp;utm_campaign="&amp;IF(E129="","general",LOWER(SUBSTITUTE(SUBSTITUTE(E129," / ","-")," ","-")))&amp;"&amp;utm_content="&amp;LOWER(C129))</f>
        <v/>
      </c>
    </row>
    <row r="130" customFormat="false" ht="15" hidden="false" customHeight="false" outlineLevel="0" collapsed="false">
      <c r="A130" s="29"/>
      <c r="B130" s="28"/>
      <c r="C130" s="28"/>
      <c r="D130" s="27"/>
      <c r="E130" s="28"/>
      <c r="F130" s="28"/>
      <c r="G130" s="28"/>
      <c r="H130" s="22"/>
      <c r="I130" s="22"/>
      <c r="J130" s="22"/>
      <c r="K130" s="22"/>
      <c r="L130" s="22"/>
      <c r="M130" s="22"/>
      <c r="N130" s="22"/>
      <c r="O130" s="22"/>
      <c r="P130" s="23" t="str">
        <f aca="false">IF(OR(A130="",B130="",C130=""),"",IF(COUNT(J130:N130)=0,"",SUM(J130:N130)))</f>
        <v/>
      </c>
      <c r="Q130" s="23" t="str">
        <f aca="false">IF(OR(A130="",B130="",C130=""),"",SUMIFS('Who Engaged'!$I$5:$I$1004,'Who Engaged'!$C$5:$C$1004,C130,'Who Engaged'!$O$5:$O$1004,"Yes")+SUMIFS('Who Engaged'!$J$5:$J$1004,'Who Engaged'!$C$5:$C$1004,C130,'Who Engaged'!$O$5:$O$1004,"Yes")+SUMIFS('Who Engaged'!$K$5:$K$1004,'Who Engaged'!$C$5:$C$1004,C130,'Who Engaged'!$O$5:$O$1004,"Yes")+SUMIFS('Who Engaged'!$L$5:$L$1004,'Who Engaged'!$C$5:$C$1004,C130,'Who Engaged'!$O$5:$O$1004,"Yes"))</f>
        <v/>
      </c>
      <c r="R130" s="23" t="str">
        <f aca="false">IF(OR(OR(A130="",B130="",C130=""),P130=""),"",MAX(0,P130-N(Q130)))</f>
        <v/>
      </c>
      <c r="S130" s="24" t="str">
        <f aca="false">IF(OR(OR(A130="",B130="",C130=""),R130=""),"",IFERROR(R130/(IF(N(H130)&gt;0,H130,IF(N(I130)&gt;0,I130,IF(COUNTIFS($B$16:$B$215,B130,$H$16:$H$215,"&gt;0")+COUNTIFS($B$16:$B$215,B130,$I$16:$I$215,"&gt;0")&gt;0,"",INDEX($B$5:$B$7,MATCH(B130,$A$5:$A$7,0)))))),""))</f>
        <v/>
      </c>
      <c r="T130" s="25" t="str">
        <f aca="false">IF(OR(A130="",B130="",C130=""),"",IF(OR(S130="",COUNTIFS($B$16:$B$215,B130,$S$16:$S$215,"&gt;=0")&lt;2),"No Data Yet",IFERROR(IF(S130/AVERAGEIFS($S$16:$S$215,$B$16:$B$215,B130)&gt;=1.2,"Good",IF(S130/AVERAGEIFS($S$16:$S$215,$B$16:$B$215,B130)&gt;=0.8,"Average","Below Standard")),"Average")))</f>
        <v/>
      </c>
      <c r="U130" s="23" t="str">
        <f aca="false">IF(OR(A130="",B130="",C130=""),"",COUNTIFS('Who Engaged'!$C$5:$C$1004,C130,'Who Engaged'!$P$5:$P$1004,"Yes",'Who Engaged'!$N$5:$N$1004,1))</f>
        <v/>
      </c>
      <c r="V130" s="23" t="str">
        <f aca="false">IF(OR(A130="",B130="",C130=""),"",COUNTIFS('Who Engaged'!$C$5:$C$1004,C130,'Who Engaged'!$P$5:$P$1004,"Yes",'Who Engaged'!$M$5:$M$1004,1))</f>
        <v/>
      </c>
      <c r="W130" s="26" t="str">
        <f aca="false" t="array" ref="W130:W130">IF(OR(A130="",B130="",C130=""),"",_xlfn.TEXTJOIN("; ",TRUE(),IF(('Who Engaged'!$C$5:$C$1004=C130)*('Who Engaged'!$P$5:$P$1004="Yes"),'Who Engaged'!$D$5:$D$1004&amp;" – "&amp;'Who Engaged'!$F$5:$F$1004&amp;IF('Who Engaged'!$M$5:$M$1004=1," (followed)",""),"")))</f>
        <v/>
      </c>
      <c r="X130" s="27"/>
      <c r="Y130" s="27"/>
      <c r="Z130" s="28"/>
      <c r="AA130" s="25" t="str">
        <f aca="false">IF(OR(A130="",B130="",C130=""),"","https://www.alphanodus.com/contact?utm_source="&amp;IF(B130="X","twitter",LOWER(B130))&amp;"&amp;utm_medium=social&amp;utm_campaign="&amp;IF(E130="","general",LOWER(SUBSTITUTE(SUBSTITUTE(E130," / ","-")," ","-")))&amp;"&amp;utm_content="&amp;LOWER(C130))</f>
        <v/>
      </c>
    </row>
    <row r="131" customFormat="false" ht="15" hidden="false" customHeight="false" outlineLevel="0" collapsed="false">
      <c r="A131" s="29"/>
      <c r="B131" s="28"/>
      <c r="C131" s="28"/>
      <c r="D131" s="27"/>
      <c r="E131" s="28"/>
      <c r="F131" s="28"/>
      <c r="G131" s="28"/>
      <c r="H131" s="22"/>
      <c r="I131" s="22"/>
      <c r="J131" s="22"/>
      <c r="K131" s="22"/>
      <c r="L131" s="22"/>
      <c r="M131" s="22"/>
      <c r="N131" s="22"/>
      <c r="O131" s="22"/>
      <c r="P131" s="23" t="str">
        <f aca="false">IF(OR(A131="",B131="",C131=""),"",IF(COUNT(J131:N131)=0,"",SUM(J131:N131)))</f>
        <v/>
      </c>
      <c r="Q131" s="23" t="str">
        <f aca="false">IF(OR(A131="",B131="",C131=""),"",SUMIFS('Who Engaged'!$I$5:$I$1004,'Who Engaged'!$C$5:$C$1004,C131,'Who Engaged'!$O$5:$O$1004,"Yes")+SUMIFS('Who Engaged'!$J$5:$J$1004,'Who Engaged'!$C$5:$C$1004,C131,'Who Engaged'!$O$5:$O$1004,"Yes")+SUMIFS('Who Engaged'!$K$5:$K$1004,'Who Engaged'!$C$5:$C$1004,C131,'Who Engaged'!$O$5:$O$1004,"Yes")+SUMIFS('Who Engaged'!$L$5:$L$1004,'Who Engaged'!$C$5:$C$1004,C131,'Who Engaged'!$O$5:$O$1004,"Yes"))</f>
        <v/>
      </c>
      <c r="R131" s="23" t="str">
        <f aca="false">IF(OR(OR(A131="",B131="",C131=""),P131=""),"",MAX(0,P131-N(Q131)))</f>
        <v/>
      </c>
      <c r="S131" s="24" t="str">
        <f aca="false">IF(OR(OR(A131="",B131="",C131=""),R131=""),"",IFERROR(R131/(IF(N(H131)&gt;0,H131,IF(N(I131)&gt;0,I131,IF(COUNTIFS($B$16:$B$215,B131,$H$16:$H$215,"&gt;0")+COUNTIFS($B$16:$B$215,B131,$I$16:$I$215,"&gt;0")&gt;0,"",INDEX($B$5:$B$7,MATCH(B131,$A$5:$A$7,0)))))),""))</f>
        <v/>
      </c>
      <c r="T131" s="25" t="str">
        <f aca="false">IF(OR(A131="",B131="",C131=""),"",IF(OR(S131="",COUNTIFS($B$16:$B$215,B131,$S$16:$S$215,"&gt;=0")&lt;2),"No Data Yet",IFERROR(IF(S131/AVERAGEIFS($S$16:$S$215,$B$16:$B$215,B131)&gt;=1.2,"Good",IF(S131/AVERAGEIFS($S$16:$S$215,$B$16:$B$215,B131)&gt;=0.8,"Average","Below Standard")),"Average")))</f>
        <v/>
      </c>
      <c r="U131" s="23" t="str">
        <f aca="false">IF(OR(A131="",B131="",C131=""),"",COUNTIFS('Who Engaged'!$C$5:$C$1004,C131,'Who Engaged'!$P$5:$P$1004,"Yes",'Who Engaged'!$N$5:$N$1004,1))</f>
        <v/>
      </c>
      <c r="V131" s="23" t="str">
        <f aca="false">IF(OR(A131="",B131="",C131=""),"",COUNTIFS('Who Engaged'!$C$5:$C$1004,C131,'Who Engaged'!$P$5:$P$1004,"Yes",'Who Engaged'!$M$5:$M$1004,1))</f>
        <v/>
      </c>
      <c r="W131" s="26" t="str">
        <f aca="false" t="array" ref="W131:W131">IF(OR(A131="",B131="",C131=""),"",_xlfn.TEXTJOIN("; ",TRUE(),IF(('Who Engaged'!$C$5:$C$1004=C131)*('Who Engaged'!$P$5:$P$1004="Yes"),'Who Engaged'!$D$5:$D$1004&amp;" – "&amp;'Who Engaged'!$F$5:$F$1004&amp;IF('Who Engaged'!$M$5:$M$1004=1," (followed)",""),"")))</f>
        <v/>
      </c>
      <c r="X131" s="27"/>
      <c r="Y131" s="27"/>
      <c r="Z131" s="28"/>
      <c r="AA131" s="25" t="str">
        <f aca="false">IF(OR(A131="",B131="",C131=""),"","https://www.alphanodus.com/contact?utm_source="&amp;IF(B131="X","twitter",LOWER(B131))&amp;"&amp;utm_medium=social&amp;utm_campaign="&amp;IF(E131="","general",LOWER(SUBSTITUTE(SUBSTITUTE(E131," / ","-")," ","-")))&amp;"&amp;utm_content="&amp;LOWER(C131))</f>
        <v/>
      </c>
    </row>
    <row r="132" customFormat="false" ht="15" hidden="false" customHeight="false" outlineLevel="0" collapsed="false">
      <c r="A132" s="29"/>
      <c r="B132" s="28"/>
      <c r="C132" s="28"/>
      <c r="D132" s="27"/>
      <c r="E132" s="28"/>
      <c r="F132" s="28"/>
      <c r="G132" s="28"/>
      <c r="H132" s="22"/>
      <c r="I132" s="22"/>
      <c r="J132" s="22"/>
      <c r="K132" s="22"/>
      <c r="L132" s="22"/>
      <c r="M132" s="22"/>
      <c r="N132" s="22"/>
      <c r="O132" s="22"/>
      <c r="P132" s="23" t="str">
        <f aca="false">IF(OR(A132="",B132="",C132=""),"",IF(COUNT(J132:N132)=0,"",SUM(J132:N132)))</f>
        <v/>
      </c>
      <c r="Q132" s="23" t="str">
        <f aca="false">IF(OR(A132="",B132="",C132=""),"",SUMIFS('Who Engaged'!$I$5:$I$1004,'Who Engaged'!$C$5:$C$1004,C132,'Who Engaged'!$O$5:$O$1004,"Yes")+SUMIFS('Who Engaged'!$J$5:$J$1004,'Who Engaged'!$C$5:$C$1004,C132,'Who Engaged'!$O$5:$O$1004,"Yes")+SUMIFS('Who Engaged'!$K$5:$K$1004,'Who Engaged'!$C$5:$C$1004,C132,'Who Engaged'!$O$5:$O$1004,"Yes")+SUMIFS('Who Engaged'!$L$5:$L$1004,'Who Engaged'!$C$5:$C$1004,C132,'Who Engaged'!$O$5:$O$1004,"Yes"))</f>
        <v/>
      </c>
      <c r="R132" s="23" t="str">
        <f aca="false">IF(OR(OR(A132="",B132="",C132=""),P132=""),"",MAX(0,P132-N(Q132)))</f>
        <v/>
      </c>
      <c r="S132" s="24" t="str">
        <f aca="false">IF(OR(OR(A132="",B132="",C132=""),R132=""),"",IFERROR(R132/(IF(N(H132)&gt;0,H132,IF(N(I132)&gt;0,I132,IF(COUNTIFS($B$16:$B$215,B132,$H$16:$H$215,"&gt;0")+COUNTIFS($B$16:$B$215,B132,$I$16:$I$215,"&gt;0")&gt;0,"",INDEX($B$5:$B$7,MATCH(B132,$A$5:$A$7,0)))))),""))</f>
        <v/>
      </c>
      <c r="T132" s="25" t="str">
        <f aca="false">IF(OR(A132="",B132="",C132=""),"",IF(OR(S132="",COUNTIFS($B$16:$B$215,B132,$S$16:$S$215,"&gt;=0")&lt;2),"No Data Yet",IFERROR(IF(S132/AVERAGEIFS($S$16:$S$215,$B$16:$B$215,B132)&gt;=1.2,"Good",IF(S132/AVERAGEIFS($S$16:$S$215,$B$16:$B$215,B132)&gt;=0.8,"Average","Below Standard")),"Average")))</f>
        <v/>
      </c>
      <c r="U132" s="23" t="str">
        <f aca="false">IF(OR(A132="",B132="",C132=""),"",COUNTIFS('Who Engaged'!$C$5:$C$1004,C132,'Who Engaged'!$P$5:$P$1004,"Yes",'Who Engaged'!$N$5:$N$1004,1))</f>
        <v/>
      </c>
      <c r="V132" s="23" t="str">
        <f aca="false">IF(OR(A132="",B132="",C132=""),"",COUNTIFS('Who Engaged'!$C$5:$C$1004,C132,'Who Engaged'!$P$5:$P$1004,"Yes",'Who Engaged'!$M$5:$M$1004,1))</f>
        <v/>
      </c>
      <c r="W132" s="26" t="str">
        <f aca="false" t="array" ref="W132:W132">IF(OR(A132="",B132="",C132=""),"",_xlfn.TEXTJOIN("; ",TRUE(),IF(('Who Engaged'!$C$5:$C$1004=C132)*('Who Engaged'!$P$5:$P$1004="Yes"),'Who Engaged'!$D$5:$D$1004&amp;" – "&amp;'Who Engaged'!$F$5:$F$1004&amp;IF('Who Engaged'!$M$5:$M$1004=1," (followed)",""),"")))</f>
        <v/>
      </c>
      <c r="X132" s="27"/>
      <c r="Y132" s="27"/>
      <c r="Z132" s="28"/>
      <c r="AA132" s="25" t="str">
        <f aca="false">IF(OR(A132="",B132="",C132=""),"","https://www.alphanodus.com/contact?utm_source="&amp;IF(B132="X","twitter",LOWER(B132))&amp;"&amp;utm_medium=social&amp;utm_campaign="&amp;IF(E132="","general",LOWER(SUBSTITUTE(SUBSTITUTE(E132," / ","-")," ","-")))&amp;"&amp;utm_content="&amp;LOWER(C132))</f>
        <v/>
      </c>
    </row>
    <row r="133" customFormat="false" ht="15" hidden="false" customHeight="false" outlineLevel="0" collapsed="false">
      <c r="A133" s="29"/>
      <c r="B133" s="28"/>
      <c r="C133" s="28"/>
      <c r="D133" s="27"/>
      <c r="E133" s="28"/>
      <c r="F133" s="28"/>
      <c r="G133" s="28"/>
      <c r="H133" s="22"/>
      <c r="I133" s="22"/>
      <c r="J133" s="22"/>
      <c r="K133" s="22"/>
      <c r="L133" s="22"/>
      <c r="M133" s="22"/>
      <c r="N133" s="22"/>
      <c r="O133" s="22"/>
      <c r="P133" s="23" t="str">
        <f aca="false">IF(OR(A133="",B133="",C133=""),"",IF(COUNT(J133:N133)=0,"",SUM(J133:N133)))</f>
        <v/>
      </c>
      <c r="Q133" s="23" t="str">
        <f aca="false">IF(OR(A133="",B133="",C133=""),"",SUMIFS('Who Engaged'!$I$5:$I$1004,'Who Engaged'!$C$5:$C$1004,C133,'Who Engaged'!$O$5:$O$1004,"Yes")+SUMIFS('Who Engaged'!$J$5:$J$1004,'Who Engaged'!$C$5:$C$1004,C133,'Who Engaged'!$O$5:$O$1004,"Yes")+SUMIFS('Who Engaged'!$K$5:$K$1004,'Who Engaged'!$C$5:$C$1004,C133,'Who Engaged'!$O$5:$O$1004,"Yes")+SUMIFS('Who Engaged'!$L$5:$L$1004,'Who Engaged'!$C$5:$C$1004,C133,'Who Engaged'!$O$5:$O$1004,"Yes"))</f>
        <v/>
      </c>
      <c r="R133" s="23" t="str">
        <f aca="false">IF(OR(OR(A133="",B133="",C133=""),P133=""),"",MAX(0,P133-N(Q133)))</f>
        <v/>
      </c>
      <c r="S133" s="24" t="str">
        <f aca="false">IF(OR(OR(A133="",B133="",C133=""),R133=""),"",IFERROR(R133/(IF(N(H133)&gt;0,H133,IF(N(I133)&gt;0,I133,IF(COUNTIFS($B$16:$B$215,B133,$H$16:$H$215,"&gt;0")+COUNTIFS($B$16:$B$215,B133,$I$16:$I$215,"&gt;0")&gt;0,"",INDEX($B$5:$B$7,MATCH(B133,$A$5:$A$7,0)))))),""))</f>
        <v/>
      </c>
      <c r="T133" s="25" t="str">
        <f aca="false">IF(OR(A133="",B133="",C133=""),"",IF(OR(S133="",COUNTIFS($B$16:$B$215,B133,$S$16:$S$215,"&gt;=0")&lt;2),"No Data Yet",IFERROR(IF(S133/AVERAGEIFS($S$16:$S$215,$B$16:$B$215,B133)&gt;=1.2,"Good",IF(S133/AVERAGEIFS($S$16:$S$215,$B$16:$B$215,B133)&gt;=0.8,"Average","Below Standard")),"Average")))</f>
        <v/>
      </c>
      <c r="U133" s="23" t="str">
        <f aca="false">IF(OR(A133="",B133="",C133=""),"",COUNTIFS('Who Engaged'!$C$5:$C$1004,C133,'Who Engaged'!$P$5:$P$1004,"Yes",'Who Engaged'!$N$5:$N$1004,1))</f>
        <v/>
      </c>
      <c r="V133" s="23" t="str">
        <f aca="false">IF(OR(A133="",B133="",C133=""),"",COUNTIFS('Who Engaged'!$C$5:$C$1004,C133,'Who Engaged'!$P$5:$P$1004,"Yes",'Who Engaged'!$M$5:$M$1004,1))</f>
        <v/>
      </c>
      <c r="W133" s="26" t="str">
        <f aca="false" t="array" ref="W133:W133">IF(OR(A133="",B133="",C133=""),"",_xlfn.TEXTJOIN("; ",TRUE(),IF(('Who Engaged'!$C$5:$C$1004=C133)*('Who Engaged'!$P$5:$P$1004="Yes"),'Who Engaged'!$D$5:$D$1004&amp;" – "&amp;'Who Engaged'!$F$5:$F$1004&amp;IF('Who Engaged'!$M$5:$M$1004=1," (followed)",""),"")))</f>
        <v/>
      </c>
      <c r="X133" s="27"/>
      <c r="Y133" s="27"/>
      <c r="Z133" s="28"/>
      <c r="AA133" s="25" t="str">
        <f aca="false">IF(OR(A133="",B133="",C133=""),"","https://www.alphanodus.com/contact?utm_source="&amp;IF(B133="X","twitter",LOWER(B133))&amp;"&amp;utm_medium=social&amp;utm_campaign="&amp;IF(E133="","general",LOWER(SUBSTITUTE(SUBSTITUTE(E133," / ","-")," ","-")))&amp;"&amp;utm_content="&amp;LOWER(C133))</f>
        <v/>
      </c>
    </row>
    <row r="134" customFormat="false" ht="15" hidden="false" customHeight="false" outlineLevel="0" collapsed="false">
      <c r="A134" s="29"/>
      <c r="B134" s="28"/>
      <c r="C134" s="28"/>
      <c r="D134" s="27"/>
      <c r="E134" s="28"/>
      <c r="F134" s="28"/>
      <c r="G134" s="28"/>
      <c r="H134" s="22"/>
      <c r="I134" s="22"/>
      <c r="J134" s="22"/>
      <c r="K134" s="22"/>
      <c r="L134" s="22"/>
      <c r="M134" s="22"/>
      <c r="N134" s="22"/>
      <c r="O134" s="22"/>
      <c r="P134" s="23" t="str">
        <f aca="false">IF(OR(A134="",B134="",C134=""),"",IF(COUNT(J134:N134)=0,"",SUM(J134:N134)))</f>
        <v/>
      </c>
      <c r="Q134" s="23" t="str">
        <f aca="false">IF(OR(A134="",B134="",C134=""),"",SUMIFS('Who Engaged'!$I$5:$I$1004,'Who Engaged'!$C$5:$C$1004,C134,'Who Engaged'!$O$5:$O$1004,"Yes")+SUMIFS('Who Engaged'!$J$5:$J$1004,'Who Engaged'!$C$5:$C$1004,C134,'Who Engaged'!$O$5:$O$1004,"Yes")+SUMIFS('Who Engaged'!$K$5:$K$1004,'Who Engaged'!$C$5:$C$1004,C134,'Who Engaged'!$O$5:$O$1004,"Yes")+SUMIFS('Who Engaged'!$L$5:$L$1004,'Who Engaged'!$C$5:$C$1004,C134,'Who Engaged'!$O$5:$O$1004,"Yes"))</f>
        <v/>
      </c>
      <c r="R134" s="23" t="str">
        <f aca="false">IF(OR(OR(A134="",B134="",C134=""),P134=""),"",MAX(0,P134-N(Q134)))</f>
        <v/>
      </c>
      <c r="S134" s="24" t="str">
        <f aca="false">IF(OR(OR(A134="",B134="",C134=""),R134=""),"",IFERROR(R134/(IF(N(H134)&gt;0,H134,IF(N(I134)&gt;0,I134,IF(COUNTIFS($B$16:$B$215,B134,$H$16:$H$215,"&gt;0")+COUNTIFS($B$16:$B$215,B134,$I$16:$I$215,"&gt;0")&gt;0,"",INDEX($B$5:$B$7,MATCH(B134,$A$5:$A$7,0)))))),""))</f>
        <v/>
      </c>
      <c r="T134" s="25" t="str">
        <f aca="false">IF(OR(A134="",B134="",C134=""),"",IF(OR(S134="",COUNTIFS($B$16:$B$215,B134,$S$16:$S$215,"&gt;=0")&lt;2),"No Data Yet",IFERROR(IF(S134/AVERAGEIFS($S$16:$S$215,$B$16:$B$215,B134)&gt;=1.2,"Good",IF(S134/AVERAGEIFS($S$16:$S$215,$B$16:$B$215,B134)&gt;=0.8,"Average","Below Standard")),"Average")))</f>
        <v/>
      </c>
      <c r="U134" s="23" t="str">
        <f aca="false">IF(OR(A134="",B134="",C134=""),"",COUNTIFS('Who Engaged'!$C$5:$C$1004,C134,'Who Engaged'!$P$5:$P$1004,"Yes",'Who Engaged'!$N$5:$N$1004,1))</f>
        <v/>
      </c>
      <c r="V134" s="23" t="str">
        <f aca="false">IF(OR(A134="",B134="",C134=""),"",COUNTIFS('Who Engaged'!$C$5:$C$1004,C134,'Who Engaged'!$P$5:$P$1004,"Yes",'Who Engaged'!$M$5:$M$1004,1))</f>
        <v/>
      </c>
      <c r="W134" s="26" t="str">
        <f aca="false" t="array" ref="W134:W134">IF(OR(A134="",B134="",C134=""),"",_xlfn.TEXTJOIN("; ",TRUE(),IF(('Who Engaged'!$C$5:$C$1004=C134)*('Who Engaged'!$P$5:$P$1004="Yes"),'Who Engaged'!$D$5:$D$1004&amp;" – "&amp;'Who Engaged'!$F$5:$F$1004&amp;IF('Who Engaged'!$M$5:$M$1004=1," (followed)",""),"")))</f>
        <v/>
      </c>
      <c r="X134" s="27"/>
      <c r="Y134" s="27"/>
      <c r="Z134" s="28"/>
      <c r="AA134" s="25" t="str">
        <f aca="false">IF(OR(A134="",B134="",C134=""),"","https://www.alphanodus.com/contact?utm_source="&amp;IF(B134="X","twitter",LOWER(B134))&amp;"&amp;utm_medium=social&amp;utm_campaign="&amp;IF(E134="","general",LOWER(SUBSTITUTE(SUBSTITUTE(E134," / ","-")," ","-")))&amp;"&amp;utm_content="&amp;LOWER(C134))</f>
        <v/>
      </c>
    </row>
    <row r="135" customFormat="false" ht="15" hidden="false" customHeight="false" outlineLevel="0" collapsed="false">
      <c r="A135" s="29"/>
      <c r="B135" s="28"/>
      <c r="C135" s="28"/>
      <c r="D135" s="27"/>
      <c r="E135" s="28"/>
      <c r="F135" s="28"/>
      <c r="G135" s="28"/>
      <c r="H135" s="22"/>
      <c r="I135" s="22"/>
      <c r="J135" s="22"/>
      <c r="K135" s="22"/>
      <c r="L135" s="22"/>
      <c r="M135" s="22"/>
      <c r="N135" s="22"/>
      <c r="O135" s="22"/>
      <c r="P135" s="23" t="str">
        <f aca="false">IF(OR(A135="",B135="",C135=""),"",IF(COUNT(J135:N135)=0,"",SUM(J135:N135)))</f>
        <v/>
      </c>
      <c r="Q135" s="23" t="str">
        <f aca="false">IF(OR(A135="",B135="",C135=""),"",SUMIFS('Who Engaged'!$I$5:$I$1004,'Who Engaged'!$C$5:$C$1004,C135,'Who Engaged'!$O$5:$O$1004,"Yes")+SUMIFS('Who Engaged'!$J$5:$J$1004,'Who Engaged'!$C$5:$C$1004,C135,'Who Engaged'!$O$5:$O$1004,"Yes")+SUMIFS('Who Engaged'!$K$5:$K$1004,'Who Engaged'!$C$5:$C$1004,C135,'Who Engaged'!$O$5:$O$1004,"Yes")+SUMIFS('Who Engaged'!$L$5:$L$1004,'Who Engaged'!$C$5:$C$1004,C135,'Who Engaged'!$O$5:$O$1004,"Yes"))</f>
        <v/>
      </c>
      <c r="R135" s="23" t="str">
        <f aca="false">IF(OR(OR(A135="",B135="",C135=""),P135=""),"",MAX(0,P135-N(Q135)))</f>
        <v/>
      </c>
      <c r="S135" s="24" t="str">
        <f aca="false">IF(OR(OR(A135="",B135="",C135=""),R135=""),"",IFERROR(R135/(IF(N(H135)&gt;0,H135,IF(N(I135)&gt;0,I135,IF(COUNTIFS($B$16:$B$215,B135,$H$16:$H$215,"&gt;0")+COUNTIFS($B$16:$B$215,B135,$I$16:$I$215,"&gt;0")&gt;0,"",INDEX($B$5:$B$7,MATCH(B135,$A$5:$A$7,0)))))),""))</f>
        <v/>
      </c>
      <c r="T135" s="25" t="str">
        <f aca="false">IF(OR(A135="",B135="",C135=""),"",IF(OR(S135="",COUNTIFS($B$16:$B$215,B135,$S$16:$S$215,"&gt;=0")&lt;2),"No Data Yet",IFERROR(IF(S135/AVERAGEIFS($S$16:$S$215,$B$16:$B$215,B135)&gt;=1.2,"Good",IF(S135/AVERAGEIFS($S$16:$S$215,$B$16:$B$215,B135)&gt;=0.8,"Average","Below Standard")),"Average")))</f>
        <v/>
      </c>
      <c r="U135" s="23" t="str">
        <f aca="false">IF(OR(A135="",B135="",C135=""),"",COUNTIFS('Who Engaged'!$C$5:$C$1004,C135,'Who Engaged'!$P$5:$P$1004,"Yes",'Who Engaged'!$N$5:$N$1004,1))</f>
        <v/>
      </c>
      <c r="V135" s="23" t="str">
        <f aca="false">IF(OR(A135="",B135="",C135=""),"",COUNTIFS('Who Engaged'!$C$5:$C$1004,C135,'Who Engaged'!$P$5:$P$1004,"Yes",'Who Engaged'!$M$5:$M$1004,1))</f>
        <v/>
      </c>
      <c r="W135" s="26" t="str">
        <f aca="false" t="array" ref="W135:W135">IF(OR(A135="",B135="",C135=""),"",_xlfn.TEXTJOIN("; ",TRUE(),IF(('Who Engaged'!$C$5:$C$1004=C135)*('Who Engaged'!$P$5:$P$1004="Yes"),'Who Engaged'!$D$5:$D$1004&amp;" – "&amp;'Who Engaged'!$F$5:$F$1004&amp;IF('Who Engaged'!$M$5:$M$1004=1," (followed)",""),"")))</f>
        <v/>
      </c>
      <c r="X135" s="27"/>
      <c r="Y135" s="27"/>
      <c r="Z135" s="28"/>
      <c r="AA135" s="25" t="str">
        <f aca="false">IF(OR(A135="",B135="",C135=""),"","https://www.alphanodus.com/contact?utm_source="&amp;IF(B135="X","twitter",LOWER(B135))&amp;"&amp;utm_medium=social&amp;utm_campaign="&amp;IF(E135="","general",LOWER(SUBSTITUTE(SUBSTITUTE(E135," / ","-")," ","-")))&amp;"&amp;utm_content="&amp;LOWER(C135))</f>
        <v/>
      </c>
    </row>
    <row r="136" customFormat="false" ht="15" hidden="false" customHeight="false" outlineLevel="0" collapsed="false">
      <c r="A136" s="29"/>
      <c r="B136" s="28"/>
      <c r="C136" s="28"/>
      <c r="D136" s="27"/>
      <c r="E136" s="28"/>
      <c r="F136" s="28"/>
      <c r="G136" s="28"/>
      <c r="H136" s="22"/>
      <c r="I136" s="22"/>
      <c r="J136" s="22"/>
      <c r="K136" s="22"/>
      <c r="L136" s="22"/>
      <c r="M136" s="22"/>
      <c r="N136" s="22"/>
      <c r="O136" s="22"/>
      <c r="P136" s="23" t="str">
        <f aca="false">IF(OR(A136="",B136="",C136=""),"",IF(COUNT(J136:N136)=0,"",SUM(J136:N136)))</f>
        <v/>
      </c>
      <c r="Q136" s="23" t="str">
        <f aca="false">IF(OR(A136="",B136="",C136=""),"",SUMIFS('Who Engaged'!$I$5:$I$1004,'Who Engaged'!$C$5:$C$1004,C136,'Who Engaged'!$O$5:$O$1004,"Yes")+SUMIFS('Who Engaged'!$J$5:$J$1004,'Who Engaged'!$C$5:$C$1004,C136,'Who Engaged'!$O$5:$O$1004,"Yes")+SUMIFS('Who Engaged'!$K$5:$K$1004,'Who Engaged'!$C$5:$C$1004,C136,'Who Engaged'!$O$5:$O$1004,"Yes")+SUMIFS('Who Engaged'!$L$5:$L$1004,'Who Engaged'!$C$5:$C$1004,C136,'Who Engaged'!$O$5:$O$1004,"Yes"))</f>
        <v/>
      </c>
      <c r="R136" s="23" t="str">
        <f aca="false">IF(OR(OR(A136="",B136="",C136=""),P136=""),"",MAX(0,P136-N(Q136)))</f>
        <v/>
      </c>
      <c r="S136" s="24" t="str">
        <f aca="false">IF(OR(OR(A136="",B136="",C136=""),R136=""),"",IFERROR(R136/(IF(N(H136)&gt;0,H136,IF(N(I136)&gt;0,I136,IF(COUNTIFS($B$16:$B$215,B136,$H$16:$H$215,"&gt;0")+COUNTIFS($B$16:$B$215,B136,$I$16:$I$215,"&gt;0")&gt;0,"",INDEX($B$5:$B$7,MATCH(B136,$A$5:$A$7,0)))))),""))</f>
        <v/>
      </c>
      <c r="T136" s="25" t="str">
        <f aca="false">IF(OR(A136="",B136="",C136=""),"",IF(OR(S136="",COUNTIFS($B$16:$B$215,B136,$S$16:$S$215,"&gt;=0")&lt;2),"No Data Yet",IFERROR(IF(S136/AVERAGEIFS($S$16:$S$215,$B$16:$B$215,B136)&gt;=1.2,"Good",IF(S136/AVERAGEIFS($S$16:$S$215,$B$16:$B$215,B136)&gt;=0.8,"Average","Below Standard")),"Average")))</f>
        <v/>
      </c>
      <c r="U136" s="23" t="str">
        <f aca="false">IF(OR(A136="",B136="",C136=""),"",COUNTIFS('Who Engaged'!$C$5:$C$1004,C136,'Who Engaged'!$P$5:$P$1004,"Yes",'Who Engaged'!$N$5:$N$1004,1))</f>
        <v/>
      </c>
      <c r="V136" s="23" t="str">
        <f aca="false">IF(OR(A136="",B136="",C136=""),"",COUNTIFS('Who Engaged'!$C$5:$C$1004,C136,'Who Engaged'!$P$5:$P$1004,"Yes",'Who Engaged'!$M$5:$M$1004,1))</f>
        <v/>
      </c>
      <c r="W136" s="26" t="str">
        <f aca="false" t="array" ref="W136:W136">IF(OR(A136="",B136="",C136=""),"",_xlfn.TEXTJOIN("; ",TRUE(),IF(('Who Engaged'!$C$5:$C$1004=C136)*('Who Engaged'!$P$5:$P$1004="Yes"),'Who Engaged'!$D$5:$D$1004&amp;" – "&amp;'Who Engaged'!$F$5:$F$1004&amp;IF('Who Engaged'!$M$5:$M$1004=1," (followed)",""),"")))</f>
        <v/>
      </c>
      <c r="X136" s="27"/>
      <c r="Y136" s="27"/>
      <c r="Z136" s="28"/>
      <c r="AA136" s="25" t="str">
        <f aca="false">IF(OR(A136="",B136="",C136=""),"","https://www.alphanodus.com/contact?utm_source="&amp;IF(B136="X","twitter",LOWER(B136))&amp;"&amp;utm_medium=social&amp;utm_campaign="&amp;IF(E136="","general",LOWER(SUBSTITUTE(SUBSTITUTE(E136," / ","-")," ","-")))&amp;"&amp;utm_content="&amp;LOWER(C136))</f>
        <v/>
      </c>
    </row>
    <row r="137" customFormat="false" ht="15" hidden="false" customHeight="false" outlineLevel="0" collapsed="false">
      <c r="A137" s="29"/>
      <c r="B137" s="28"/>
      <c r="C137" s="28"/>
      <c r="D137" s="27"/>
      <c r="E137" s="28"/>
      <c r="F137" s="28"/>
      <c r="G137" s="28"/>
      <c r="H137" s="22"/>
      <c r="I137" s="22"/>
      <c r="J137" s="22"/>
      <c r="K137" s="22"/>
      <c r="L137" s="22"/>
      <c r="M137" s="22"/>
      <c r="N137" s="22"/>
      <c r="O137" s="22"/>
      <c r="P137" s="23" t="str">
        <f aca="false">IF(OR(A137="",B137="",C137=""),"",IF(COUNT(J137:N137)=0,"",SUM(J137:N137)))</f>
        <v/>
      </c>
      <c r="Q137" s="23" t="str">
        <f aca="false">IF(OR(A137="",B137="",C137=""),"",SUMIFS('Who Engaged'!$I$5:$I$1004,'Who Engaged'!$C$5:$C$1004,C137,'Who Engaged'!$O$5:$O$1004,"Yes")+SUMIFS('Who Engaged'!$J$5:$J$1004,'Who Engaged'!$C$5:$C$1004,C137,'Who Engaged'!$O$5:$O$1004,"Yes")+SUMIFS('Who Engaged'!$K$5:$K$1004,'Who Engaged'!$C$5:$C$1004,C137,'Who Engaged'!$O$5:$O$1004,"Yes")+SUMIFS('Who Engaged'!$L$5:$L$1004,'Who Engaged'!$C$5:$C$1004,C137,'Who Engaged'!$O$5:$O$1004,"Yes"))</f>
        <v/>
      </c>
      <c r="R137" s="23" t="str">
        <f aca="false">IF(OR(OR(A137="",B137="",C137=""),P137=""),"",MAX(0,P137-N(Q137)))</f>
        <v/>
      </c>
      <c r="S137" s="24" t="str">
        <f aca="false">IF(OR(OR(A137="",B137="",C137=""),R137=""),"",IFERROR(R137/(IF(N(H137)&gt;0,H137,IF(N(I137)&gt;0,I137,IF(COUNTIFS($B$16:$B$215,B137,$H$16:$H$215,"&gt;0")+COUNTIFS($B$16:$B$215,B137,$I$16:$I$215,"&gt;0")&gt;0,"",INDEX($B$5:$B$7,MATCH(B137,$A$5:$A$7,0)))))),""))</f>
        <v/>
      </c>
      <c r="T137" s="25" t="str">
        <f aca="false">IF(OR(A137="",B137="",C137=""),"",IF(OR(S137="",COUNTIFS($B$16:$B$215,B137,$S$16:$S$215,"&gt;=0")&lt;2),"No Data Yet",IFERROR(IF(S137/AVERAGEIFS($S$16:$S$215,$B$16:$B$215,B137)&gt;=1.2,"Good",IF(S137/AVERAGEIFS($S$16:$S$215,$B$16:$B$215,B137)&gt;=0.8,"Average","Below Standard")),"Average")))</f>
        <v/>
      </c>
      <c r="U137" s="23" t="str">
        <f aca="false">IF(OR(A137="",B137="",C137=""),"",COUNTIFS('Who Engaged'!$C$5:$C$1004,C137,'Who Engaged'!$P$5:$P$1004,"Yes",'Who Engaged'!$N$5:$N$1004,1))</f>
        <v/>
      </c>
      <c r="V137" s="23" t="str">
        <f aca="false">IF(OR(A137="",B137="",C137=""),"",COUNTIFS('Who Engaged'!$C$5:$C$1004,C137,'Who Engaged'!$P$5:$P$1004,"Yes",'Who Engaged'!$M$5:$M$1004,1))</f>
        <v/>
      </c>
      <c r="W137" s="26" t="str">
        <f aca="false" t="array" ref="W137:W137">IF(OR(A137="",B137="",C137=""),"",_xlfn.TEXTJOIN("; ",TRUE(),IF(('Who Engaged'!$C$5:$C$1004=C137)*('Who Engaged'!$P$5:$P$1004="Yes"),'Who Engaged'!$D$5:$D$1004&amp;" – "&amp;'Who Engaged'!$F$5:$F$1004&amp;IF('Who Engaged'!$M$5:$M$1004=1," (followed)",""),"")))</f>
        <v/>
      </c>
      <c r="X137" s="27"/>
      <c r="Y137" s="27"/>
      <c r="Z137" s="28"/>
      <c r="AA137" s="25" t="str">
        <f aca="false">IF(OR(A137="",B137="",C137=""),"","https://www.alphanodus.com/contact?utm_source="&amp;IF(B137="X","twitter",LOWER(B137))&amp;"&amp;utm_medium=social&amp;utm_campaign="&amp;IF(E137="","general",LOWER(SUBSTITUTE(SUBSTITUTE(E137," / ","-")," ","-")))&amp;"&amp;utm_content="&amp;LOWER(C137))</f>
        <v/>
      </c>
    </row>
    <row r="138" customFormat="false" ht="15" hidden="false" customHeight="false" outlineLevel="0" collapsed="false">
      <c r="A138" s="29"/>
      <c r="B138" s="28"/>
      <c r="C138" s="28"/>
      <c r="D138" s="27"/>
      <c r="E138" s="28"/>
      <c r="F138" s="28"/>
      <c r="G138" s="28"/>
      <c r="H138" s="22"/>
      <c r="I138" s="22"/>
      <c r="J138" s="22"/>
      <c r="K138" s="22"/>
      <c r="L138" s="22"/>
      <c r="M138" s="22"/>
      <c r="N138" s="22"/>
      <c r="O138" s="22"/>
      <c r="P138" s="23" t="str">
        <f aca="false">IF(OR(A138="",B138="",C138=""),"",IF(COUNT(J138:N138)=0,"",SUM(J138:N138)))</f>
        <v/>
      </c>
      <c r="Q138" s="23" t="str">
        <f aca="false">IF(OR(A138="",B138="",C138=""),"",SUMIFS('Who Engaged'!$I$5:$I$1004,'Who Engaged'!$C$5:$C$1004,C138,'Who Engaged'!$O$5:$O$1004,"Yes")+SUMIFS('Who Engaged'!$J$5:$J$1004,'Who Engaged'!$C$5:$C$1004,C138,'Who Engaged'!$O$5:$O$1004,"Yes")+SUMIFS('Who Engaged'!$K$5:$K$1004,'Who Engaged'!$C$5:$C$1004,C138,'Who Engaged'!$O$5:$O$1004,"Yes")+SUMIFS('Who Engaged'!$L$5:$L$1004,'Who Engaged'!$C$5:$C$1004,C138,'Who Engaged'!$O$5:$O$1004,"Yes"))</f>
        <v/>
      </c>
      <c r="R138" s="23" t="str">
        <f aca="false">IF(OR(OR(A138="",B138="",C138=""),P138=""),"",MAX(0,P138-N(Q138)))</f>
        <v/>
      </c>
      <c r="S138" s="24" t="str">
        <f aca="false">IF(OR(OR(A138="",B138="",C138=""),R138=""),"",IFERROR(R138/(IF(N(H138)&gt;0,H138,IF(N(I138)&gt;0,I138,IF(COUNTIFS($B$16:$B$215,B138,$H$16:$H$215,"&gt;0")+COUNTIFS($B$16:$B$215,B138,$I$16:$I$215,"&gt;0")&gt;0,"",INDEX($B$5:$B$7,MATCH(B138,$A$5:$A$7,0)))))),""))</f>
        <v/>
      </c>
      <c r="T138" s="25" t="str">
        <f aca="false">IF(OR(A138="",B138="",C138=""),"",IF(OR(S138="",COUNTIFS($B$16:$B$215,B138,$S$16:$S$215,"&gt;=0")&lt;2),"No Data Yet",IFERROR(IF(S138/AVERAGEIFS($S$16:$S$215,$B$16:$B$215,B138)&gt;=1.2,"Good",IF(S138/AVERAGEIFS($S$16:$S$215,$B$16:$B$215,B138)&gt;=0.8,"Average","Below Standard")),"Average")))</f>
        <v/>
      </c>
      <c r="U138" s="23" t="str">
        <f aca="false">IF(OR(A138="",B138="",C138=""),"",COUNTIFS('Who Engaged'!$C$5:$C$1004,C138,'Who Engaged'!$P$5:$P$1004,"Yes",'Who Engaged'!$N$5:$N$1004,1))</f>
        <v/>
      </c>
      <c r="V138" s="23" t="str">
        <f aca="false">IF(OR(A138="",B138="",C138=""),"",COUNTIFS('Who Engaged'!$C$5:$C$1004,C138,'Who Engaged'!$P$5:$P$1004,"Yes",'Who Engaged'!$M$5:$M$1004,1))</f>
        <v/>
      </c>
      <c r="W138" s="26" t="str">
        <f aca="false" t="array" ref="W138:W138">IF(OR(A138="",B138="",C138=""),"",_xlfn.TEXTJOIN("; ",TRUE(),IF(('Who Engaged'!$C$5:$C$1004=C138)*('Who Engaged'!$P$5:$P$1004="Yes"),'Who Engaged'!$D$5:$D$1004&amp;" – "&amp;'Who Engaged'!$F$5:$F$1004&amp;IF('Who Engaged'!$M$5:$M$1004=1," (followed)",""),"")))</f>
        <v/>
      </c>
      <c r="X138" s="27"/>
      <c r="Y138" s="27"/>
      <c r="Z138" s="28"/>
      <c r="AA138" s="25" t="str">
        <f aca="false">IF(OR(A138="",B138="",C138=""),"","https://www.alphanodus.com/contact?utm_source="&amp;IF(B138="X","twitter",LOWER(B138))&amp;"&amp;utm_medium=social&amp;utm_campaign="&amp;IF(E138="","general",LOWER(SUBSTITUTE(SUBSTITUTE(E138," / ","-")," ","-")))&amp;"&amp;utm_content="&amp;LOWER(C138))</f>
        <v/>
      </c>
    </row>
    <row r="139" customFormat="false" ht="15" hidden="false" customHeight="false" outlineLevel="0" collapsed="false">
      <c r="A139" s="29"/>
      <c r="B139" s="28"/>
      <c r="C139" s="28"/>
      <c r="D139" s="27"/>
      <c r="E139" s="28"/>
      <c r="F139" s="28"/>
      <c r="G139" s="28"/>
      <c r="H139" s="22"/>
      <c r="I139" s="22"/>
      <c r="J139" s="22"/>
      <c r="K139" s="22"/>
      <c r="L139" s="22"/>
      <c r="M139" s="22"/>
      <c r="N139" s="22"/>
      <c r="O139" s="22"/>
      <c r="P139" s="23" t="str">
        <f aca="false">IF(OR(A139="",B139="",C139=""),"",IF(COUNT(J139:N139)=0,"",SUM(J139:N139)))</f>
        <v/>
      </c>
      <c r="Q139" s="23" t="str">
        <f aca="false">IF(OR(A139="",B139="",C139=""),"",SUMIFS('Who Engaged'!$I$5:$I$1004,'Who Engaged'!$C$5:$C$1004,C139,'Who Engaged'!$O$5:$O$1004,"Yes")+SUMIFS('Who Engaged'!$J$5:$J$1004,'Who Engaged'!$C$5:$C$1004,C139,'Who Engaged'!$O$5:$O$1004,"Yes")+SUMIFS('Who Engaged'!$K$5:$K$1004,'Who Engaged'!$C$5:$C$1004,C139,'Who Engaged'!$O$5:$O$1004,"Yes")+SUMIFS('Who Engaged'!$L$5:$L$1004,'Who Engaged'!$C$5:$C$1004,C139,'Who Engaged'!$O$5:$O$1004,"Yes"))</f>
        <v/>
      </c>
      <c r="R139" s="23" t="str">
        <f aca="false">IF(OR(OR(A139="",B139="",C139=""),P139=""),"",MAX(0,P139-N(Q139)))</f>
        <v/>
      </c>
      <c r="S139" s="24" t="str">
        <f aca="false">IF(OR(OR(A139="",B139="",C139=""),R139=""),"",IFERROR(R139/(IF(N(H139)&gt;0,H139,IF(N(I139)&gt;0,I139,IF(COUNTIFS($B$16:$B$215,B139,$H$16:$H$215,"&gt;0")+COUNTIFS($B$16:$B$215,B139,$I$16:$I$215,"&gt;0")&gt;0,"",INDEX($B$5:$B$7,MATCH(B139,$A$5:$A$7,0)))))),""))</f>
        <v/>
      </c>
      <c r="T139" s="25" t="str">
        <f aca="false">IF(OR(A139="",B139="",C139=""),"",IF(OR(S139="",COUNTIFS($B$16:$B$215,B139,$S$16:$S$215,"&gt;=0")&lt;2),"No Data Yet",IFERROR(IF(S139/AVERAGEIFS($S$16:$S$215,$B$16:$B$215,B139)&gt;=1.2,"Good",IF(S139/AVERAGEIFS($S$16:$S$215,$B$16:$B$215,B139)&gt;=0.8,"Average","Below Standard")),"Average")))</f>
        <v/>
      </c>
      <c r="U139" s="23" t="str">
        <f aca="false">IF(OR(A139="",B139="",C139=""),"",COUNTIFS('Who Engaged'!$C$5:$C$1004,C139,'Who Engaged'!$P$5:$P$1004,"Yes",'Who Engaged'!$N$5:$N$1004,1))</f>
        <v/>
      </c>
      <c r="V139" s="23" t="str">
        <f aca="false">IF(OR(A139="",B139="",C139=""),"",COUNTIFS('Who Engaged'!$C$5:$C$1004,C139,'Who Engaged'!$P$5:$P$1004,"Yes",'Who Engaged'!$M$5:$M$1004,1))</f>
        <v/>
      </c>
      <c r="W139" s="26" t="str">
        <f aca="false" t="array" ref="W139:W139">IF(OR(A139="",B139="",C139=""),"",_xlfn.TEXTJOIN("; ",TRUE(),IF(('Who Engaged'!$C$5:$C$1004=C139)*('Who Engaged'!$P$5:$P$1004="Yes"),'Who Engaged'!$D$5:$D$1004&amp;" – "&amp;'Who Engaged'!$F$5:$F$1004&amp;IF('Who Engaged'!$M$5:$M$1004=1," (followed)",""),"")))</f>
        <v/>
      </c>
      <c r="X139" s="27"/>
      <c r="Y139" s="27"/>
      <c r="Z139" s="28"/>
      <c r="AA139" s="25" t="str">
        <f aca="false">IF(OR(A139="",B139="",C139=""),"","https://www.alphanodus.com/contact?utm_source="&amp;IF(B139="X","twitter",LOWER(B139))&amp;"&amp;utm_medium=social&amp;utm_campaign="&amp;IF(E139="","general",LOWER(SUBSTITUTE(SUBSTITUTE(E139," / ","-")," ","-")))&amp;"&amp;utm_content="&amp;LOWER(C139))</f>
        <v/>
      </c>
    </row>
    <row r="140" customFormat="false" ht="15" hidden="false" customHeight="false" outlineLevel="0" collapsed="false">
      <c r="A140" s="29"/>
      <c r="B140" s="28"/>
      <c r="C140" s="28"/>
      <c r="D140" s="27"/>
      <c r="E140" s="28"/>
      <c r="F140" s="28"/>
      <c r="G140" s="28"/>
      <c r="H140" s="22"/>
      <c r="I140" s="22"/>
      <c r="J140" s="22"/>
      <c r="K140" s="22"/>
      <c r="L140" s="22"/>
      <c r="M140" s="22"/>
      <c r="N140" s="22"/>
      <c r="O140" s="22"/>
      <c r="P140" s="23" t="str">
        <f aca="false">IF(OR(A140="",B140="",C140=""),"",IF(COUNT(J140:N140)=0,"",SUM(J140:N140)))</f>
        <v/>
      </c>
      <c r="Q140" s="23" t="str">
        <f aca="false">IF(OR(A140="",B140="",C140=""),"",SUMIFS('Who Engaged'!$I$5:$I$1004,'Who Engaged'!$C$5:$C$1004,C140,'Who Engaged'!$O$5:$O$1004,"Yes")+SUMIFS('Who Engaged'!$J$5:$J$1004,'Who Engaged'!$C$5:$C$1004,C140,'Who Engaged'!$O$5:$O$1004,"Yes")+SUMIFS('Who Engaged'!$K$5:$K$1004,'Who Engaged'!$C$5:$C$1004,C140,'Who Engaged'!$O$5:$O$1004,"Yes")+SUMIFS('Who Engaged'!$L$5:$L$1004,'Who Engaged'!$C$5:$C$1004,C140,'Who Engaged'!$O$5:$O$1004,"Yes"))</f>
        <v/>
      </c>
      <c r="R140" s="23" t="str">
        <f aca="false">IF(OR(OR(A140="",B140="",C140=""),P140=""),"",MAX(0,P140-N(Q140)))</f>
        <v/>
      </c>
      <c r="S140" s="24" t="str">
        <f aca="false">IF(OR(OR(A140="",B140="",C140=""),R140=""),"",IFERROR(R140/(IF(N(H140)&gt;0,H140,IF(N(I140)&gt;0,I140,IF(COUNTIFS($B$16:$B$215,B140,$H$16:$H$215,"&gt;0")+COUNTIFS($B$16:$B$215,B140,$I$16:$I$215,"&gt;0")&gt;0,"",INDEX($B$5:$B$7,MATCH(B140,$A$5:$A$7,0)))))),""))</f>
        <v/>
      </c>
      <c r="T140" s="25" t="str">
        <f aca="false">IF(OR(A140="",B140="",C140=""),"",IF(OR(S140="",COUNTIFS($B$16:$B$215,B140,$S$16:$S$215,"&gt;=0")&lt;2),"No Data Yet",IFERROR(IF(S140/AVERAGEIFS($S$16:$S$215,$B$16:$B$215,B140)&gt;=1.2,"Good",IF(S140/AVERAGEIFS($S$16:$S$215,$B$16:$B$215,B140)&gt;=0.8,"Average","Below Standard")),"Average")))</f>
        <v/>
      </c>
      <c r="U140" s="23" t="str">
        <f aca="false">IF(OR(A140="",B140="",C140=""),"",COUNTIFS('Who Engaged'!$C$5:$C$1004,C140,'Who Engaged'!$P$5:$P$1004,"Yes",'Who Engaged'!$N$5:$N$1004,1))</f>
        <v/>
      </c>
      <c r="V140" s="23" t="str">
        <f aca="false">IF(OR(A140="",B140="",C140=""),"",COUNTIFS('Who Engaged'!$C$5:$C$1004,C140,'Who Engaged'!$P$5:$P$1004,"Yes",'Who Engaged'!$M$5:$M$1004,1))</f>
        <v/>
      </c>
      <c r="W140" s="26" t="str">
        <f aca="false" t="array" ref="W140:W140">IF(OR(A140="",B140="",C140=""),"",_xlfn.TEXTJOIN("; ",TRUE(),IF(('Who Engaged'!$C$5:$C$1004=C140)*('Who Engaged'!$P$5:$P$1004="Yes"),'Who Engaged'!$D$5:$D$1004&amp;" – "&amp;'Who Engaged'!$F$5:$F$1004&amp;IF('Who Engaged'!$M$5:$M$1004=1," (followed)",""),"")))</f>
        <v/>
      </c>
      <c r="X140" s="27"/>
      <c r="Y140" s="27"/>
      <c r="Z140" s="28"/>
      <c r="AA140" s="25" t="str">
        <f aca="false">IF(OR(A140="",B140="",C140=""),"","https://www.alphanodus.com/contact?utm_source="&amp;IF(B140="X","twitter",LOWER(B140))&amp;"&amp;utm_medium=social&amp;utm_campaign="&amp;IF(E140="","general",LOWER(SUBSTITUTE(SUBSTITUTE(E140," / ","-")," ","-")))&amp;"&amp;utm_content="&amp;LOWER(C140))</f>
        <v/>
      </c>
    </row>
    <row r="141" customFormat="false" ht="15" hidden="false" customHeight="false" outlineLevel="0" collapsed="false">
      <c r="A141" s="29"/>
      <c r="B141" s="28"/>
      <c r="C141" s="28"/>
      <c r="D141" s="27"/>
      <c r="E141" s="28"/>
      <c r="F141" s="28"/>
      <c r="G141" s="28"/>
      <c r="H141" s="22"/>
      <c r="I141" s="22"/>
      <c r="J141" s="22"/>
      <c r="K141" s="22"/>
      <c r="L141" s="22"/>
      <c r="M141" s="22"/>
      <c r="N141" s="22"/>
      <c r="O141" s="22"/>
      <c r="P141" s="23" t="str">
        <f aca="false">IF(OR(A141="",B141="",C141=""),"",IF(COUNT(J141:N141)=0,"",SUM(J141:N141)))</f>
        <v/>
      </c>
      <c r="Q141" s="23" t="str">
        <f aca="false">IF(OR(A141="",B141="",C141=""),"",SUMIFS('Who Engaged'!$I$5:$I$1004,'Who Engaged'!$C$5:$C$1004,C141,'Who Engaged'!$O$5:$O$1004,"Yes")+SUMIFS('Who Engaged'!$J$5:$J$1004,'Who Engaged'!$C$5:$C$1004,C141,'Who Engaged'!$O$5:$O$1004,"Yes")+SUMIFS('Who Engaged'!$K$5:$K$1004,'Who Engaged'!$C$5:$C$1004,C141,'Who Engaged'!$O$5:$O$1004,"Yes")+SUMIFS('Who Engaged'!$L$5:$L$1004,'Who Engaged'!$C$5:$C$1004,C141,'Who Engaged'!$O$5:$O$1004,"Yes"))</f>
        <v/>
      </c>
      <c r="R141" s="23" t="str">
        <f aca="false">IF(OR(OR(A141="",B141="",C141=""),P141=""),"",MAX(0,P141-N(Q141)))</f>
        <v/>
      </c>
      <c r="S141" s="24" t="str">
        <f aca="false">IF(OR(OR(A141="",B141="",C141=""),R141=""),"",IFERROR(R141/(IF(N(H141)&gt;0,H141,IF(N(I141)&gt;0,I141,IF(COUNTIFS($B$16:$B$215,B141,$H$16:$H$215,"&gt;0")+COUNTIFS($B$16:$B$215,B141,$I$16:$I$215,"&gt;0")&gt;0,"",INDEX($B$5:$B$7,MATCH(B141,$A$5:$A$7,0)))))),""))</f>
        <v/>
      </c>
      <c r="T141" s="25" t="str">
        <f aca="false">IF(OR(A141="",B141="",C141=""),"",IF(OR(S141="",COUNTIFS($B$16:$B$215,B141,$S$16:$S$215,"&gt;=0")&lt;2),"No Data Yet",IFERROR(IF(S141/AVERAGEIFS($S$16:$S$215,$B$16:$B$215,B141)&gt;=1.2,"Good",IF(S141/AVERAGEIFS($S$16:$S$215,$B$16:$B$215,B141)&gt;=0.8,"Average","Below Standard")),"Average")))</f>
        <v/>
      </c>
      <c r="U141" s="23" t="str">
        <f aca="false">IF(OR(A141="",B141="",C141=""),"",COUNTIFS('Who Engaged'!$C$5:$C$1004,C141,'Who Engaged'!$P$5:$P$1004,"Yes",'Who Engaged'!$N$5:$N$1004,1))</f>
        <v/>
      </c>
      <c r="V141" s="23" t="str">
        <f aca="false">IF(OR(A141="",B141="",C141=""),"",COUNTIFS('Who Engaged'!$C$5:$C$1004,C141,'Who Engaged'!$P$5:$P$1004,"Yes",'Who Engaged'!$M$5:$M$1004,1))</f>
        <v/>
      </c>
      <c r="W141" s="26" t="str">
        <f aca="false" t="array" ref="W141:W141">IF(OR(A141="",B141="",C141=""),"",_xlfn.TEXTJOIN("; ",TRUE(),IF(('Who Engaged'!$C$5:$C$1004=C141)*('Who Engaged'!$P$5:$P$1004="Yes"),'Who Engaged'!$D$5:$D$1004&amp;" – "&amp;'Who Engaged'!$F$5:$F$1004&amp;IF('Who Engaged'!$M$5:$M$1004=1," (followed)",""),"")))</f>
        <v/>
      </c>
      <c r="X141" s="27"/>
      <c r="Y141" s="27"/>
      <c r="Z141" s="28"/>
      <c r="AA141" s="25" t="str">
        <f aca="false">IF(OR(A141="",B141="",C141=""),"","https://www.alphanodus.com/contact?utm_source="&amp;IF(B141="X","twitter",LOWER(B141))&amp;"&amp;utm_medium=social&amp;utm_campaign="&amp;IF(E141="","general",LOWER(SUBSTITUTE(SUBSTITUTE(E141," / ","-")," ","-")))&amp;"&amp;utm_content="&amp;LOWER(C141))</f>
        <v/>
      </c>
    </row>
    <row r="142" customFormat="false" ht="15" hidden="false" customHeight="false" outlineLevel="0" collapsed="false">
      <c r="A142" s="29"/>
      <c r="B142" s="28"/>
      <c r="C142" s="28"/>
      <c r="D142" s="27"/>
      <c r="E142" s="28"/>
      <c r="F142" s="28"/>
      <c r="G142" s="28"/>
      <c r="H142" s="22"/>
      <c r="I142" s="22"/>
      <c r="J142" s="22"/>
      <c r="K142" s="22"/>
      <c r="L142" s="22"/>
      <c r="M142" s="22"/>
      <c r="N142" s="22"/>
      <c r="O142" s="22"/>
      <c r="P142" s="23" t="str">
        <f aca="false">IF(OR(A142="",B142="",C142=""),"",IF(COUNT(J142:N142)=0,"",SUM(J142:N142)))</f>
        <v/>
      </c>
      <c r="Q142" s="23" t="str">
        <f aca="false">IF(OR(A142="",B142="",C142=""),"",SUMIFS('Who Engaged'!$I$5:$I$1004,'Who Engaged'!$C$5:$C$1004,C142,'Who Engaged'!$O$5:$O$1004,"Yes")+SUMIFS('Who Engaged'!$J$5:$J$1004,'Who Engaged'!$C$5:$C$1004,C142,'Who Engaged'!$O$5:$O$1004,"Yes")+SUMIFS('Who Engaged'!$K$5:$K$1004,'Who Engaged'!$C$5:$C$1004,C142,'Who Engaged'!$O$5:$O$1004,"Yes")+SUMIFS('Who Engaged'!$L$5:$L$1004,'Who Engaged'!$C$5:$C$1004,C142,'Who Engaged'!$O$5:$O$1004,"Yes"))</f>
        <v/>
      </c>
      <c r="R142" s="23" t="str">
        <f aca="false">IF(OR(OR(A142="",B142="",C142=""),P142=""),"",MAX(0,P142-N(Q142)))</f>
        <v/>
      </c>
      <c r="S142" s="24" t="str">
        <f aca="false">IF(OR(OR(A142="",B142="",C142=""),R142=""),"",IFERROR(R142/(IF(N(H142)&gt;0,H142,IF(N(I142)&gt;0,I142,IF(COUNTIFS($B$16:$B$215,B142,$H$16:$H$215,"&gt;0")+COUNTIFS($B$16:$B$215,B142,$I$16:$I$215,"&gt;0")&gt;0,"",INDEX($B$5:$B$7,MATCH(B142,$A$5:$A$7,0)))))),""))</f>
        <v/>
      </c>
      <c r="T142" s="25" t="str">
        <f aca="false">IF(OR(A142="",B142="",C142=""),"",IF(OR(S142="",COUNTIFS($B$16:$B$215,B142,$S$16:$S$215,"&gt;=0")&lt;2),"No Data Yet",IFERROR(IF(S142/AVERAGEIFS($S$16:$S$215,$B$16:$B$215,B142)&gt;=1.2,"Good",IF(S142/AVERAGEIFS($S$16:$S$215,$B$16:$B$215,B142)&gt;=0.8,"Average","Below Standard")),"Average")))</f>
        <v/>
      </c>
      <c r="U142" s="23" t="str">
        <f aca="false">IF(OR(A142="",B142="",C142=""),"",COUNTIFS('Who Engaged'!$C$5:$C$1004,C142,'Who Engaged'!$P$5:$P$1004,"Yes",'Who Engaged'!$N$5:$N$1004,1))</f>
        <v/>
      </c>
      <c r="V142" s="23" t="str">
        <f aca="false">IF(OR(A142="",B142="",C142=""),"",COUNTIFS('Who Engaged'!$C$5:$C$1004,C142,'Who Engaged'!$P$5:$P$1004,"Yes",'Who Engaged'!$M$5:$M$1004,1))</f>
        <v/>
      </c>
      <c r="W142" s="26" t="str">
        <f aca="false" t="array" ref="W142:W142">IF(OR(A142="",B142="",C142=""),"",_xlfn.TEXTJOIN("; ",TRUE(),IF(('Who Engaged'!$C$5:$C$1004=C142)*('Who Engaged'!$P$5:$P$1004="Yes"),'Who Engaged'!$D$5:$D$1004&amp;" – "&amp;'Who Engaged'!$F$5:$F$1004&amp;IF('Who Engaged'!$M$5:$M$1004=1," (followed)",""),"")))</f>
        <v/>
      </c>
      <c r="X142" s="27"/>
      <c r="Y142" s="27"/>
      <c r="Z142" s="28"/>
      <c r="AA142" s="25" t="str">
        <f aca="false">IF(OR(A142="",B142="",C142=""),"","https://www.alphanodus.com/contact?utm_source="&amp;IF(B142="X","twitter",LOWER(B142))&amp;"&amp;utm_medium=social&amp;utm_campaign="&amp;IF(E142="","general",LOWER(SUBSTITUTE(SUBSTITUTE(E142," / ","-")," ","-")))&amp;"&amp;utm_content="&amp;LOWER(C142))</f>
        <v/>
      </c>
    </row>
    <row r="143" customFormat="false" ht="15" hidden="false" customHeight="false" outlineLevel="0" collapsed="false">
      <c r="A143" s="29"/>
      <c r="B143" s="28"/>
      <c r="C143" s="28"/>
      <c r="D143" s="27"/>
      <c r="E143" s="28"/>
      <c r="F143" s="28"/>
      <c r="G143" s="28"/>
      <c r="H143" s="22"/>
      <c r="I143" s="22"/>
      <c r="J143" s="22"/>
      <c r="K143" s="22"/>
      <c r="L143" s="22"/>
      <c r="M143" s="22"/>
      <c r="N143" s="22"/>
      <c r="O143" s="22"/>
      <c r="P143" s="23" t="str">
        <f aca="false">IF(OR(A143="",B143="",C143=""),"",IF(COUNT(J143:N143)=0,"",SUM(J143:N143)))</f>
        <v/>
      </c>
      <c r="Q143" s="23" t="str">
        <f aca="false">IF(OR(A143="",B143="",C143=""),"",SUMIFS('Who Engaged'!$I$5:$I$1004,'Who Engaged'!$C$5:$C$1004,C143,'Who Engaged'!$O$5:$O$1004,"Yes")+SUMIFS('Who Engaged'!$J$5:$J$1004,'Who Engaged'!$C$5:$C$1004,C143,'Who Engaged'!$O$5:$O$1004,"Yes")+SUMIFS('Who Engaged'!$K$5:$K$1004,'Who Engaged'!$C$5:$C$1004,C143,'Who Engaged'!$O$5:$O$1004,"Yes")+SUMIFS('Who Engaged'!$L$5:$L$1004,'Who Engaged'!$C$5:$C$1004,C143,'Who Engaged'!$O$5:$O$1004,"Yes"))</f>
        <v/>
      </c>
      <c r="R143" s="23" t="str">
        <f aca="false">IF(OR(OR(A143="",B143="",C143=""),P143=""),"",MAX(0,P143-N(Q143)))</f>
        <v/>
      </c>
      <c r="S143" s="24" t="str">
        <f aca="false">IF(OR(OR(A143="",B143="",C143=""),R143=""),"",IFERROR(R143/(IF(N(H143)&gt;0,H143,IF(N(I143)&gt;0,I143,IF(COUNTIFS($B$16:$B$215,B143,$H$16:$H$215,"&gt;0")+COUNTIFS($B$16:$B$215,B143,$I$16:$I$215,"&gt;0")&gt;0,"",INDEX($B$5:$B$7,MATCH(B143,$A$5:$A$7,0)))))),""))</f>
        <v/>
      </c>
      <c r="T143" s="25" t="str">
        <f aca="false">IF(OR(A143="",B143="",C143=""),"",IF(OR(S143="",COUNTIFS($B$16:$B$215,B143,$S$16:$S$215,"&gt;=0")&lt;2),"No Data Yet",IFERROR(IF(S143/AVERAGEIFS($S$16:$S$215,$B$16:$B$215,B143)&gt;=1.2,"Good",IF(S143/AVERAGEIFS($S$16:$S$215,$B$16:$B$215,B143)&gt;=0.8,"Average","Below Standard")),"Average")))</f>
        <v/>
      </c>
      <c r="U143" s="23" t="str">
        <f aca="false">IF(OR(A143="",B143="",C143=""),"",COUNTIFS('Who Engaged'!$C$5:$C$1004,C143,'Who Engaged'!$P$5:$P$1004,"Yes",'Who Engaged'!$N$5:$N$1004,1))</f>
        <v/>
      </c>
      <c r="V143" s="23" t="str">
        <f aca="false">IF(OR(A143="",B143="",C143=""),"",COUNTIFS('Who Engaged'!$C$5:$C$1004,C143,'Who Engaged'!$P$5:$P$1004,"Yes",'Who Engaged'!$M$5:$M$1004,1))</f>
        <v/>
      </c>
      <c r="W143" s="26" t="str">
        <f aca="false" t="array" ref="W143:W143">IF(OR(A143="",B143="",C143=""),"",_xlfn.TEXTJOIN("; ",TRUE(),IF(('Who Engaged'!$C$5:$C$1004=C143)*('Who Engaged'!$P$5:$P$1004="Yes"),'Who Engaged'!$D$5:$D$1004&amp;" – "&amp;'Who Engaged'!$F$5:$F$1004&amp;IF('Who Engaged'!$M$5:$M$1004=1," (followed)",""),"")))</f>
        <v/>
      </c>
      <c r="X143" s="27"/>
      <c r="Y143" s="27"/>
      <c r="Z143" s="28"/>
      <c r="AA143" s="25" t="str">
        <f aca="false">IF(OR(A143="",B143="",C143=""),"","https://www.alphanodus.com/contact?utm_source="&amp;IF(B143="X","twitter",LOWER(B143))&amp;"&amp;utm_medium=social&amp;utm_campaign="&amp;IF(E143="","general",LOWER(SUBSTITUTE(SUBSTITUTE(E143," / ","-")," ","-")))&amp;"&amp;utm_content="&amp;LOWER(C143))</f>
        <v/>
      </c>
    </row>
    <row r="144" customFormat="false" ht="15" hidden="false" customHeight="false" outlineLevel="0" collapsed="false">
      <c r="A144" s="29"/>
      <c r="B144" s="28"/>
      <c r="C144" s="28"/>
      <c r="D144" s="27"/>
      <c r="E144" s="28"/>
      <c r="F144" s="28"/>
      <c r="G144" s="28"/>
      <c r="H144" s="22"/>
      <c r="I144" s="22"/>
      <c r="J144" s="22"/>
      <c r="K144" s="22"/>
      <c r="L144" s="22"/>
      <c r="M144" s="22"/>
      <c r="N144" s="22"/>
      <c r="O144" s="22"/>
      <c r="P144" s="23" t="str">
        <f aca="false">IF(OR(A144="",B144="",C144=""),"",IF(COUNT(J144:N144)=0,"",SUM(J144:N144)))</f>
        <v/>
      </c>
      <c r="Q144" s="23" t="str">
        <f aca="false">IF(OR(A144="",B144="",C144=""),"",SUMIFS('Who Engaged'!$I$5:$I$1004,'Who Engaged'!$C$5:$C$1004,C144,'Who Engaged'!$O$5:$O$1004,"Yes")+SUMIFS('Who Engaged'!$J$5:$J$1004,'Who Engaged'!$C$5:$C$1004,C144,'Who Engaged'!$O$5:$O$1004,"Yes")+SUMIFS('Who Engaged'!$K$5:$K$1004,'Who Engaged'!$C$5:$C$1004,C144,'Who Engaged'!$O$5:$O$1004,"Yes")+SUMIFS('Who Engaged'!$L$5:$L$1004,'Who Engaged'!$C$5:$C$1004,C144,'Who Engaged'!$O$5:$O$1004,"Yes"))</f>
        <v/>
      </c>
      <c r="R144" s="23" t="str">
        <f aca="false">IF(OR(OR(A144="",B144="",C144=""),P144=""),"",MAX(0,P144-N(Q144)))</f>
        <v/>
      </c>
      <c r="S144" s="24" t="str">
        <f aca="false">IF(OR(OR(A144="",B144="",C144=""),R144=""),"",IFERROR(R144/(IF(N(H144)&gt;0,H144,IF(N(I144)&gt;0,I144,IF(COUNTIFS($B$16:$B$215,B144,$H$16:$H$215,"&gt;0")+COUNTIFS($B$16:$B$215,B144,$I$16:$I$215,"&gt;0")&gt;0,"",INDEX($B$5:$B$7,MATCH(B144,$A$5:$A$7,0)))))),""))</f>
        <v/>
      </c>
      <c r="T144" s="25" t="str">
        <f aca="false">IF(OR(A144="",B144="",C144=""),"",IF(OR(S144="",COUNTIFS($B$16:$B$215,B144,$S$16:$S$215,"&gt;=0")&lt;2),"No Data Yet",IFERROR(IF(S144/AVERAGEIFS($S$16:$S$215,$B$16:$B$215,B144)&gt;=1.2,"Good",IF(S144/AVERAGEIFS($S$16:$S$215,$B$16:$B$215,B144)&gt;=0.8,"Average","Below Standard")),"Average")))</f>
        <v/>
      </c>
      <c r="U144" s="23" t="str">
        <f aca="false">IF(OR(A144="",B144="",C144=""),"",COUNTIFS('Who Engaged'!$C$5:$C$1004,C144,'Who Engaged'!$P$5:$P$1004,"Yes",'Who Engaged'!$N$5:$N$1004,1))</f>
        <v/>
      </c>
      <c r="V144" s="23" t="str">
        <f aca="false">IF(OR(A144="",B144="",C144=""),"",COUNTIFS('Who Engaged'!$C$5:$C$1004,C144,'Who Engaged'!$P$5:$P$1004,"Yes",'Who Engaged'!$M$5:$M$1004,1))</f>
        <v/>
      </c>
      <c r="W144" s="26" t="str">
        <f aca="false" t="array" ref="W144:W144">IF(OR(A144="",B144="",C144=""),"",_xlfn.TEXTJOIN("; ",TRUE(),IF(('Who Engaged'!$C$5:$C$1004=C144)*('Who Engaged'!$P$5:$P$1004="Yes"),'Who Engaged'!$D$5:$D$1004&amp;" – "&amp;'Who Engaged'!$F$5:$F$1004&amp;IF('Who Engaged'!$M$5:$M$1004=1," (followed)",""),"")))</f>
        <v/>
      </c>
      <c r="X144" s="27"/>
      <c r="Y144" s="27"/>
      <c r="Z144" s="28"/>
      <c r="AA144" s="25" t="str">
        <f aca="false">IF(OR(A144="",B144="",C144=""),"","https://www.alphanodus.com/contact?utm_source="&amp;IF(B144="X","twitter",LOWER(B144))&amp;"&amp;utm_medium=social&amp;utm_campaign="&amp;IF(E144="","general",LOWER(SUBSTITUTE(SUBSTITUTE(E144," / ","-")," ","-")))&amp;"&amp;utm_content="&amp;LOWER(C144))</f>
        <v/>
      </c>
    </row>
    <row r="145" customFormat="false" ht="15" hidden="false" customHeight="false" outlineLevel="0" collapsed="false">
      <c r="A145" s="29"/>
      <c r="B145" s="28"/>
      <c r="C145" s="28"/>
      <c r="D145" s="27"/>
      <c r="E145" s="28"/>
      <c r="F145" s="28"/>
      <c r="G145" s="28"/>
      <c r="H145" s="22"/>
      <c r="I145" s="22"/>
      <c r="J145" s="22"/>
      <c r="K145" s="22"/>
      <c r="L145" s="22"/>
      <c r="M145" s="22"/>
      <c r="N145" s="22"/>
      <c r="O145" s="22"/>
      <c r="P145" s="23" t="str">
        <f aca="false">IF(OR(A145="",B145="",C145=""),"",IF(COUNT(J145:N145)=0,"",SUM(J145:N145)))</f>
        <v/>
      </c>
      <c r="Q145" s="23" t="str">
        <f aca="false">IF(OR(A145="",B145="",C145=""),"",SUMIFS('Who Engaged'!$I$5:$I$1004,'Who Engaged'!$C$5:$C$1004,C145,'Who Engaged'!$O$5:$O$1004,"Yes")+SUMIFS('Who Engaged'!$J$5:$J$1004,'Who Engaged'!$C$5:$C$1004,C145,'Who Engaged'!$O$5:$O$1004,"Yes")+SUMIFS('Who Engaged'!$K$5:$K$1004,'Who Engaged'!$C$5:$C$1004,C145,'Who Engaged'!$O$5:$O$1004,"Yes")+SUMIFS('Who Engaged'!$L$5:$L$1004,'Who Engaged'!$C$5:$C$1004,C145,'Who Engaged'!$O$5:$O$1004,"Yes"))</f>
        <v/>
      </c>
      <c r="R145" s="23" t="str">
        <f aca="false">IF(OR(OR(A145="",B145="",C145=""),P145=""),"",MAX(0,P145-N(Q145)))</f>
        <v/>
      </c>
      <c r="S145" s="24" t="str">
        <f aca="false">IF(OR(OR(A145="",B145="",C145=""),R145=""),"",IFERROR(R145/(IF(N(H145)&gt;0,H145,IF(N(I145)&gt;0,I145,IF(COUNTIFS($B$16:$B$215,B145,$H$16:$H$215,"&gt;0")+COUNTIFS($B$16:$B$215,B145,$I$16:$I$215,"&gt;0")&gt;0,"",INDEX($B$5:$B$7,MATCH(B145,$A$5:$A$7,0)))))),""))</f>
        <v/>
      </c>
      <c r="T145" s="25" t="str">
        <f aca="false">IF(OR(A145="",B145="",C145=""),"",IF(OR(S145="",COUNTIFS($B$16:$B$215,B145,$S$16:$S$215,"&gt;=0")&lt;2),"No Data Yet",IFERROR(IF(S145/AVERAGEIFS($S$16:$S$215,$B$16:$B$215,B145)&gt;=1.2,"Good",IF(S145/AVERAGEIFS($S$16:$S$215,$B$16:$B$215,B145)&gt;=0.8,"Average","Below Standard")),"Average")))</f>
        <v/>
      </c>
      <c r="U145" s="23" t="str">
        <f aca="false">IF(OR(A145="",B145="",C145=""),"",COUNTIFS('Who Engaged'!$C$5:$C$1004,C145,'Who Engaged'!$P$5:$P$1004,"Yes",'Who Engaged'!$N$5:$N$1004,1))</f>
        <v/>
      </c>
      <c r="V145" s="23" t="str">
        <f aca="false">IF(OR(A145="",B145="",C145=""),"",COUNTIFS('Who Engaged'!$C$5:$C$1004,C145,'Who Engaged'!$P$5:$P$1004,"Yes",'Who Engaged'!$M$5:$M$1004,1))</f>
        <v/>
      </c>
      <c r="W145" s="26" t="str">
        <f aca="false" t="array" ref="W145:W145">IF(OR(A145="",B145="",C145=""),"",_xlfn.TEXTJOIN("; ",TRUE(),IF(('Who Engaged'!$C$5:$C$1004=C145)*('Who Engaged'!$P$5:$P$1004="Yes"),'Who Engaged'!$D$5:$D$1004&amp;" – "&amp;'Who Engaged'!$F$5:$F$1004&amp;IF('Who Engaged'!$M$5:$M$1004=1," (followed)",""),"")))</f>
        <v/>
      </c>
      <c r="X145" s="27"/>
      <c r="Y145" s="27"/>
      <c r="Z145" s="28"/>
      <c r="AA145" s="25" t="str">
        <f aca="false">IF(OR(A145="",B145="",C145=""),"","https://www.alphanodus.com/contact?utm_source="&amp;IF(B145="X","twitter",LOWER(B145))&amp;"&amp;utm_medium=social&amp;utm_campaign="&amp;IF(E145="","general",LOWER(SUBSTITUTE(SUBSTITUTE(E145," / ","-")," ","-")))&amp;"&amp;utm_content="&amp;LOWER(C145))</f>
        <v/>
      </c>
    </row>
    <row r="146" customFormat="false" ht="15" hidden="false" customHeight="false" outlineLevel="0" collapsed="false">
      <c r="A146" s="29"/>
      <c r="B146" s="28"/>
      <c r="C146" s="28"/>
      <c r="D146" s="27"/>
      <c r="E146" s="28"/>
      <c r="F146" s="28"/>
      <c r="G146" s="28"/>
      <c r="H146" s="22"/>
      <c r="I146" s="22"/>
      <c r="J146" s="22"/>
      <c r="K146" s="22"/>
      <c r="L146" s="22"/>
      <c r="M146" s="22"/>
      <c r="N146" s="22"/>
      <c r="O146" s="22"/>
      <c r="P146" s="23" t="str">
        <f aca="false">IF(OR(A146="",B146="",C146=""),"",IF(COUNT(J146:N146)=0,"",SUM(J146:N146)))</f>
        <v/>
      </c>
      <c r="Q146" s="23" t="str">
        <f aca="false">IF(OR(A146="",B146="",C146=""),"",SUMIFS('Who Engaged'!$I$5:$I$1004,'Who Engaged'!$C$5:$C$1004,C146,'Who Engaged'!$O$5:$O$1004,"Yes")+SUMIFS('Who Engaged'!$J$5:$J$1004,'Who Engaged'!$C$5:$C$1004,C146,'Who Engaged'!$O$5:$O$1004,"Yes")+SUMIFS('Who Engaged'!$K$5:$K$1004,'Who Engaged'!$C$5:$C$1004,C146,'Who Engaged'!$O$5:$O$1004,"Yes")+SUMIFS('Who Engaged'!$L$5:$L$1004,'Who Engaged'!$C$5:$C$1004,C146,'Who Engaged'!$O$5:$O$1004,"Yes"))</f>
        <v/>
      </c>
      <c r="R146" s="23" t="str">
        <f aca="false">IF(OR(OR(A146="",B146="",C146=""),P146=""),"",MAX(0,P146-N(Q146)))</f>
        <v/>
      </c>
      <c r="S146" s="24" t="str">
        <f aca="false">IF(OR(OR(A146="",B146="",C146=""),R146=""),"",IFERROR(R146/(IF(N(H146)&gt;0,H146,IF(N(I146)&gt;0,I146,IF(COUNTIFS($B$16:$B$215,B146,$H$16:$H$215,"&gt;0")+COUNTIFS($B$16:$B$215,B146,$I$16:$I$215,"&gt;0")&gt;0,"",INDEX($B$5:$B$7,MATCH(B146,$A$5:$A$7,0)))))),""))</f>
        <v/>
      </c>
      <c r="T146" s="25" t="str">
        <f aca="false">IF(OR(A146="",B146="",C146=""),"",IF(OR(S146="",COUNTIFS($B$16:$B$215,B146,$S$16:$S$215,"&gt;=0")&lt;2),"No Data Yet",IFERROR(IF(S146/AVERAGEIFS($S$16:$S$215,$B$16:$B$215,B146)&gt;=1.2,"Good",IF(S146/AVERAGEIFS($S$16:$S$215,$B$16:$B$215,B146)&gt;=0.8,"Average","Below Standard")),"Average")))</f>
        <v/>
      </c>
      <c r="U146" s="23" t="str">
        <f aca="false">IF(OR(A146="",B146="",C146=""),"",COUNTIFS('Who Engaged'!$C$5:$C$1004,C146,'Who Engaged'!$P$5:$P$1004,"Yes",'Who Engaged'!$N$5:$N$1004,1))</f>
        <v/>
      </c>
      <c r="V146" s="23" t="str">
        <f aca="false">IF(OR(A146="",B146="",C146=""),"",COUNTIFS('Who Engaged'!$C$5:$C$1004,C146,'Who Engaged'!$P$5:$P$1004,"Yes",'Who Engaged'!$M$5:$M$1004,1))</f>
        <v/>
      </c>
      <c r="W146" s="26" t="str">
        <f aca="false" t="array" ref="W146:W146">IF(OR(A146="",B146="",C146=""),"",_xlfn.TEXTJOIN("; ",TRUE(),IF(('Who Engaged'!$C$5:$C$1004=C146)*('Who Engaged'!$P$5:$P$1004="Yes"),'Who Engaged'!$D$5:$D$1004&amp;" – "&amp;'Who Engaged'!$F$5:$F$1004&amp;IF('Who Engaged'!$M$5:$M$1004=1," (followed)",""),"")))</f>
        <v/>
      </c>
      <c r="X146" s="27"/>
      <c r="Y146" s="27"/>
      <c r="Z146" s="28"/>
      <c r="AA146" s="25" t="str">
        <f aca="false">IF(OR(A146="",B146="",C146=""),"","https://www.alphanodus.com/contact?utm_source="&amp;IF(B146="X","twitter",LOWER(B146))&amp;"&amp;utm_medium=social&amp;utm_campaign="&amp;IF(E146="","general",LOWER(SUBSTITUTE(SUBSTITUTE(E146," / ","-")," ","-")))&amp;"&amp;utm_content="&amp;LOWER(C146))</f>
        <v/>
      </c>
    </row>
    <row r="147" customFormat="false" ht="15" hidden="false" customHeight="false" outlineLevel="0" collapsed="false">
      <c r="A147" s="29"/>
      <c r="B147" s="28"/>
      <c r="C147" s="28"/>
      <c r="D147" s="27"/>
      <c r="E147" s="28"/>
      <c r="F147" s="28"/>
      <c r="G147" s="28"/>
      <c r="H147" s="22"/>
      <c r="I147" s="22"/>
      <c r="J147" s="22"/>
      <c r="K147" s="22"/>
      <c r="L147" s="22"/>
      <c r="M147" s="22"/>
      <c r="N147" s="22"/>
      <c r="O147" s="22"/>
      <c r="P147" s="23" t="str">
        <f aca="false">IF(OR(A147="",B147="",C147=""),"",IF(COUNT(J147:N147)=0,"",SUM(J147:N147)))</f>
        <v/>
      </c>
      <c r="Q147" s="23" t="str">
        <f aca="false">IF(OR(A147="",B147="",C147=""),"",SUMIFS('Who Engaged'!$I$5:$I$1004,'Who Engaged'!$C$5:$C$1004,C147,'Who Engaged'!$O$5:$O$1004,"Yes")+SUMIFS('Who Engaged'!$J$5:$J$1004,'Who Engaged'!$C$5:$C$1004,C147,'Who Engaged'!$O$5:$O$1004,"Yes")+SUMIFS('Who Engaged'!$K$5:$K$1004,'Who Engaged'!$C$5:$C$1004,C147,'Who Engaged'!$O$5:$O$1004,"Yes")+SUMIFS('Who Engaged'!$L$5:$L$1004,'Who Engaged'!$C$5:$C$1004,C147,'Who Engaged'!$O$5:$O$1004,"Yes"))</f>
        <v/>
      </c>
      <c r="R147" s="23" t="str">
        <f aca="false">IF(OR(OR(A147="",B147="",C147=""),P147=""),"",MAX(0,P147-N(Q147)))</f>
        <v/>
      </c>
      <c r="S147" s="24" t="str">
        <f aca="false">IF(OR(OR(A147="",B147="",C147=""),R147=""),"",IFERROR(R147/(IF(N(H147)&gt;0,H147,IF(N(I147)&gt;0,I147,IF(COUNTIFS($B$16:$B$215,B147,$H$16:$H$215,"&gt;0")+COUNTIFS($B$16:$B$215,B147,$I$16:$I$215,"&gt;0")&gt;0,"",INDEX($B$5:$B$7,MATCH(B147,$A$5:$A$7,0)))))),""))</f>
        <v/>
      </c>
      <c r="T147" s="25" t="str">
        <f aca="false">IF(OR(A147="",B147="",C147=""),"",IF(OR(S147="",COUNTIFS($B$16:$B$215,B147,$S$16:$S$215,"&gt;=0")&lt;2),"No Data Yet",IFERROR(IF(S147/AVERAGEIFS($S$16:$S$215,$B$16:$B$215,B147)&gt;=1.2,"Good",IF(S147/AVERAGEIFS($S$16:$S$215,$B$16:$B$215,B147)&gt;=0.8,"Average","Below Standard")),"Average")))</f>
        <v/>
      </c>
      <c r="U147" s="23" t="str">
        <f aca="false">IF(OR(A147="",B147="",C147=""),"",COUNTIFS('Who Engaged'!$C$5:$C$1004,C147,'Who Engaged'!$P$5:$P$1004,"Yes",'Who Engaged'!$N$5:$N$1004,1))</f>
        <v/>
      </c>
      <c r="V147" s="23" t="str">
        <f aca="false">IF(OR(A147="",B147="",C147=""),"",COUNTIFS('Who Engaged'!$C$5:$C$1004,C147,'Who Engaged'!$P$5:$P$1004,"Yes",'Who Engaged'!$M$5:$M$1004,1))</f>
        <v/>
      </c>
      <c r="W147" s="26" t="str">
        <f aca="false" t="array" ref="W147:W147">IF(OR(A147="",B147="",C147=""),"",_xlfn.TEXTJOIN("; ",TRUE(),IF(('Who Engaged'!$C$5:$C$1004=C147)*('Who Engaged'!$P$5:$P$1004="Yes"),'Who Engaged'!$D$5:$D$1004&amp;" – "&amp;'Who Engaged'!$F$5:$F$1004&amp;IF('Who Engaged'!$M$5:$M$1004=1," (followed)",""),"")))</f>
        <v/>
      </c>
      <c r="X147" s="27"/>
      <c r="Y147" s="27"/>
      <c r="Z147" s="28"/>
      <c r="AA147" s="25" t="str">
        <f aca="false">IF(OR(A147="",B147="",C147=""),"","https://www.alphanodus.com/contact?utm_source="&amp;IF(B147="X","twitter",LOWER(B147))&amp;"&amp;utm_medium=social&amp;utm_campaign="&amp;IF(E147="","general",LOWER(SUBSTITUTE(SUBSTITUTE(E147," / ","-")," ","-")))&amp;"&amp;utm_content="&amp;LOWER(C147))</f>
        <v/>
      </c>
    </row>
    <row r="148" customFormat="false" ht="15" hidden="false" customHeight="false" outlineLevel="0" collapsed="false">
      <c r="A148" s="29"/>
      <c r="B148" s="28"/>
      <c r="C148" s="28"/>
      <c r="D148" s="27"/>
      <c r="E148" s="28"/>
      <c r="F148" s="28"/>
      <c r="G148" s="28"/>
      <c r="H148" s="22"/>
      <c r="I148" s="22"/>
      <c r="J148" s="22"/>
      <c r="K148" s="22"/>
      <c r="L148" s="22"/>
      <c r="M148" s="22"/>
      <c r="N148" s="22"/>
      <c r="O148" s="22"/>
      <c r="P148" s="23" t="str">
        <f aca="false">IF(OR(A148="",B148="",C148=""),"",IF(COUNT(J148:N148)=0,"",SUM(J148:N148)))</f>
        <v/>
      </c>
      <c r="Q148" s="23" t="str">
        <f aca="false">IF(OR(A148="",B148="",C148=""),"",SUMIFS('Who Engaged'!$I$5:$I$1004,'Who Engaged'!$C$5:$C$1004,C148,'Who Engaged'!$O$5:$O$1004,"Yes")+SUMIFS('Who Engaged'!$J$5:$J$1004,'Who Engaged'!$C$5:$C$1004,C148,'Who Engaged'!$O$5:$O$1004,"Yes")+SUMIFS('Who Engaged'!$K$5:$K$1004,'Who Engaged'!$C$5:$C$1004,C148,'Who Engaged'!$O$5:$O$1004,"Yes")+SUMIFS('Who Engaged'!$L$5:$L$1004,'Who Engaged'!$C$5:$C$1004,C148,'Who Engaged'!$O$5:$O$1004,"Yes"))</f>
        <v/>
      </c>
      <c r="R148" s="23" t="str">
        <f aca="false">IF(OR(OR(A148="",B148="",C148=""),P148=""),"",MAX(0,P148-N(Q148)))</f>
        <v/>
      </c>
      <c r="S148" s="24" t="str">
        <f aca="false">IF(OR(OR(A148="",B148="",C148=""),R148=""),"",IFERROR(R148/(IF(N(H148)&gt;0,H148,IF(N(I148)&gt;0,I148,IF(COUNTIFS($B$16:$B$215,B148,$H$16:$H$215,"&gt;0")+COUNTIFS($B$16:$B$215,B148,$I$16:$I$215,"&gt;0")&gt;0,"",INDEX($B$5:$B$7,MATCH(B148,$A$5:$A$7,0)))))),""))</f>
        <v/>
      </c>
      <c r="T148" s="25" t="str">
        <f aca="false">IF(OR(A148="",B148="",C148=""),"",IF(OR(S148="",COUNTIFS($B$16:$B$215,B148,$S$16:$S$215,"&gt;=0")&lt;2),"No Data Yet",IFERROR(IF(S148/AVERAGEIFS($S$16:$S$215,$B$16:$B$215,B148)&gt;=1.2,"Good",IF(S148/AVERAGEIFS($S$16:$S$215,$B$16:$B$215,B148)&gt;=0.8,"Average","Below Standard")),"Average")))</f>
        <v/>
      </c>
      <c r="U148" s="23" t="str">
        <f aca="false">IF(OR(A148="",B148="",C148=""),"",COUNTIFS('Who Engaged'!$C$5:$C$1004,C148,'Who Engaged'!$P$5:$P$1004,"Yes",'Who Engaged'!$N$5:$N$1004,1))</f>
        <v/>
      </c>
      <c r="V148" s="23" t="str">
        <f aca="false">IF(OR(A148="",B148="",C148=""),"",COUNTIFS('Who Engaged'!$C$5:$C$1004,C148,'Who Engaged'!$P$5:$P$1004,"Yes",'Who Engaged'!$M$5:$M$1004,1))</f>
        <v/>
      </c>
      <c r="W148" s="26" t="str">
        <f aca="false" t="array" ref="W148:W148">IF(OR(A148="",B148="",C148=""),"",_xlfn.TEXTJOIN("; ",TRUE(),IF(('Who Engaged'!$C$5:$C$1004=C148)*('Who Engaged'!$P$5:$P$1004="Yes"),'Who Engaged'!$D$5:$D$1004&amp;" – "&amp;'Who Engaged'!$F$5:$F$1004&amp;IF('Who Engaged'!$M$5:$M$1004=1," (followed)",""),"")))</f>
        <v/>
      </c>
      <c r="X148" s="27"/>
      <c r="Y148" s="27"/>
      <c r="Z148" s="28"/>
      <c r="AA148" s="25" t="str">
        <f aca="false">IF(OR(A148="",B148="",C148=""),"","https://www.alphanodus.com/contact?utm_source="&amp;IF(B148="X","twitter",LOWER(B148))&amp;"&amp;utm_medium=social&amp;utm_campaign="&amp;IF(E148="","general",LOWER(SUBSTITUTE(SUBSTITUTE(E148," / ","-")," ","-")))&amp;"&amp;utm_content="&amp;LOWER(C148))</f>
        <v/>
      </c>
    </row>
    <row r="149" customFormat="false" ht="15" hidden="false" customHeight="false" outlineLevel="0" collapsed="false">
      <c r="A149" s="29"/>
      <c r="B149" s="28"/>
      <c r="C149" s="28"/>
      <c r="D149" s="27"/>
      <c r="E149" s="28"/>
      <c r="F149" s="28"/>
      <c r="G149" s="28"/>
      <c r="H149" s="22"/>
      <c r="I149" s="22"/>
      <c r="J149" s="22"/>
      <c r="K149" s="22"/>
      <c r="L149" s="22"/>
      <c r="M149" s="22"/>
      <c r="N149" s="22"/>
      <c r="O149" s="22"/>
      <c r="P149" s="23" t="str">
        <f aca="false">IF(OR(A149="",B149="",C149=""),"",IF(COUNT(J149:N149)=0,"",SUM(J149:N149)))</f>
        <v/>
      </c>
      <c r="Q149" s="23" t="str">
        <f aca="false">IF(OR(A149="",B149="",C149=""),"",SUMIFS('Who Engaged'!$I$5:$I$1004,'Who Engaged'!$C$5:$C$1004,C149,'Who Engaged'!$O$5:$O$1004,"Yes")+SUMIFS('Who Engaged'!$J$5:$J$1004,'Who Engaged'!$C$5:$C$1004,C149,'Who Engaged'!$O$5:$O$1004,"Yes")+SUMIFS('Who Engaged'!$K$5:$K$1004,'Who Engaged'!$C$5:$C$1004,C149,'Who Engaged'!$O$5:$O$1004,"Yes")+SUMIFS('Who Engaged'!$L$5:$L$1004,'Who Engaged'!$C$5:$C$1004,C149,'Who Engaged'!$O$5:$O$1004,"Yes"))</f>
        <v/>
      </c>
      <c r="R149" s="23" t="str">
        <f aca="false">IF(OR(OR(A149="",B149="",C149=""),P149=""),"",MAX(0,P149-N(Q149)))</f>
        <v/>
      </c>
      <c r="S149" s="24" t="str">
        <f aca="false">IF(OR(OR(A149="",B149="",C149=""),R149=""),"",IFERROR(R149/(IF(N(H149)&gt;0,H149,IF(N(I149)&gt;0,I149,IF(COUNTIFS($B$16:$B$215,B149,$H$16:$H$215,"&gt;0")+COUNTIFS($B$16:$B$215,B149,$I$16:$I$215,"&gt;0")&gt;0,"",INDEX($B$5:$B$7,MATCH(B149,$A$5:$A$7,0)))))),""))</f>
        <v/>
      </c>
      <c r="T149" s="25" t="str">
        <f aca="false">IF(OR(A149="",B149="",C149=""),"",IF(OR(S149="",COUNTIFS($B$16:$B$215,B149,$S$16:$S$215,"&gt;=0")&lt;2),"No Data Yet",IFERROR(IF(S149/AVERAGEIFS($S$16:$S$215,$B$16:$B$215,B149)&gt;=1.2,"Good",IF(S149/AVERAGEIFS($S$16:$S$215,$B$16:$B$215,B149)&gt;=0.8,"Average","Below Standard")),"Average")))</f>
        <v/>
      </c>
      <c r="U149" s="23" t="str">
        <f aca="false">IF(OR(A149="",B149="",C149=""),"",COUNTIFS('Who Engaged'!$C$5:$C$1004,C149,'Who Engaged'!$P$5:$P$1004,"Yes",'Who Engaged'!$N$5:$N$1004,1))</f>
        <v/>
      </c>
      <c r="V149" s="23" t="str">
        <f aca="false">IF(OR(A149="",B149="",C149=""),"",COUNTIFS('Who Engaged'!$C$5:$C$1004,C149,'Who Engaged'!$P$5:$P$1004,"Yes",'Who Engaged'!$M$5:$M$1004,1))</f>
        <v/>
      </c>
      <c r="W149" s="26" t="str">
        <f aca="false" t="array" ref="W149:W149">IF(OR(A149="",B149="",C149=""),"",_xlfn.TEXTJOIN("; ",TRUE(),IF(('Who Engaged'!$C$5:$C$1004=C149)*('Who Engaged'!$P$5:$P$1004="Yes"),'Who Engaged'!$D$5:$D$1004&amp;" – "&amp;'Who Engaged'!$F$5:$F$1004&amp;IF('Who Engaged'!$M$5:$M$1004=1," (followed)",""),"")))</f>
        <v/>
      </c>
      <c r="X149" s="27"/>
      <c r="Y149" s="27"/>
      <c r="Z149" s="28"/>
      <c r="AA149" s="25" t="str">
        <f aca="false">IF(OR(A149="",B149="",C149=""),"","https://www.alphanodus.com/contact?utm_source="&amp;IF(B149="X","twitter",LOWER(B149))&amp;"&amp;utm_medium=social&amp;utm_campaign="&amp;IF(E149="","general",LOWER(SUBSTITUTE(SUBSTITUTE(E149," / ","-")," ","-")))&amp;"&amp;utm_content="&amp;LOWER(C149))</f>
        <v/>
      </c>
    </row>
    <row r="150" customFormat="false" ht="15" hidden="false" customHeight="false" outlineLevel="0" collapsed="false">
      <c r="A150" s="29"/>
      <c r="B150" s="28"/>
      <c r="C150" s="28"/>
      <c r="D150" s="27"/>
      <c r="E150" s="28"/>
      <c r="F150" s="28"/>
      <c r="G150" s="28"/>
      <c r="H150" s="22"/>
      <c r="I150" s="22"/>
      <c r="J150" s="22"/>
      <c r="K150" s="22"/>
      <c r="L150" s="22"/>
      <c r="M150" s="22"/>
      <c r="N150" s="22"/>
      <c r="O150" s="22"/>
      <c r="P150" s="23" t="str">
        <f aca="false">IF(OR(A150="",B150="",C150=""),"",IF(COUNT(J150:N150)=0,"",SUM(J150:N150)))</f>
        <v/>
      </c>
      <c r="Q150" s="23" t="str">
        <f aca="false">IF(OR(A150="",B150="",C150=""),"",SUMIFS('Who Engaged'!$I$5:$I$1004,'Who Engaged'!$C$5:$C$1004,C150,'Who Engaged'!$O$5:$O$1004,"Yes")+SUMIFS('Who Engaged'!$J$5:$J$1004,'Who Engaged'!$C$5:$C$1004,C150,'Who Engaged'!$O$5:$O$1004,"Yes")+SUMIFS('Who Engaged'!$K$5:$K$1004,'Who Engaged'!$C$5:$C$1004,C150,'Who Engaged'!$O$5:$O$1004,"Yes")+SUMIFS('Who Engaged'!$L$5:$L$1004,'Who Engaged'!$C$5:$C$1004,C150,'Who Engaged'!$O$5:$O$1004,"Yes"))</f>
        <v/>
      </c>
      <c r="R150" s="23" t="str">
        <f aca="false">IF(OR(OR(A150="",B150="",C150=""),P150=""),"",MAX(0,P150-N(Q150)))</f>
        <v/>
      </c>
      <c r="S150" s="24" t="str">
        <f aca="false">IF(OR(OR(A150="",B150="",C150=""),R150=""),"",IFERROR(R150/(IF(N(H150)&gt;0,H150,IF(N(I150)&gt;0,I150,IF(COUNTIFS($B$16:$B$215,B150,$H$16:$H$215,"&gt;0")+COUNTIFS($B$16:$B$215,B150,$I$16:$I$215,"&gt;0")&gt;0,"",INDEX($B$5:$B$7,MATCH(B150,$A$5:$A$7,0)))))),""))</f>
        <v/>
      </c>
      <c r="T150" s="25" t="str">
        <f aca="false">IF(OR(A150="",B150="",C150=""),"",IF(OR(S150="",COUNTIFS($B$16:$B$215,B150,$S$16:$S$215,"&gt;=0")&lt;2),"No Data Yet",IFERROR(IF(S150/AVERAGEIFS($S$16:$S$215,$B$16:$B$215,B150)&gt;=1.2,"Good",IF(S150/AVERAGEIFS($S$16:$S$215,$B$16:$B$215,B150)&gt;=0.8,"Average","Below Standard")),"Average")))</f>
        <v/>
      </c>
      <c r="U150" s="23" t="str">
        <f aca="false">IF(OR(A150="",B150="",C150=""),"",COUNTIFS('Who Engaged'!$C$5:$C$1004,C150,'Who Engaged'!$P$5:$P$1004,"Yes",'Who Engaged'!$N$5:$N$1004,1))</f>
        <v/>
      </c>
      <c r="V150" s="23" t="str">
        <f aca="false">IF(OR(A150="",B150="",C150=""),"",COUNTIFS('Who Engaged'!$C$5:$C$1004,C150,'Who Engaged'!$P$5:$P$1004,"Yes",'Who Engaged'!$M$5:$M$1004,1))</f>
        <v/>
      </c>
      <c r="W150" s="26" t="str">
        <f aca="false" t="array" ref="W150:W150">IF(OR(A150="",B150="",C150=""),"",_xlfn.TEXTJOIN("; ",TRUE(),IF(('Who Engaged'!$C$5:$C$1004=C150)*('Who Engaged'!$P$5:$P$1004="Yes"),'Who Engaged'!$D$5:$D$1004&amp;" – "&amp;'Who Engaged'!$F$5:$F$1004&amp;IF('Who Engaged'!$M$5:$M$1004=1," (followed)",""),"")))</f>
        <v/>
      </c>
      <c r="X150" s="27"/>
      <c r="Y150" s="27"/>
      <c r="Z150" s="28"/>
      <c r="AA150" s="25" t="str">
        <f aca="false">IF(OR(A150="",B150="",C150=""),"","https://www.alphanodus.com/contact?utm_source="&amp;IF(B150="X","twitter",LOWER(B150))&amp;"&amp;utm_medium=social&amp;utm_campaign="&amp;IF(E150="","general",LOWER(SUBSTITUTE(SUBSTITUTE(E150," / ","-")," ","-")))&amp;"&amp;utm_content="&amp;LOWER(C150))</f>
        <v/>
      </c>
    </row>
    <row r="151" customFormat="false" ht="15" hidden="false" customHeight="false" outlineLevel="0" collapsed="false">
      <c r="A151" s="29"/>
      <c r="B151" s="28"/>
      <c r="C151" s="28"/>
      <c r="D151" s="27"/>
      <c r="E151" s="28"/>
      <c r="F151" s="28"/>
      <c r="G151" s="28"/>
      <c r="H151" s="22"/>
      <c r="I151" s="22"/>
      <c r="J151" s="22"/>
      <c r="K151" s="22"/>
      <c r="L151" s="22"/>
      <c r="M151" s="22"/>
      <c r="N151" s="22"/>
      <c r="O151" s="22"/>
      <c r="P151" s="23" t="str">
        <f aca="false">IF(OR(A151="",B151="",C151=""),"",IF(COUNT(J151:N151)=0,"",SUM(J151:N151)))</f>
        <v/>
      </c>
      <c r="Q151" s="23" t="str">
        <f aca="false">IF(OR(A151="",B151="",C151=""),"",SUMIFS('Who Engaged'!$I$5:$I$1004,'Who Engaged'!$C$5:$C$1004,C151,'Who Engaged'!$O$5:$O$1004,"Yes")+SUMIFS('Who Engaged'!$J$5:$J$1004,'Who Engaged'!$C$5:$C$1004,C151,'Who Engaged'!$O$5:$O$1004,"Yes")+SUMIFS('Who Engaged'!$K$5:$K$1004,'Who Engaged'!$C$5:$C$1004,C151,'Who Engaged'!$O$5:$O$1004,"Yes")+SUMIFS('Who Engaged'!$L$5:$L$1004,'Who Engaged'!$C$5:$C$1004,C151,'Who Engaged'!$O$5:$O$1004,"Yes"))</f>
        <v/>
      </c>
      <c r="R151" s="23" t="str">
        <f aca="false">IF(OR(OR(A151="",B151="",C151=""),P151=""),"",MAX(0,P151-N(Q151)))</f>
        <v/>
      </c>
      <c r="S151" s="24" t="str">
        <f aca="false">IF(OR(OR(A151="",B151="",C151=""),R151=""),"",IFERROR(R151/(IF(N(H151)&gt;0,H151,IF(N(I151)&gt;0,I151,IF(COUNTIFS($B$16:$B$215,B151,$H$16:$H$215,"&gt;0")+COUNTIFS($B$16:$B$215,B151,$I$16:$I$215,"&gt;0")&gt;0,"",INDEX($B$5:$B$7,MATCH(B151,$A$5:$A$7,0)))))),""))</f>
        <v/>
      </c>
      <c r="T151" s="25" t="str">
        <f aca="false">IF(OR(A151="",B151="",C151=""),"",IF(OR(S151="",COUNTIFS($B$16:$B$215,B151,$S$16:$S$215,"&gt;=0")&lt;2),"No Data Yet",IFERROR(IF(S151/AVERAGEIFS($S$16:$S$215,$B$16:$B$215,B151)&gt;=1.2,"Good",IF(S151/AVERAGEIFS($S$16:$S$215,$B$16:$B$215,B151)&gt;=0.8,"Average","Below Standard")),"Average")))</f>
        <v/>
      </c>
      <c r="U151" s="23" t="str">
        <f aca="false">IF(OR(A151="",B151="",C151=""),"",COUNTIFS('Who Engaged'!$C$5:$C$1004,C151,'Who Engaged'!$P$5:$P$1004,"Yes",'Who Engaged'!$N$5:$N$1004,1))</f>
        <v/>
      </c>
      <c r="V151" s="23" t="str">
        <f aca="false">IF(OR(A151="",B151="",C151=""),"",COUNTIFS('Who Engaged'!$C$5:$C$1004,C151,'Who Engaged'!$P$5:$P$1004,"Yes",'Who Engaged'!$M$5:$M$1004,1))</f>
        <v/>
      </c>
      <c r="W151" s="26" t="str">
        <f aca="false" t="array" ref="W151:W151">IF(OR(A151="",B151="",C151=""),"",_xlfn.TEXTJOIN("; ",TRUE(),IF(('Who Engaged'!$C$5:$C$1004=C151)*('Who Engaged'!$P$5:$P$1004="Yes"),'Who Engaged'!$D$5:$D$1004&amp;" – "&amp;'Who Engaged'!$F$5:$F$1004&amp;IF('Who Engaged'!$M$5:$M$1004=1," (followed)",""),"")))</f>
        <v/>
      </c>
      <c r="X151" s="27"/>
      <c r="Y151" s="27"/>
      <c r="Z151" s="28"/>
      <c r="AA151" s="25" t="str">
        <f aca="false">IF(OR(A151="",B151="",C151=""),"","https://www.alphanodus.com/contact?utm_source="&amp;IF(B151="X","twitter",LOWER(B151))&amp;"&amp;utm_medium=social&amp;utm_campaign="&amp;IF(E151="","general",LOWER(SUBSTITUTE(SUBSTITUTE(E151," / ","-")," ","-")))&amp;"&amp;utm_content="&amp;LOWER(C151))</f>
        <v/>
      </c>
    </row>
    <row r="152" customFormat="false" ht="15" hidden="false" customHeight="false" outlineLevel="0" collapsed="false">
      <c r="A152" s="29"/>
      <c r="B152" s="28"/>
      <c r="C152" s="28"/>
      <c r="D152" s="27"/>
      <c r="E152" s="28"/>
      <c r="F152" s="28"/>
      <c r="G152" s="28"/>
      <c r="H152" s="22"/>
      <c r="I152" s="22"/>
      <c r="J152" s="22"/>
      <c r="K152" s="22"/>
      <c r="L152" s="22"/>
      <c r="M152" s="22"/>
      <c r="N152" s="22"/>
      <c r="O152" s="22"/>
      <c r="P152" s="23" t="str">
        <f aca="false">IF(OR(A152="",B152="",C152=""),"",IF(COUNT(J152:N152)=0,"",SUM(J152:N152)))</f>
        <v/>
      </c>
      <c r="Q152" s="23" t="str">
        <f aca="false">IF(OR(A152="",B152="",C152=""),"",SUMIFS('Who Engaged'!$I$5:$I$1004,'Who Engaged'!$C$5:$C$1004,C152,'Who Engaged'!$O$5:$O$1004,"Yes")+SUMIFS('Who Engaged'!$J$5:$J$1004,'Who Engaged'!$C$5:$C$1004,C152,'Who Engaged'!$O$5:$O$1004,"Yes")+SUMIFS('Who Engaged'!$K$5:$K$1004,'Who Engaged'!$C$5:$C$1004,C152,'Who Engaged'!$O$5:$O$1004,"Yes")+SUMIFS('Who Engaged'!$L$5:$L$1004,'Who Engaged'!$C$5:$C$1004,C152,'Who Engaged'!$O$5:$O$1004,"Yes"))</f>
        <v/>
      </c>
      <c r="R152" s="23" t="str">
        <f aca="false">IF(OR(OR(A152="",B152="",C152=""),P152=""),"",MAX(0,P152-N(Q152)))</f>
        <v/>
      </c>
      <c r="S152" s="24" t="str">
        <f aca="false">IF(OR(OR(A152="",B152="",C152=""),R152=""),"",IFERROR(R152/(IF(N(H152)&gt;0,H152,IF(N(I152)&gt;0,I152,IF(COUNTIFS($B$16:$B$215,B152,$H$16:$H$215,"&gt;0")+COUNTIFS($B$16:$B$215,B152,$I$16:$I$215,"&gt;0")&gt;0,"",INDEX($B$5:$B$7,MATCH(B152,$A$5:$A$7,0)))))),""))</f>
        <v/>
      </c>
      <c r="T152" s="25" t="str">
        <f aca="false">IF(OR(A152="",B152="",C152=""),"",IF(OR(S152="",COUNTIFS($B$16:$B$215,B152,$S$16:$S$215,"&gt;=0")&lt;2),"No Data Yet",IFERROR(IF(S152/AVERAGEIFS($S$16:$S$215,$B$16:$B$215,B152)&gt;=1.2,"Good",IF(S152/AVERAGEIFS($S$16:$S$215,$B$16:$B$215,B152)&gt;=0.8,"Average","Below Standard")),"Average")))</f>
        <v/>
      </c>
      <c r="U152" s="23" t="str">
        <f aca="false">IF(OR(A152="",B152="",C152=""),"",COUNTIFS('Who Engaged'!$C$5:$C$1004,C152,'Who Engaged'!$P$5:$P$1004,"Yes",'Who Engaged'!$N$5:$N$1004,1))</f>
        <v/>
      </c>
      <c r="V152" s="23" t="str">
        <f aca="false">IF(OR(A152="",B152="",C152=""),"",COUNTIFS('Who Engaged'!$C$5:$C$1004,C152,'Who Engaged'!$P$5:$P$1004,"Yes",'Who Engaged'!$M$5:$M$1004,1))</f>
        <v/>
      </c>
      <c r="W152" s="26" t="str">
        <f aca="false" t="array" ref="W152:W152">IF(OR(A152="",B152="",C152=""),"",_xlfn.TEXTJOIN("; ",TRUE(),IF(('Who Engaged'!$C$5:$C$1004=C152)*('Who Engaged'!$P$5:$P$1004="Yes"),'Who Engaged'!$D$5:$D$1004&amp;" – "&amp;'Who Engaged'!$F$5:$F$1004&amp;IF('Who Engaged'!$M$5:$M$1004=1," (followed)",""),"")))</f>
        <v/>
      </c>
      <c r="X152" s="27"/>
      <c r="Y152" s="27"/>
      <c r="Z152" s="28"/>
      <c r="AA152" s="25" t="str">
        <f aca="false">IF(OR(A152="",B152="",C152=""),"","https://www.alphanodus.com/contact?utm_source="&amp;IF(B152="X","twitter",LOWER(B152))&amp;"&amp;utm_medium=social&amp;utm_campaign="&amp;IF(E152="","general",LOWER(SUBSTITUTE(SUBSTITUTE(E152," / ","-")," ","-")))&amp;"&amp;utm_content="&amp;LOWER(C152))</f>
        <v/>
      </c>
    </row>
    <row r="153" customFormat="false" ht="15" hidden="false" customHeight="false" outlineLevel="0" collapsed="false">
      <c r="A153" s="29"/>
      <c r="B153" s="28"/>
      <c r="C153" s="28"/>
      <c r="D153" s="27"/>
      <c r="E153" s="28"/>
      <c r="F153" s="28"/>
      <c r="G153" s="28"/>
      <c r="H153" s="22"/>
      <c r="I153" s="22"/>
      <c r="J153" s="22"/>
      <c r="K153" s="22"/>
      <c r="L153" s="22"/>
      <c r="M153" s="22"/>
      <c r="N153" s="22"/>
      <c r="O153" s="22"/>
      <c r="P153" s="23" t="str">
        <f aca="false">IF(OR(A153="",B153="",C153=""),"",IF(COUNT(J153:N153)=0,"",SUM(J153:N153)))</f>
        <v/>
      </c>
      <c r="Q153" s="23" t="str">
        <f aca="false">IF(OR(A153="",B153="",C153=""),"",SUMIFS('Who Engaged'!$I$5:$I$1004,'Who Engaged'!$C$5:$C$1004,C153,'Who Engaged'!$O$5:$O$1004,"Yes")+SUMIFS('Who Engaged'!$J$5:$J$1004,'Who Engaged'!$C$5:$C$1004,C153,'Who Engaged'!$O$5:$O$1004,"Yes")+SUMIFS('Who Engaged'!$K$5:$K$1004,'Who Engaged'!$C$5:$C$1004,C153,'Who Engaged'!$O$5:$O$1004,"Yes")+SUMIFS('Who Engaged'!$L$5:$L$1004,'Who Engaged'!$C$5:$C$1004,C153,'Who Engaged'!$O$5:$O$1004,"Yes"))</f>
        <v/>
      </c>
      <c r="R153" s="23" t="str">
        <f aca="false">IF(OR(OR(A153="",B153="",C153=""),P153=""),"",MAX(0,P153-N(Q153)))</f>
        <v/>
      </c>
      <c r="S153" s="24" t="str">
        <f aca="false">IF(OR(OR(A153="",B153="",C153=""),R153=""),"",IFERROR(R153/(IF(N(H153)&gt;0,H153,IF(N(I153)&gt;0,I153,IF(COUNTIFS($B$16:$B$215,B153,$H$16:$H$215,"&gt;0")+COUNTIFS($B$16:$B$215,B153,$I$16:$I$215,"&gt;0")&gt;0,"",INDEX($B$5:$B$7,MATCH(B153,$A$5:$A$7,0)))))),""))</f>
        <v/>
      </c>
      <c r="T153" s="25" t="str">
        <f aca="false">IF(OR(A153="",B153="",C153=""),"",IF(OR(S153="",COUNTIFS($B$16:$B$215,B153,$S$16:$S$215,"&gt;=0")&lt;2),"No Data Yet",IFERROR(IF(S153/AVERAGEIFS($S$16:$S$215,$B$16:$B$215,B153)&gt;=1.2,"Good",IF(S153/AVERAGEIFS($S$16:$S$215,$B$16:$B$215,B153)&gt;=0.8,"Average","Below Standard")),"Average")))</f>
        <v/>
      </c>
      <c r="U153" s="23" t="str">
        <f aca="false">IF(OR(A153="",B153="",C153=""),"",COUNTIFS('Who Engaged'!$C$5:$C$1004,C153,'Who Engaged'!$P$5:$P$1004,"Yes",'Who Engaged'!$N$5:$N$1004,1))</f>
        <v/>
      </c>
      <c r="V153" s="23" t="str">
        <f aca="false">IF(OR(A153="",B153="",C153=""),"",COUNTIFS('Who Engaged'!$C$5:$C$1004,C153,'Who Engaged'!$P$5:$P$1004,"Yes",'Who Engaged'!$M$5:$M$1004,1))</f>
        <v/>
      </c>
      <c r="W153" s="26" t="str">
        <f aca="false" t="array" ref="W153:W153">IF(OR(A153="",B153="",C153=""),"",_xlfn.TEXTJOIN("; ",TRUE(),IF(('Who Engaged'!$C$5:$C$1004=C153)*('Who Engaged'!$P$5:$P$1004="Yes"),'Who Engaged'!$D$5:$D$1004&amp;" – "&amp;'Who Engaged'!$F$5:$F$1004&amp;IF('Who Engaged'!$M$5:$M$1004=1," (followed)",""),"")))</f>
        <v/>
      </c>
      <c r="X153" s="27"/>
      <c r="Y153" s="27"/>
      <c r="Z153" s="28"/>
      <c r="AA153" s="25" t="str">
        <f aca="false">IF(OR(A153="",B153="",C153=""),"","https://www.alphanodus.com/contact?utm_source="&amp;IF(B153="X","twitter",LOWER(B153))&amp;"&amp;utm_medium=social&amp;utm_campaign="&amp;IF(E153="","general",LOWER(SUBSTITUTE(SUBSTITUTE(E153," / ","-")," ","-")))&amp;"&amp;utm_content="&amp;LOWER(C153))</f>
        <v/>
      </c>
    </row>
    <row r="154" customFormat="false" ht="15" hidden="false" customHeight="false" outlineLevel="0" collapsed="false">
      <c r="A154" s="29"/>
      <c r="B154" s="28"/>
      <c r="C154" s="28"/>
      <c r="D154" s="27"/>
      <c r="E154" s="28"/>
      <c r="F154" s="28"/>
      <c r="G154" s="28"/>
      <c r="H154" s="22"/>
      <c r="I154" s="22"/>
      <c r="J154" s="22"/>
      <c r="K154" s="22"/>
      <c r="L154" s="22"/>
      <c r="M154" s="22"/>
      <c r="N154" s="22"/>
      <c r="O154" s="22"/>
      <c r="P154" s="23" t="str">
        <f aca="false">IF(OR(A154="",B154="",C154=""),"",IF(COUNT(J154:N154)=0,"",SUM(J154:N154)))</f>
        <v/>
      </c>
      <c r="Q154" s="23" t="str">
        <f aca="false">IF(OR(A154="",B154="",C154=""),"",SUMIFS('Who Engaged'!$I$5:$I$1004,'Who Engaged'!$C$5:$C$1004,C154,'Who Engaged'!$O$5:$O$1004,"Yes")+SUMIFS('Who Engaged'!$J$5:$J$1004,'Who Engaged'!$C$5:$C$1004,C154,'Who Engaged'!$O$5:$O$1004,"Yes")+SUMIFS('Who Engaged'!$K$5:$K$1004,'Who Engaged'!$C$5:$C$1004,C154,'Who Engaged'!$O$5:$O$1004,"Yes")+SUMIFS('Who Engaged'!$L$5:$L$1004,'Who Engaged'!$C$5:$C$1004,C154,'Who Engaged'!$O$5:$O$1004,"Yes"))</f>
        <v/>
      </c>
      <c r="R154" s="23" t="str">
        <f aca="false">IF(OR(OR(A154="",B154="",C154=""),P154=""),"",MAX(0,P154-N(Q154)))</f>
        <v/>
      </c>
      <c r="S154" s="24" t="str">
        <f aca="false">IF(OR(OR(A154="",B154="",C154=""),R154=""),"",IFERROR(R154/(IF(N(H154)&gt;0,H154,IF(N(I154)&gt;0,I154,IF(COUNTIFS($B$16:$B$215,B154,$H$16:$H$215,"&gt;0")+COUNTIFS($B$16:$B$215,B154,$I$16:$I$215,"&gt;0")&gt;0,"",INDEX($B$5:$B$7,MATCH(B154,$A$5:$A$7,0)))))),""))</f>
        <v/>
      </c>
      <c r="T154" s="25" t="str">
        <f aca="false">IF(OR(A154="",B154="",C154=""),"",IF(OR(S154="",COUNTIFS($B$16:$B$215,B154,$S$16:$S$215,"&gt;=0")&lt;2),"No Data Yet",IFERROR(IF(S154/AVERAGEIFS($S$16:$S$215,$B$16:$B$215,B154)&gt;=1.2,"Good",IF(S154/AVERAGEIFS($S$16:$S$215,$B$16:$B$215,B154)&gt;=0.8,"Average","Below Standard")),"Average")))</f>
        <v/>
      </c>
      <c r="U154" s="23" t="str">
        <f aca="false">IF(OR(A154="",B154="",C154=""),"",COUNTIFS('Who Engaged'!$C$5:$C$1004,C154,'Who Engaged'!$P$5:$P$1004,"Yes",'Who Engaged'!$N$5:$N$1004,1))</f>
        <v/>
      </c>
      <c r="V154" s="23" t="str">
        <f aca="false">IF(OR(A154="",B154="",C154=""),"",COUNTIFS('Who Engaged'!$C$5:$C$1004,C154,'Who Engaged'!$P$5:$P$1004,"Yes",'Who Engaged'!$M$5:$M$1004,1))</f>
        <v/>
      </c>
      <c r="W154" s="26" t="str">
        <f aca="false" t="array" ref="W154:W154">IF(OR(A154="",B154="",C154=""),"",_xlfn.TEXTJOIN("; ",TRUE(),IF(('Who Engaged'!$C$5:$C$1004=C154)*('Who Engaged'!$P$5:$P$1004="Yes"),'Who Engaged'!$D$5:$D$1004&amp;" – "&amp;'Who Engaged'!$F$5:$F$1004&amp;IF('Who Engaged'!$M$5:$M$1004=1," (followed)",""),"")))</f>
        <v/>
      </c>
      <c r="X154" s="27"/>
      <c r="Y154" s="27"/>
      <c r="Z154" s="28"/>
      <c r="AA154" s="25" t="str">
        <f aca="false">IF(OR(A154="",B154="",C154=""),"","https://www.alphanodus.com/contact?utm_source="&amp;IF(B154="X","twitter",LOWER(B154))&amp;"&amp;utm_medium=social&amp;utm_campaign="&amp;IF(E154="","general",LOWER(SUBSTITUTE(SUBSTITUTE(E154," / ","-")," ","-")))&amp;"&amp;utm_content="&amp;LOWER(C154))</f>
        <v/>
      </c>
    </row>
    <row r="155" customFormat="false" ht="15" hidden="false" customHeight="false" outlineLevel="0" collapsed="false">
      <c r="A155" s="29"/>
      <c r="B155" s="28"/>
      <c r="C155" s="28"/>
      <c r="D155" s="27"/>
      <c r="E155" s="28"/>
      <c r="F155" s="28"/>
      <c r="G155" s="28"/>
      <c r="H155" s="22"/>
      <c r="I155" s="22"/>
      <c r="J155" s="22"/>
      <c r="K155" s="22"/>
      <c r="L155" s="22"/>
      <c r="M155" s="22"/>
      <c r="N155" s="22"/>
      <c r="O155" s="22"/>
      <c r="P155" s="23" t="str">
        <f aca="false">IF(OR(A155="",B155="",C155=""),"",IF(COUNT(J155:N155)=0,"",SUM(J155:N155)))</f>
        <v/>
      </c>
      <c r="Q155" s="23" t="str">
        <f aca="false">IF(OR(A155="",B155="",C155=""),"",SUMIFS('Who Engaged'!$I$5:$I$1004,'Who Engaged'!$C$5:$C$1004,C155,'Who Engaged'!$O$5:$O$1004,"Yes")+SUMIFS('Who Engaged'!$J$5:$J$1004,'Who Engaged'!$C$5:$C$1004,C155,'Who Engaged'!$O$5:$O$1004,"Yes")+SUMIFS('Who Engaged'!$K$5:$K$1004,'Who Engaged'!$C$5:$C$1004,C155,'Who Engaged'!$O$5:$O$1004,"Yes")+SUMIFS('Who Engaged'!$L$5:$L$1004,'Who Engaged'!$C$5:$C$1004,C155,'Who Engaged'!$O$5:$O$1004,"Yes"))</f>
        <v/>
      </c>
      <c r="R155" s="23" t="str">
        <f aca="false">IF(OR(OR(A155="",B155="",C155=""),P155=""),"",MAX(0,P155-N(Q155)))</f>
        <v/>
      </c>
      <c r="S155" s="24" t="str">
        <f aca="false">IF(OR(OR(A155="",B155="",C155=""),R155=""),"",IFERROR(R155/(IF(N(H155)&gt;0,H155,IF(N(I155)&gt;0,I155,IF(COUNTIFS($B$16:$B$215,B155,$H$16:$H$215,"&gt;0")+COUNTIFS($B$16:$B$215,B155,$I$16:$I$215,"&gt;0")&gt;0,"",INDEX($B$5:$B$7,MATCH(B155,$A$5:$A$7,0)))))),""))</f>
        <v/>
      </c>
      <c r="T155" s="25" t="str">
        <f aca="false">IF(OR(A155="",B155="",C155=""),"",IF(OR(S155="",COUNTIFS($B$16:$B$215,B155,$S$16:$S$215,"&gt;=0")&lt;2),"No Data Yet",IFERROR(IF(S155/AVERAGEIFS($S$16:$S$215,$B$16:$B$215,B155)&gt;=1.2,"Good",IF(S155/AVERAGEIFS($S$16:$S$215,$B$16:$B$215,B155)&gt;=0.8,"Average","Below Standard")),"Average")))</f>
        <v/>
      </c>
      <c r="U155" s="23" t="str">
        <f aca="false">IF(OR(A155="",B155="",C155=""),"",COUNTIFS('Who Engaged'!$C$5:$C$1004,C155,'Who Engaged'!$P$5:$P$1004,"Yes",'Who Engaged'!$N$5:$N$1004,1))</f>
        <v/>
      </c>
      <c r="V155" s="23" t="str">
        <f aca="false">IF(OR(A155="",B155="",C155=""),"",COUNTIFS('Who Engaged'!$C$5:$C$1004,C155,'Who Engaged'!$P$5:$P$1004,"Yes",'Who Engaged'!$M$5:$M$1004,1))</f>
        <v/>
      </c>
      <c r="W155" s="26" t="str">
        <f aca="false" t="array" ref="W155:W155">IF(OR(A155="",B155="",C155=""),"",_xlfn.TEXTJOIN("; ",TRUE(),IF(('Who Engaged'!$C$5:$C$1004=C155)*('Who Engaged'!$P$5:$P$1004="Yes"),'Who Engaged'!$D$5:$D$1004&amp;" – "&amp;'Who Engaged'!$F$5:$F$1004&amp;IF('Who Engaged'!$M$5:$M$1004=1," (followed)",""),"")))</f>
        <v/>
      </c>
      <c r="X155" s="27"/>
      <c r="Y155" s="27"/>
      <c r="Z155" s="28"/>
      <c r="AA155" s="25" t="str">
        <f aca="false">IF(OR(A155="",B155="",C155=""),"","https://www.alphanodus.com/contact?utm_source="&amp;IF(B155="X","twitter",LOWER(B155))&amp;"&amp;utm_medium=social&amp;utm_campaign="&amp;IF(E155="","general",LOWER(SUBSTITUTE(SUBSTITUTE(E155," / ","-")," ","-")))&amp;"&amp;utm_content="&amp;LOWER(C155))</f>
        <v/>
      </c>
    </row>
    <row r="156" customFormat="false" ht="15" hidden="false" customHeight="false" outlineLevel="0" collapsed="false">
      <c r="A156" s="29"/>
      <c r="B156" s="28"/>
      <c r="C156" s="28"/>
      <c r="D156" s="27"/>
      <c r="E156" s="28"/>
      <c r="F156" s="28"/>
      <c r="G156" s="28"/>
      <c r="H156" s="22"/>
      <c r="I156" s="22"/>
      <c r="J156" s="22"/>
      <c r="K156" s="22"/>
      <c r="L156" s="22"/>
      <c r="M156" s="22"/>
      <c r="N156" s="22"/>
      <c r="O156" s="22"/>
      <c r="P156" s="23" t="str">
        <f aca="false">IF(OR(A156="",B156="",C156=""),"",IF(COUNT(J156:N156)=0,"",SUM(J156:N156)))</f>
        <v/>
      </c>
      <c r="Q156" s="23" t="str">
        <f aca="false">IF(OR(A156="",B156="",C156=""),"",SUMIFS('Who Engaged'!$I$5:$I$1004,'Who Engaged'!$C$5:$C$1004,C156,'Who Engaged'!$O$5:$O$1004,"Yes")+SUMIFS('Who Engaged'!$J$5:$J$1004,'Who Engaged'!$C$5:$C$1004,C156,'Who Engaged'!$O$5:$O$1004,"Yes")+SUMIFS('Who Engaged'!$K$5:$K$1004,'Who Engaged'!$C$5:$C$1004,C156,'Who Engaged'!$O$5:$O$1004,"Yes")+SUMIFS('Who Engaged'!$L$5:$L$1004,'Who Engaged'!$C$5:$C$1004,C156,'Who Engaged'!$O$5:$O$1004,"Yes"))</f>
        <v/>
      </c>
      <c r="R156" s="23" t="str">
        <f aca="false">IF(OR(OR(A156="",B156="",C156=""),P156=""),"",MAX(0,P156-N(Q156)))</f>
        <v/>
      </c>
      <c r="S156" s="24" t="str">
        <f aca="false">IF(OR(OR(A156="",B156="",C156=""),R156=""),"",IFERROR(R156/(IF(N(H156)&gt;0,H156,IF(N(I156)&gt;0,I156,IF(COUNTIFS($B$16:$B$215,B156,$H$16:$H$215,"&gt;0")+COUNTIFS($B$16:$B$215,B156,$I$16:$I$215,"&gt;0")&gt;0,"",INDEX($B$5:$B$7,MATCH(B156,$A$5:$A$7,0)))))),""))</f>
        <v/>
      </c>
      <c r="T156" s="25" t="str">
        <f aca="false">IF(OR(A156="",B156="",C156=""),"",IF(OR(S156="",COUNTIFS($B$16:$B$215,B156,$S$16:$S$215,"&gt;=0")&lt;2),"No Data Yet",IFERROR(IF(S156/AVERAGEIFS($S$16:$S$215,$B$16:$B$215,B156)&gt;=1.2,"Good",IF(S156/AVERAGEIFS($S$16:$S$215,$B$16:$B$215,B156)&gt;=0.8,"Average","Below Standard")),"Average")))</f>
        <v/>
      </c>
      <c r="U156" s="23" t="str">
        <f aca="false">IF(OR(A156="",B156="",C156=""),"",COUNTIFS('Who Engaged'!$C$5:$C$1004,C156,'Who Engaged'!$P$5:$P$1004,"Yes",'Who Engaged'!$N$5:$N$1004,1))</f>
        <v/>
      </c>
      <c r="V156" s="23" t="str">
        <f aca="false">IF(OR(A156="",B156="",C156=""),"",COUNTIFS('Who Engaged'!$C$5:$C$1004,C156,'Who Engaged'!$P$5:$P$1004,"Yes",'Who Engaged'!$M$5:$M$1004,1))</f>
        <v/>
      </c>
      <c r="W156" s="26" t="str">
        <f aca="false" t="array" ref="W156:W156">IF(OR(A156="",B156="",C156=""),"",_xlfn.TEXTJOIN("; ",TRUE(),IF(('Who Engaged'!$C$5:$C$1004=C156)*('Who Engaged'!$P$5:$P$1004="Yes"),'Who Engaged'!$D$5:$D$1004&amp;" – "&amp;'Who Engaged'!$F$5:$F$1004&amp;IF('Who Engaged'!$M$5:$M$1004=1," (followed)",""),"")))</f>
        <v/>
      </c>
      <c r="X156" s="27"/>
      <c r="Y156" s="27"/>
      <c r="Z156" s="28"/>
      <c r="AA156" s="25" t="str">
        <f aca="false">IF(OR(A156="",B156="",C156=""),"","https://www.alphanodus.com/contact?utm_source="&amp;IF(B156="X","twitter",LOWER(B156))&amp;"&amp;utm_medium=social&amp;utm_campaign="&amp;IF(E156="","general",LOWER(SUBSTITUTE(SUBSTITUTE(E156," / ","-")," ","-")))&amp;"&amp;utm_content="&amp;LOWER(C156))</f>
        <v/>
      </c>
    </row>
    <row r="157" customFormat="false" ht="15" hidden="false" customHeight="false" outlineLevel="0" collapsed="false">
      <c r="A157" s="29"/>
      <c r="B157" s="28"/>
      <c r="C157" s="28"/>
      <c r="D157" s="27"/>
      <c r="E157" s="28"/>
      <c r="F157" s="28"/>
      <c r="G157" s="28"/>
      <c r="H157" s="22"/>
      <c r="I157" s="22"/>
      <c r="J157" s="22"/>
      <c r="K157" s="22"/>
      <c r="L157" s="22"/>
      <c r="M157" s="22"/>
      <c r="N157" s="22"/>
      <c r="O157" s="22"/>
      <c r="P157" s="23" t="str">
        <f aca="false">IF(OR(A157="",B157="",C157=""),"",IF(COUNT(J157:N157)=0,"",SUM(J157:N157)))</f>
        <v/>
      </c>
      <c r="Q157" s="23" t="str">
        <f aca="false">IF(OR(A157="",B157="",C157=""),"",SUMIFS('Who Engaged'!$I$5:$I$1004,'Who Engaged'!$C$5:$C$1004,C157,'Who Engaged'!$O$5:$O$1004,"Yes")+SUMIFS('Who Engaged'!$J$5:$J$1004,'Who Engaged'!$C$5:$C$1004,C157,'Who Engaged'!$O$5:$O$1004,"Yes")+SUMIFS('Who Engaged'!$K$5:$K$1004,'Who Engaged'!$C$5:$C$1004,C157,'Who Engaged'!$O$5:$O$1004,"Yes")+SUMIFS('Who Engaged'!$L$5:$L$1004,'Who Engaged'!$C$5:$C$1004,C157,'Who Engaged'!$O$5:$O$1004,"Yes"))</f>
        <v/>
      </c>
      <c r="R157" s="23" t="str">
        <f aca="false">IF(OR(OR(A157="",B157="",C157=""),P157=""),"",MAX(0,P157-N(Q157)))</f>
        <v/>
      </c>
      <c r="S157" s="24" t="str">
        <f aca="false">IF(OR(OR(A157="",B157="",C157=""),R157=""),"",IFERROR(R157/(IF(N(H157)&gt;0,H157,IF(N(I157)&gt;0,I157,IF(COUNTIFS($B$16:$B$215,B157,$H$16:$H$215,"&gt;0")+COUNTIFS($B$16:$B$215,B157,$I$16:$I$215,"&gt;0")&gt;0,"",INDEX($B$5:$B$7,MATCH(B157,$A$5:$A$7,0)))))),""))</f>
        <v/>
      </c>
      <c r="T157" s="25" t="str">
        <f aca="false">IF(OR(A157="",B157="",C157=""),"",IF(OR(S157="",COUNTIFS($B$16:$B$215,B157,$S$16:$S$215,"&gt;=0")&lt;2),"No Data Yet",IFERROR(IF(S157/AVERAGEIFS($S$16:$S$215,$B$16:$B$215,B157)&gt;=1.2,"Good",IF(S157/AVERAGEIFS($S$16:$S$215,$B$16:$B$215,B157)&gt;=0.8,"Average","Below Standard")),"Average")))</f>
        <v/>
      </c>
      <c r="U157" s="23" t="str">
        <f aca="false">IF(OR(A157="",B157="",C157=""),"",COUNTIFS('Who Engaged'!$C$5:$C$1004,C157,'Who Engaged'!$P$5:$P$1004,"Yes",'Who Engaged'!$N$5:$N$1004,1))</f>
        <v/>
      </c>
      <c r="V157" s="23" t="str">
        <f aca="false">IF(OR(A157="",B157="",C157=""),"",COUNTIFS('Who Engaged'!$C$5:$C$1004,C157,'Who Engaged'!$P$5:$P$1004,"Yes",'Who Engaged'!$M$5:$M$1004,1))</f>
        <v/>
      </c>
      <c r="W157" s="26" t="str">
        <f aca="false" t="array" ref="W157:W157">IF(OR(A157="",B157="",C157=""),"",_xlfn.TEXTJOIN("; ",TRUE(),IF(('Who Engaged'!$C$5:$C$1004=C157)*('Who Engaged'!$P$5:$P$1004="Yes"),'Who Engaged'!$D$5:$D$1004&amp;" – "&amp;'Who Engaged'!$F$5:$F$1004&amp;IF('Who Engaged'!$M$5:$M$1004=1," (followed)",""),"")))</f>
        <v/>
      </c>
      <c r="X157" s="27"/>
      <c r="Y157" s="27"/>
      <c r="Z157" s="28"/>
      <c r="AA157" s="25" t="str">
        <f aca="false">IF(OR(A157="",B157="",C157=""),"","https://www.alphanodus.com/contact?utm_source="&amp;IF(B157="X","twitter",LOWER(B157))&amp;"&amp;utm_medium=social&amp;utm_campaign="&amp;IF(E157="","general",LOWER(SUBSTITUTE(SUBSTITUTE(E157," / ","-")," ","-")))&amp;"&amp;utm_content="&amp;LOWER(C157))</f>
        <v/>
      </c>
    </row>
    <row r="158" customFormat="false" ht="15" hidden="false" customHeight="false" outlineLevel="0" collapsed="false">
      <c r="A158" s="29"/>
      <c r="B158" s="28"/>
      <c r="C158" s="28"/>
      <c r="D158" s="27"/>
      <c r="E158" s="28"/>
      <c r="F158" s="28"/>
      <c r="G158" s="28"/>
      <c r="H158" s="22"/>
      <c r="I158" s="22"/>
      <c r="J158" s="22"/>
      <c r="K158" s="22"/>
      <c r="L158" s="22"/>
      <c r="M158" s="22"/>
      <c r="N158" s="22"/>
      <c r="O158" s="22"/>
      <c r="P158" s="23" t="str">
        <f aca="false">IF(OR(A158="",B158="",C158=""),"",IF(COUNT(J158:N158)=0,"",SUM(J158:N158)))</f>
        <v/>
      </c>
      <c r="Q158" s="23" t="str">
        <f aca="false">IF(OR(A158="",B158="",C158=""),"",SUMIFS('Who Engaged'!$I$5:$I$1004,'Who Engaged'!$C$5:$C$1004,C158,'Who Engaged'!$O$5:$O$1004,"Yes")+SUMIFS('Who Engaged'!$J$5:$J$1004,'Who Engaged'!$C$5:$C$1004,C158,'Who Engaged'!$O$5:$O$1004,"Yes")+SUMIFS('Who Engaged'!$K$5:$K$1004,'Who Engaged'!$C$5:$C$1004,C158,'Who Engaged'!$O$5:$O$1004,"Yes")+SUMIFS('Who Engaged'!$L$5:$L$1004,'Who Engaged'!$C$5:$C$1004,C158,'Who Engaged'!$O$5:$O$1004,"Yes"))</f>
        <v/>
      </c>
      <c r="R158" s="23" t="str">
        <f aca="false">IF(OR(OR(A158="",B158="",C158=""),P158=""),"",MAX(0,P158-N(Q158)))</f>
        <v/>
      </c>
      <c r="S158" s="24" t="str">
        <f aca="false">IF(OR(OR(A158="",B158="",C158=""),R158=""),"",IFERROR(R158/(IF(N(H158)&gt;0,H158,IF(N(I158)&gt;0,I158,IF(COUNTIFS($B$16:$B$215,B158,$H$16:$H$215,"&gt;0")+COUNTIFS($B$16:$B$215,B158,$I$16:$I$215,"&gt;0")&gt;0,"",INDEX($B$5:$B$7,MATCH(B158,$A$5:$A$7,0)))))),""))</f>
        <v/>
      </c>
      <c r="T158" s="25" t="str">
        <f aca="false">IF(OR(A158="",B158="",C158=""),"",IF(OR(S158="",COUNTIFS($B$16:$B$215,B158,$S$16:$S$215,"&gt;=0")&lt;2),"No Data Yet",IFERROR(IF(S158/AVERAGEIFS($S$16:$S$215,$B$16:$B$215,B158)&gt;=1.2,"Good",IF(S158/AVERAGEIFS($S$16:$S$215,$B$16:$B$215,B158)&gt;=0.8,"Average","Below Standard")),"Average")))</f>
        <v/>
      </c>
      <c r="U158" s="23" t="str">
        <f aca="false">IF(OR(A158="",B158="",C158=""),"",COUNTIFS('Who Engaged'!$C$5:$C$1004,C158,'Who Engaged'!$P$5:$P$1004,"Yes",'Who Engaged'!$N$5:$N$1004,1))</f>
        <v/>
      </c>
      <c r="V158" s="23" t="str">
        <f aca="false">IF(OR(A158="",B158="",C158=""),"",COUNTIFS('Who Engaged'!$C$5:$C$1004,C158,'Who Engaged'!$P$5:$P$1004,"Yes",'Who Engaged'!$M$5:$M$1004,1))</f>
        <v/>
      </c>
      <c r="W158" s="26" t="str">
        <f aca="false" t="array" ref="W158:W158">IF(OR(A158="",B158="",C158=""),"",_xlfn.TEXTJOIN("; ",TRUE(),IF(('Who Engaged'!$C$5:$C$1004=C158)*('Who Engaged'!$P$5:$P$1004="Yes"),'Who Engaged'!$D$5:$D$1004&amp;" – "&amp;'Who Engaged'!$F$5:$F$1004&amp;IF('Who Engaged'!$M$5:$M$1004=1," (followed)",""),"")))</f>
        <v/>
      </c>
      <c r="X158" s="27"/>
      <c r="Y158" s="27"/>
      <c r="Z158" s="28"/>
      <c r="AA158" s="25" t="str">
        <f aca="false">IF(OR(A158="",B158="",C158=""),"","https://www.alphanodus.com/contact?utm_source="&amp;IF(B158="X","twitter",LOWER(B158))&amp;"&amp;utm_medium=social&amp;utm_campaign="&amp;IF(E158="","general",LOWER(SUBSTITUTE(SUBSTITUTE(E158," / ","-")," ","-")))&amp;"&amp;utm_content="&amp;LOWER(C158))</f>
        <v/>
      </c>
    </row>
    <row r="159" customFormat="false" ht="15" hidden="false" customHeight="false" outlineLevel="0" collapsed="false">
      <c r="A159" s="29"/>
      <c r="B159" s="28"/>
      <c r="C159" s="28"/>
      <c r="D159" s="27"/>
      <c r="E159" s="28"/>
      <c r="F159" s="28"/>
      <c r="G159" s="28"/>
      <c r="H159" s="22"/>
      <c r="I159" s="22"/>
      <c r="J159" s="22"/>
      <c r="K159" s="22"/>
      <c r="L159" s="22"/>
      <c r="M159" s="22"/>
      <c r="N159" s="22"/>
      <c r="O159" s="22"/>
      <c r="P159" s="23" t="str">
        <f aca="false">IF(OR(A159="",B159="",C159=""),"",IF(COUNT(J159:N159)=0,"",SUM(J159:N159)))</f>
        <v/>
      </c>
      <c r="Q159" s="23" t="str">
        <f aca="false">IF(OR(A159="",B159="",C159=""),"",SUMIFS('Who Engaged'!$I$5:$I$1004,'Who Engaged'!$C$5:$C$1004,C159,'Who Engaged'!$O$5:$O$1004,"Yes")+SUMIFS('Who Engaged'!$J$5:$J$1004,'Who Engaged'!$C$5:$C$1004,C159,'Who Engaged'!$O$5:$O$1004,"Yes")+SUMIFS('Who Engaged'!$K$5:$K$1004,'Who Engaged'!$C$5:$C$1004,C159,'Who Engaged'!$O$5:$O$1004,"Yes")+SUMIFS('Who Engaged'!$L$5:$L$1004,'Who Engaged'!$C$5:$C$1004,C159,'Who Engaged'!$O$5:$O$1004,"Yes"))</f>
        <v/>
      </c>
      <c r="R159" s="23" t="str">
        <f aca="false">IF(OR(OR(A159="",B159="",C159=""),P159=""),"",MAX(0,P159-N(Q159)))</f>
        <v/>
      </c>
      <c r="S159" s="24" t="str">
        <f aca="false">IF(OR(OR(A159="",B159="",C159=""),R159=""),"",IFERROR(R159/(IF(N(H159)&gt;0,H159,IF(N(I159)&gt;0,I159,IF(COUNTIFS($B$16:$B$215,B159,$H$16:$H$215,"&gt;0")+COUNTIFS($B$16:$B$215,B159,$I$16:$I$215,"&gt;0")&gt;0,"",INDEX($B$5:$B$7,MATCH(B159,$A$5:$A$7,0)))))),""))</f>
        <v/>
      </c>
      <c r="T159" s="25" t="str">
        <f aca="false">IF(OR(A159="",B159="",C159=""),"",IF(OR(S159="",COUNTIFS($B$16:$B$215,B159,$S$16:$S$215,"&gt;=0")&lt;2),"No Data Yet",IFERROR(IF(S159/AVERAGEIFS($S$16:$S$215,$B$16:$B$215,B159)&gt;=1.2,"Good",IF(S159/AVERAGEIFS($S$16:$S$215,$B$16:$B$215,B159)&gt;=0.8,"Average","Below Standard")),"Average")))</f>
        <v/>
      </c>
      <c r="U159" s="23" t="str">
        <f aca="false">IF(OR(A159="",B159="",C159=""),"",COUNTIFS('Who Engaged'!$C$5:$C$1004,C159,'Who Engaged'!$P$5:$P$1004,"Yes",'Who Engaged'!$N$5:$N$1004,1))</f>
        <v/>
      </c>
      <c r="V159" s="23" t="str">
        <f aca="false">IF(OR(A159="",B159="",C159=""),"",COUNTIFS('Who Engaged'!$C$5:$C$1004,C159,'Who Engaged'!$P$5:$P$1004,"Yes",'Who Engaged'!$M$5:$M$1004,1))</f>
        <v/>
      </c>
      <c r="W159" s="26" t="str">
        <f aca="false" t="array" ref="W159:W159">IF(OR(A159="",B159="",C159=""),"",_xlfn.TEXTJOIN("; ",TRUE(),IF(('Who Engaged'!$C$5:$C$1004=C159)*('Who Engaged'!$P$5:$P$1004="Yes"),'Who Engaged'!$D$5:$D$1004&amp;" – "&amp;'Who Engaged'!$F$5:$F$1004&amp;IF('Who Engaged'!$M$5:$M$1004=1," (followed)",""),"")))</f>
        <v/>
      </c>
      <c r="X159" s="27"/>
      <c r="Y159" s="27"/>
      <c r="Z159" s="28"/>
      <c r="AA159" s="25" t="str">
        <f aca="false">IF(OR(A159="",B159="",C159=""),"","https://www.alphanodus.com/contact?utm_source="&amp;IF(B159="X","twitter",LOWER(B159))&amp;"&amp;utm_medium=social&amp;utm_campaign="&amp;IF(E159="","general",LOWER(SUBSTITUTE(SUBSTITUTE(E159," / ","-")," ","-")))&amp;"&amp;utm_content="&amp;LOWER(C159))</f>
        <v/>
      </c>
    </row>
    <row r="160" customFormat="false" ht="15" hidden="false" customHeight="false" outlineLevel="0" collapsed="false">
      <c r="A160" s="29"/>
      <c r="B160" s="28"/>
      <c r="C160" s="28"/>
      <c r="D160" s="27"/>
      <c r="E160" s="28"/>
      <c r="F160" s="28"/>
      <c r="G160" s="28"/>
      <c r="H160" s="22"/>
      <c r="I160" s="22"/>
      <c r="J160" s="22"/>
      <c r="K160" s="22"/>
      <c r="L160" s="22"/>
      <c r="M160" s="22"/>
      <c r="N160" s="22"/>
      <c r="O160" s="22"/>
      <c r="P160" s="23" t="str">
        <f aca="false">IF(OR(A160="",B160="",C160=""),"",IF(COUNT(J160:N160)=0,"",SUM(J160:N160)))</f>
        <v/>
      </c>
      <c r="Q160" s="23" t="str">
        <f aca="false">IF(OR(A160="",B160="",C160=""),"",SUMIFS('Who Engaged'!$I$5:$I$1004,'Who Engaged'!$C$5:$C$1004,C160,'Who Engaged'!$O$5:$O$1004,"Yes")+SUMIFS('Who Engaged'!$J$5:$J$1004,'Who Engaged'!$C$5:$C$1004,C160,'Who Engaged'!$O$5:$O$1004,"Yes")+SUMIFS('Who Engaged'!$K$5:$K$1004,'Who Engaged'!$C$5:$C$1004,C160,'Who Engaged'!$O$5:$O$1004,"Yes")+SUMIFS('Who Engaged'!$L$5:$L$1004,'Who Engaged'!$C$5:$C$1004,C160,'Who Engaged'!$O$5:$O$1004,"Yes"))</f>
        <v/>
      </c>
      <c r="R160" s="23" t="str">
        <f aca="false">IF(OR(OR(A160="",B160="",C160=""),P160=""),"",MAX(0,P160-N(Q160)))</f>
        <v/>
      </c>
      <c r="S160" s="24" t="str">
        <f aca="false">IF(OR(OR(A160="",B160="",C160=""),R160=""),"",IFERROR(R160/(IF(N(H160)&gt;0,H160,IF(N(I160)&gt;0,I160,IF(COUNTIFS($B$16:$B$215,B160,$H$16:$H$215,"&gt;0")+COUNTIFS($B$16:$B$215,B160,$I$16:$I$215,"&gt;0")&gt;0,"",INDEX($B$5:$B$7,MATCH(B160,$A$5:$A$7,0)))))),""))</f>
        <v/>
      </c>
      <c r="T160" s="25" t="str">
        <f aca="false">IF(OR(A160="",B160="",C160=""),"",IF(OR(S160="",COUNTIFS($B$16:$B$215,B160,$S$16:$S$215,"&gt;=0")&lt;2),"No Data Yet",IFERROR(IF(S160/AVERAGEIFS($S$16:$S$215,$B$16:$B$215,B160)&gt;=1.2,"Good",IF(S160/AVERAGEIFS($S$16:$S$215,$B$16:$B$215,B160)&gt;=0.8,"Average","Below Standard")),"Average")))</f>
        <v/>
      </c>
      <c r="U160" s="23" t="str">
        <f aca="false">IF(OR(A160="",B160="",C160=""),"",COUNTIFS('Who Engaged'!$C$5:$C$1004,C160,'Who Engaged'!$P$5:$P$1004,"Yes",'Who Engaged'!$N$5:$N$1004,1))</f>
        <v/>
      </c>
      <c r="V160" s="23" t="str">
        <f aca="false">IF(OR(A160="",B160="",C160=""),"",COUNTIFS('Who Engaged'!$C$5:$C$1004,C160,'Who Engaged'!$P$5:$P$1004,"Yes",'Who Engaged'!$M$5:$M$1004,1))</f>
        <v/>
      </c>
      <c r="W160" s="26" t="str">
        <f aca="false" t="array" ref="W160:W160">IF(OR(A160="",B160="",C160=""),"",_xlfn.TEXTJOIN("; ",TRUE(),IF(('Who Engaged'!$C$5:$C$1004=C160)*('Who Engaged'!$P$5:$P$1004="Yes"),'Who Engaged'!$D$5:$D$1004&amp;" – "&amp;'Who Engaged'!$F$5:$F$1004&amp;IF('Who Engaged'!$M$5:$M$1004=1," (followed)",""),"")))</f>
        <v/>
      </c>
      <c r="X160" s="27"/>
      <c r="Y160" s="27"/>
      <c r="Z160" s="28"/>
      <c r="AA160" s="25" t="str">
        <f aca="false">IF(OR(A160="",B160="",C160=""),"","https://www.alphanodus.com/contact?utm_source="&amp;IF(B160="X","twitter",LOWER(B160))&amp;"&amp;utm_medium=social&amp;utm_campaign="&amp;IF(E160="","general",LOWER(SUBSTITUTE(SUBSTITUTE(E160," / ","-")," ","-")))&amp;"&amp;utm_content="&amp;LOWER(C160))</f>
        <v/>
      </c>
    </row>
    <row r="161" customFormat="false" ht="15" hidden="false" customHeight="false" outlineLevel="0" collapsed="false">
      <c r="A161" s="29"/>
      <c r="B161" s="28"/>
      <c r="C161" s="28"/>
      <c r="D161" s="27"/>
      <c r="E161" s="28"/>
      <c r="F161" s="28"/>
      <c r="G161" s="28"/>
      <c r="H161" s="22"/>
      <c r="I161" s="22"/>
      <c r="J161" s="22"/>
      <c r="K161" s="22"/>
      <c r="L161" s="22"/>
      <c r="M161" s="22"/>
      <c r="N161" s="22"/>
      <c r="O161" s="22"/>
      <c r="P161" s="23" t="str">
        <f aca="false">IF(OR(A161="",B161="",C161=""),"",IF(COUNT(J161:N161)=0,"",SUM(J161:N161)))</f>
        <v/>
      </c>
      <c r="Q161" s="23" t="str">
        <f aca="false">IF(OR(A161="",B161="",C161=""),"",SUMIFS('Who Engaged'!$I$5:$I$1004,'Who Engaged'!$C$5:$C$1004,C161,'Who Engaged'!$O$5:$O$1004,"Yes")+SUMIFS('Who Engaged'!$J$5:$J$1004,'Who Engaged'!$C$5:$C$1004,C161,'Who Engaged'!$O$5:$O$1004,"Yes")+SUMIFS('Who Engaged'!$K$5:$K$1004,'Who Engaged'!$C$5:$C$1004,C161,'Who Engaged'!$O$5:$O$1004,"Yes")+SUMIFS('Who Engaged'!$L$5:$L$1004,'Who Engaged'!$C$5:$C$1004,C161,'Who Engaged'!$O$5:$O$1004,"Yes"))</f>
        <v/>
      </c>
      <c r="R161" s="23" t="str">
        <f aca="false">IF(OR(OR(A161="",B161="",C161=""),P161=""),"",MAX(0,P161-N(Q161)))</f>
        <v/>
      </c>
      <c r="S161" s="24" t="str">
        <f aca="false">IF(OR(OR(A161="",B161="",C161=""),R161=""),"",IFERROR(R161/(IF(N(H161)&gt;0,H161,IF(N(I161)&gt;0,I161,IF(COUNTIFS($B$16:$B$215,B161,$H$16:$H$215,"&gt;0")+COUNTIFS($B$16:$B$215,B161,$I$16:$I$215,"&gt;0")&gt;0,"",INDEX($B$5:$B$7,MATCH(B161,$A$5:$A$7,0)))))),""))</f>
        <v/>
      </c>
      <c r="T161" s="25" t="str">
        <f aca="false">IF(OR(A161="",B161="",C161=""),"",IF(OR(S161="",COUNTIFS($B$16:$B$215,B161,$S$16:$S$215,"&gt;=0")&lt;2),"No Data Yet",IFERROR(IF(S161/AVERAGEIFS($S$16:$S$215,$B$16:$B$215,B161)&gt;=1.2,"Good",IF(S161/AVERAGEIFS($S$16:$S$215,$B$16:$B$215,B161)&gt;=0.8,"Average","Below Standard")),"Average")))</f>
        <v/>
      </c>
      <c r="U161" s="23" t="str">
        <f aca="false">IF(OR(A161="",B161="",C161=""),"",COUNTIFS('Who Engaged'!$C$5:$C$1004,C161,'Who Engaged'!$P$5:$P$1004,"Yes",'Who Engaged'!$N$5:$N$1004,1))</f>
        <v/>
      </c>
      <c r="V161" s="23" t="str">
        <f aca="false">IF(OR(A161="",B161="",C161=""),"",COUNTIFS('Who Engaged'!$C$5:$C$1004,C161,'Who Engaged'!$P$5:$P$1004,"Yes",'Who Engaged'!$M$5:$M$1004,1))</f>
        <v/>
      </c>
      <c r="W161" s="26" t="str">
        <f aca="false" t="array" ref="W161:W161">IF(OR(A161="",B161="",C161=""),"",_xlfn.TEXTJOIN("; ",TRUE(),IF(('Who Engaged'!$C$5:$C$1004=C161)*('Who Engaged'!$P$5:$P$1004="Yes"),'Who Engaged'!$D$5:$D$1004&amp;" – "&amp;'Who Engaged'!$F$5:$F$1004&amp;IF('Who Engaged'!$M$5:$M$1004=1," (followed)",""),"")))</f>
        <v/>
      </c>
      <c r="X161" s="27"/>
      <c r="Y161" s="27"/>
      <c r="Z161" s="28"/>
      <c r="AA161" s="25" t="str">
        <f aca="false">IF(OR(A161="",B161="",C161=""),"","https://www.alphanodus.com/contact?utm_source="&amp;IF(B161="X","twitter",LOWER(B161))&amp;"&amp;utm_medium=social&amp;utm_campaign="&amp;IF(E161="","general",LOWER(SUBSTITUTE(SUBSTITUTE(E161," / ","-")," ","-")))&amp;"&amp;utm_content="&amp;LOWER(C161))</f>
        <v/>
      </c>
    </row>
    <row r="162" customFormat="false" ht="15" hidden="false" customHeight="false" outlineLevel="0" collapsed="false">
      <c r="A162" s="29"/>
      <c r="B162" s="28"/>
      <c r="C162" s="28"/>
      <c r="D162" s="27"/>
      <c r="E162" s="28"/>
      <c r="F162" s="28"/>
      <c r="G162" s="28"/>
      <c r="H162" s="22"/>
      <c r="I162" s="22"/>
      <c r="J162" s="22"/>
      <c r="K162" s="22"/>
      <c r="L162" s="22"/>
      <c r="M162" s="22"/>
      <c r="N162" s="22"/>
      <c r="O162" s="22"/>
      <c r="P162" s="23" t="str">
        <f aca="false">IF(OR(A162="",B162="",C162=""),"",IF(COUNT(J162:N162)=0,"",SUM(J162:N162)))</f>
        <v/>
      </c>
      <c r="Q162" s="23" t="str">
        <f aca="false">IF(OR(A162="",B162="",C162=""),"",SUMIFS('Who Engaged'!$I$5:$I$1004,'Who Engaged'!$C$5:$C$1004,C162,'Who Engaged'!$O$5:$O$1004,"Yes")+SUMIFS('Who Engaged'!$J$5:$J$1004,'Who Engaged'!$C$5:$C$1004,C162,'Who Engaged'!$O$5:$O$1004,"Yes")+SUMIFS('Who Engaged'!$K$5:$K$1004,'Who Engaged'!$C$5:$C$1004,C162,'Who Engaged'!$O$5:$O$1004,"Yes")+SUMIFS('Who Engaged'!$L$5:$L$1004,'Who Engaged'!$C$5:$C$1004,C162,'Who Engaged'!$O$5:$O$1004,"Yes"))</f>
        <v/>
      </c>
      <c r="R162" s="23" t="str">
        <f aca="false">IF(OR(OR(A162="",B162="",C162=""),P162=""),"",MAX(0,P162-N(Q162)))</f>
        <v/>
      </c>
      <c r="S162" s="24" t="str">
        <f aca="false">IF(OR(OR(A162="",B162="",C162=""),R162=""),"",IFERROR(R162/(IF(N(H162)&gt;0,H162,IF(N(I162)&gt;0,I162,IF(COUNTIFS($B$16:$B$215,B162,$H$16:$H$215,"&gt;0")+COUNTIFS($B$16:$B$215,B162,$I$16:$I$215,"&gt;0")&gt;0,"",INDEX($B$5:$B$7,MATCH(B162,$A$5:$A$7,0)))))),""))</f>
        <v/>
      </c>
      <c r="T162" s="25" t="str">
        <f aca="false">IF(OR(A162="",B162="",C162=""),"",IF(OR(S162="",COUNTIFS($B$16:$B$215,B162,$S$16:$S$215,"&gt;=0")&lt;2),"No Data Yet",IFERROR(IF(S162/AVERAGEIFS($S$16:$S$215,$B$16:$B$215,B162)&gt;=1.2,"Good",IF(S162/AVERAGEIFS($S$16:$S$215,$B$16:$B$215,B162)&gt;=0.8,"Average","Below Standard")),"Average")))</f>
        <v/>
      </c>
      <c r="U162" s="23" t="str">
        <f aca="false">IF(OR(A162="",B162="",C162=""),"",COUNTIFS('Who Engaged'!$C$5:$C$1004,C162,'Who Engaged'!$P$5:$P$1004,"Yes",'Who Engaged'!$N$5:$N$1004,1))</f>
        <v/>
      </c>
      <c r="V162" s="23" t="str">
        <f aca="false">IF(OR(A162="",B162="",C162=""),"",COUNTIFS('Who Engaged'!$C$5:$C$1004,C162,'Who Engaged'!$P$5:$P$1004,"Yes",'Who Engaged'!$M$5:$M$1004,1))</f>
        <v/>
      </c>
      <c r="W162" s="26" t="str">
        <f aca="false" t="array" ref="W162:W162">IF(OR(A162="",B162="",C162=""),"",_xlfn.TEXTJOIN("; ",TRUE(),IF(('Who Engaged'!$C$5:$C$1004=C162)*('Who Engaged'!$P$5:$P$1004="Yes"),'Who Engaged'!$D$5:$D$1004&amp;" – "&amp;'Who Engaged'!$F$5:$F$1004&amp;IF('Who Engaged'!$M$5:$M$1004=1," (followed)",""),"")))</f>
        <v/>
      </c>
      <c r="X162" s="27"/>
      <c r="Y162" s="27"/>
      <c r="Z162" s="28"/>
      <c r="AA162" s="25" t="str">
        <f aca="false">IF(OR(A162="",B162="",C162=""),"","https://www.alphanodus.com/contact?utm_source="&amp;IF(B162="X","twitter",LOWER(B162))&amp;"&amp;utm_medium=social&amp;utm_campaign="&amp;IF(E162="","general",LOWER(SUBSTITUTE(SUBSTITUTE(E162," / ","-")," ","-")))&amp;"&amp;utm_content="&amp;LOWER(C162))</f>
        <v/>
      </c>
    </row>
    <row r="163" customFormat="false" ht="15" hidden="false" customHeight="false" outlineLevel="0" collapsed="false">
      <c r="A163" s="29"/>
      <c r="B163" s="28"/>
      <c r="C163" s="28"/>
      <c r="D163" s="27"/>
      <c r="E163" s="28"/>
      <c r="F163" s="28"/>
      <c r="G163" s="28"/>
      <c r="H163" s="22"/>
      <c r="I163" s="22"/>
      <c r="J163" s="22"/>
      <c r="K163" s="22"/>
      <c r="L163" s="22"/>
      <c r="M163" s="22"/>
      <c r="N163" s="22"/>
      <c r="O163" s="22"/>
      <c r="P163" s="23" t="str">
        <f aca="false">IF(OR(A163="",B163="",C163=""),"",IF(COUNT(J163:N163)=0,"",SUM(J163:N163)))</f>
        <v/>
      </c>
      <c r="Q163" s="23" t="str">
        <f aca="false">IF(OR(A163="",B163="",C163=""),"",SUMIFS('Who Engaged'!$I$5:$I$1004,'Who Engaged'!$C$5:$C$1004,C163,'Who Engaged'!$O$5:$O$1004,"Yes")+SUMIFS('Who Engaged'!$J$5:$J$1004,'Who Engaged'!$C$5:$C$1004,C163,'Who Engaged'!$O$5:$O$1004,"Yes")+SUMIFS('Who Engaged'!$K$5:$K$1004,'Who Engaged'!$C$5:$C$1004,C163,'Who Engaged'!$O$5:$O$1004,"Yes")+SUMIFS('Who Engaged'!$L$5:$L$1004,'Who Engaged'!$C$5:$C$1004,C163,'Who Engaged'!$O$5:$O$1004,"Yes"))</f>
        <v/>
      </c>
      <c r="R163" s="23" t="str">
        <f aca="false">IF(OR(OR(A163="",B163="",C163=""),P163=""),"",MAX(0,P163-N(Q163)))</f>
        <v/>
      </c>
      <c r="S163" s="24" t="str">
        <f aca="false">IF(OR(OR(A163="",B163="",C163=""),R163=""),"",IFERROR(R163/(IF(N(H163)&gt;0,H163,IF(N(I163)&gt;0,I163,IF(COUNTIFS($B$16:$B$215,B163,$H$16:$H$215,"&gt;0")+COUNTIFS($B$16:$B$215,B163,$I$16:$I$215,"&gt;0")&gt;0,"",INDEX($B$5:$B$7,MATCH(B163,$A$5:$A$7,0)))))),""))</f>
        <v/>
      </c>
      <c r="T163" s="25" t="str">
        <f aca="false">IF(OR(A163="",B163="",C163=""),"",IF(OR(S163="",COUNTIFS($B$16:$B$215,B163,$S$16:$S$215,"&gt;=0")&lt;2),"No Data Yet",IFERROR(IF(S163/AVERAGEIFS($S$16:$S$215,$B$16:$B$215,B163)&gt;=1.2,"Good",IF(S163/AVERAGEIFS($S$16:$S$215,$B$16:$B$215,B163)&gt;=0.8,"Average","Below Standard")),"Average")))</f>
        <v/>
      </c>
      <c r="U163" s="23" t="str">
        <f aca="false">IF(OR(A163="",B163="",C163=""),"",COUNTIFS('Who Engaged'!$C$5:$C$1004,C163,'Who Engaged'!$P$5:$P$1004,"Yes",'Who Engaged'!$N$5:$N$1004,1))</f>
        <v/>
      </c>
      <c r="V163" s="23" t="str">
        <f aca="false">IF(OR(A163="",B163="",C163=""),"",COUNTIFS('Who Engaged'!$C$5:$C$1004,C163,'Who Engaged'!$P$5:$P$1004,"Yes",'Who Engaged'!$M$5:$M$1004,1))</f>
        <v/>
      </c>
      <c r="W163" s="26" t="str">
        <f aca="false" t="array" ref="W163:W163">IF(OR(A163="",B163="",C163=""),"",_xlfn.TEXTJOIN("; ",TRUE(),IF(('Who Engaged'!$C$5:$C$1004=C163)*('Who Engaged'!$P$5:$P$1004="Yes"),'Who Engaged'!$D$5:$D$1004&amp;" – "&amp;'Who Engaged'!$F$5:$F$1004&amp;IF('Who Engaged'!$M$5:$M$1004=1," (followed)",""),"")))</f>
        <v/>
      </c>
      <c r="X163" s="27"/>
      <c r="Y163" s="27"/>
      <c r="Z163" s="28"/>
      <c r="AA163" s="25" t="str">
        <f aca="false">IF(OR(A163="",B163="",C163=""),"","https://www.alphanodus.com/contact?utm_source="&amp;IF(B163="X","twitter",LOWER(B163))&amp;"&amp;utm_medium=social&amp;utm_campaign="&amp;IF(E163="","general",LOWER(SUBSTITUTE(SUBSTITUTE(E163," / ","-")," ","-")))&amp;"&amp;utm_content="&amp;LOWER(C163))</f>
        <v/>
      </c>
    </row>
    <row r="164" customFormat="false" ht="15" hidden="false" customHeight="false" outlineLevel="0" collapsed="false">
      <c r="A164" s="29"/>
      <c r="B164" s="28"/>
      <c r="C164" s="28"/>
      <c r="D164" s="27"/>
      <c r="E164" s="28"/>
      <c r="F164" s="28"/>
      <c r="G164" s="28"/>
      <c r="H164" s="22"/>
      <c r="I164" s="22"/>
      <c r="J164" s="22"/>
      <c r="K164" s="22"/>
      <c r="L164" s="22"/>
      <c r="M164" s="22"/>
      <c r="N164" s="22"/>
      <c r="O164" s="22"/>
      <c r="P164" s="23" t="str">
        <f aca="false">IF(OR(A164="",B164="",C164=""),"",IF(COUNT(J164:N164)=0,"",SUM(J164:N164)))</f>
        <v/>
      </c>
      <c r="Q164" s="23" t="str">
        <f aca="false">IF(OR(A164="",B164="",C164=""),"",SUMIFS('Who Engaged'!$I$5:$I$1004,'Who Engaged'!$C$5:$C$1004,C164,'Who Engaged'!$O$5:$O$1004,"Yes")+SUMIFS('Who Engaged'!$J$5:$J$1004,'Who Engaged'!$C$5:$C$1004,C164,'Who Engaged'!$O$5:$O$1004,"Yes")+SUMIFS('Who Engaged'!$K$5:$K$1004,'Who Engaged'!$C$5:$C$1004,C164,'Who Engaged'!$O$5:$O$1004,"Yes")+SUMIFS('Who Engaged'!$L$5:$L$1004,'Who Engaged'!$C$5:$C$1004,C164,'Who Engaged'!$O$5:$O$1004,"Yes"))</f>
        <v/>
      </c>
      <c r="R164" s="23" t="str">
        <f aca="false">IF(OR(OR(A164="",B164="",C164=""),P164=""),"",MAX(0,P164-N(Q164)))</f>
        <v/>
      </c>
      <c r="S164" s="24" t="str">
        <f aca="false">IF(OR(OR(A164="",B164="",C164=""),R164=""),"",IFERROR(R164/(IF(N(H164)&gt;0,H164,IF(N(I164)&gt;0,I164,IF(COUNTIFS($B$16:$B$215,B164,$H$16:$H$215,"&gt;0")+COUNTIFS($B$16:$B$215,B164,$I$16:$I$215,"&gt;0")&gt;0,"",INDEX($B$5:$B$7,MATCH(B164,$A$5:$A$7,0)))))),""))</f>
        <v/>
      </c>
      <c r="T164" s="25" t="str">
        <f aca="false">IF(OR(A164="",B164="",C164=""),"",IF(OR(S164="",COUNTIFS($B$16:$B$215,B164,$S$16:$S$215,"&gt;=0")&lt;2),"No Data Yet",IFERROR(IF(S164/AVERAGEIFS($S$16:$S$215,$B$16:$B$215,B164)&gt;=1.2,"Good",IF(S164/AVERAGEIFS($S$16:$S$215,$B$16:$B$215,B164)&gt;=0.8,"Average","Below Standard")),"Average")))</f>
        <v/>
      </c>
      <c r="U164" s="23" t="str">
        <f aca="false">IF(OR(A164="",B164="",C164=""),"",COUNTIFS('Who Engaged'!$C$5:$C$1004,C164,'Who Engaged'!$P$5:$P$1004,"Yes",'Who Engaged'!$N$5:$N$1004,1))</f>
        <v/>
      </c>
      <c r="V164" s="23" t="str">
        <f aca="false">IF(OR(A164="",B164="",C164=""),"",COUNTIFS('Who Engaged'!$C$5:$C$1004,C164,'Who Engaged'!$P$5:$P$1004,"Yes",'Who Engaged'!$M$5:$M$1004,1))</f>
        <v/>
      </c>
      <c r="W164" s="26" t="str">
        <f aca="false" t="array" ref="W164:W164">IF(OR(A164="",B164="",C164=""),"",_xlfn.TEXTJOIN("; ",TRUE(),IF(('Who Engaged'!$C$5:$C$1004=C164)*('Who Engaged'!$P$5:$P$1004="Yes"),'Who Engaged'!$D$5:$D$1004&amp;" – "&amp;'Who Engaged'!$F$5:$F$1004&amp;IF('Who Engaged'!$M$5:$M$1004=1," (followed)",""),"")))</f>
        <v/>
      </c>
      <c r="X164" s="27"/>
      <c r="Y164" s="27"/>
      <c r="Z164" s="28"/>
      <c r="AA164" s="25" t="str">
        <f aca="false">IF(OR(A164="",B164="",C164=""),"","https://www.alphanodus.com/contact?utm_source="&amp;IF(B164="X","twitter",LOWER(B164))&amp;"&amp;utm_medium=social&amp;utm_campaign="&amp;IF(E164="","general",LOWER(SUBSTITUTE(SUBSTITUTE(E164," / ","-")," ","-")))&amp;"&amp;utm_content="&amp;LOWER(C164))</f>
        <v/>
      </c>
    </row>
    <row r="165" customFormat="false" ht="15" hidden="false" customHeight="false" outlineLevel="0" collapsed="false">
      <c r="A165" s="29"/>
      <c r="B165" s="28"/>
      <c r="C165" s="28"/>
      <c r="D165" s="27"/>
      <c r="E165" s="28"/>
      <c r="F165" s="28"/>
      <c r="G165" s="28"/>
      <c r="H165" s="22"/>
      <c r="I165" s="22"/>
      <c r="J165" s="22"/>
      <c r="K165" s="22"/>
      <c r="L165" s="22"/>
      <c r="M165" s="22"/>
      <c r="N165" s="22"/>
      <c r="O165" s="22"/>
      <c r="P165" s="23" t="str">
        <f aca="false">IF(OR(A165="",B165="",C165=""),"",IF(COUNT(J165:N165)=0,"",SUM(J165:N165)))</f>
        <v/>
      </c>
      <c r="Q165" s="23" t="str">
        <f aca="false">IF(OR(A165="",B165="",C165=""),"",SUMIFS('Who Engaged'!$I$5:$I$1004,'Who Engaged'!$C$5:$C$1004,C165,'Who Engaged'!$O$5:$O$1004,"Yes")+SUMIFS('Who Engaged'!$J$5:$J$1004,'Who Engaged'!$C$5:$C$1004,C165,'Who Engaged'!$O$5:$O$1004,"Yes")+SUMIFS('Who Engaged'!$K$5:$K$1004,'Who Engaged'!$C$5:$C$1004,C165,'Who Engaged'!$O$5:$O$1004,"Yes")+SUMIFS('Who Engaged'!$L$5:$L$1004,'Who Engaged'!$C$5:$C$1004,C165,'Who Engaged'!$O$5:$O$1004,"Yes"))</f>
        <v/>
      </c>
      <c r="R165" s="23" t="str">
        <f aca="false">IF(OR(OR(A165="",B165="",C165=""),P165=""),"",MAX(0,P165-N(Q165)))</f>
        <v/>
      </c>
      <c r="S165" s="24" t="str">
        <f aca="false">IF(OR(OR(A165="",B165="",C165=""),R165=""),"",IFERROR(R165/(IF(N(H165)&gt;0,H165,IF(N(I165)&gt;0,I165,IF(COUNTIFS($B$16:$B$215,B165,$H$16:$H$215,"&gt;0")+COUNTIFS($B$16:$B$215,B165,$I$16:$I$215,"&gt;0")&gt;0,"",INDEX($B$5:$B$7,MATCH(B165,$A$5:$A$7,0)))))),""))</f>
        <v/>
      </c>
      <c r="T165" s="25" t="str">
        <f aca="false">IF(OR(A165="",B165="",C165=""),"",IF(OR(S165="",COUNTIFS($B$16:$B$215,B165,$S$16:$S$215,"&gt;=0")&lt;2),"No Data Yet",IFERROR(IF(S165/AVERAGEIFS($S$16:$S$215,$B$16:$B$215,B165)&gt;=1.2,"Good",IF(S165/AVERAGEIFS($S$16:$S$215,$B$16:$B$215,B165)&gt;=0.8,"Average","Below Standard")),"Average")))</f>
        <v/>
      </c>
      <c r="U165" s="23" t="str">
        <f aca="false">IF(OR(A165="",B165="",C165=""),"",COUNTIFS('Who Engaged'!$C$5:$C$1004,C165,'Who Engaged'!$P$5:$P$1004,"Yes",'Who Engaged'!$N$5:$N$1004,1))</f>
        <v/>
      </c>
      <c r="V165" s="23" t="str">
        <f aca="false">IF(OR(A165="",B165="",C165=""),"",COUNTIFS('Who Engaged'!$C$5:$C$1004,C165,'Who Engaged'!$P$5:$P$1004,"Yes",'Who Engaged'!$M$5:$M$1004,1))</f>
        <v/>
      </c>
      <c r="W165" s="26" t="str">
        <f aca="false" t="array" ref="W165:W165">IF(OR(A165="",B165="",C165=""),"",_xlfn.TEXTJOIN("; ",TRUE(),IF(('Who Engaged'!$C$5:$C$1004=C165)*('Who Engaged'!$P$5:$P$1004="Yes"),'Who Engaged'!$D$5:$D$1004&amp;" – "&amp;'Who Engaged'!$F$5:$F$1004&amp;IF('Who Engaged'!$M$5:$M$1004=1," (followed)",""),"")))</f>
        <v/>
      </c>
      <c r="X165" s="27"/>
      <c r="Y165" s="27"/>
      <c r="Z165" s="28"/>
      <c r="AA165" s="25" t="str">
        <f aca="false">IF(OR(A165="",B165="",C165=""),"","https://www.alphanodus.com/contact?utm_source="&amp;IF(B165="X","twitter",LOWER(B165))&amp;"&amp;utm_medium=social&amp;utm_campaign="&amp;IF(E165="","general",LOWER(SUBSTITUTE(SUBSTITUTE(E165," / ","-")," ","-")))&amp;"&amp;utm_content="&amp;LOWER(C165))</f>
        <v/>
      </c>
    </row>
    <row r="166" customFormat="false" ht="15" hidden="false" customHeight="false" outlineLevel="0" collapsed="false">
      <c r="A166" s="29"/>
      <c r="B166" s="28"/>
      <c r="C166" s="28"/>
      <c r="D166" s="27"/>
      <c r="E166" s="28"/>
      <c r="F166" s="28"/>
      <c r="G166" s="28"/>
      <c r="H166" s="22"/>
      <c r="I166" s="22"/>
      <c r="J166" s="22"/>
      <c r="K166" s="22"/>
      <c r="L166" s="22"/>
      <c r="M166" s="22"/>
      <c r="N166" s="22"/>
      <c r="O166" s="22"/>
      <c r="P166" s="23" t="str">
        <f aca="false">IF(OR(A166="",B166="",C166=""),"",IF(COUNT(J166:N166)=0,"",SUM(J166:N166)))</f>
        <v/>
      </c>
      <c r="Q166" s="23" t="str">
        <f aca="false">IF(OR(A166="",B166="",C166=""),"",SUMIFS('Who Engaged'!$I$5:$I$1004,'Who Engaged'!$C$5:$C$1004,C166,'Who Engaged'!$O$5:$O$1004,"Yes")+SUMIFS('Who Engaged'!$J$5:$J$1004,'Who Engaged'!$C$5:$C$1004,C166,'Who Engaged'!$O$5:$O$1004,"Yes")+SUMIFS('Who Engaged'!$K$5:$K$1004,'Who Engaged'!$C$5:$C$1004,C166,'Who Engaged'!$O$5:$O$1004,"Yes")+SUMIFS('Who Engaged'!$L$5:$L$1004,'Who Engaged'!$C$5:$C$1004,C166,'Who Engaged'!$O$5:$O$1004,"Yes"))</f>
        <v/>
      </c>
      <c r="R166" s="23" t="str">
        <f aca="false">IF(OR(OR(A166="",B166="",C166=""),P166=""),"",MAX(0,P166-N(Q166)))</f>
        <v/>
      </c>
      <c r="S166" s="24" t="str">
        <f aca="false">IF(OR(OR(A166="",B166="",C166=""),R166=""),"",IFERROR(R166/(IF(N(H166)&gt;0,H166,IF(N(I166)&gt;0,I166,IF(COUNTIFS($B$16:$B$215,B166,$H$16:$H$215,"&gt;0")+COUNTIFS($B$16:$B$215,B166,$I$16:$I$215,"&gt;0")&gt;0,"",INDEX($B$5:$B$7,MATCH(B166,$A$5:$A$7,0)))))),""))</f>
        <v/>
      </c>
      <c r="T166" s="25" t="str">
        <f aca="false">IF(OR(A166="",B166="",C166=""),"",IF(OR(S166="",COUNTIFS($B$16:$B$215,B166,$S$16:$S$215,"&gt;=0")&lt;2),"No Data Yet",IFERROR(IF(S166/AVERAGEIFS($S$16:$S$215,$B$16:$B$215,B166)&gt;=1.2,"Good",IF(S166/AVERAGEIFS($S$16:$S$215,$B$16:$B$215,B166)&gt;=0.8,"Average","Below Standard")),"Average")))</f>
        <v/>
      </c>
      <c r="U166" s="23" t="str">
        <f aca="false">IF(OR(A166="",B166="",C166=""),"",COUNTIFS('Who Engaged'!$C$5:$C$1004,C166,'Who Engaged'!$P$5:$P$1004,"Yes",'Who Engaged'!$N$5:$N$1004,1))</f>
        <v/>
      </c>
      <c r="V166" s="23" t="str">
        <f aca="false">IF(OR(A166="",B166="",C166=""),"",COUNTIFS('Who Engaged'!$C$5:$C$1004,C166,'Who Engaged'!$P$5:$P$1004,"Yes",'Who Engaged'!$M$5:$M$1004,1))</f>
        <v/>
      </c>
      <c r="W166" s="26" t="str">
        <f aca="false" t="array" ref="W166:W166">IF(OR(A166="",B166="",C166=""),"",_xlfn.TEXTJOIN("; ",TRUE(),IF(('Who Engaged'!$C$5:$C$1004=C166)*('Who Engaged'!$P$5:$P$1004="Yes"),'Who Engaged'!$D$5:$D$1004&amp;" – "&amp;'Who Engaged'!$F$5:$F$1004&amp;IF('Who Engaged'!$M$5:$M$1004=1," (followed)",""),"")))</f>
        <v/>
      </c>
      <c r="X166" s="27"/>
      <c r="Y166" s="27"/>
      <c r="Z166" s="28"/>
      <c r="AA166" s="25" t="str">
        <f aca="false">IF(OR(A166="",B166="",C166=""),"","https://www.alphanodus.com/contact?utm_source="&amp;IF(B166="X","twitter",LOWER(B166))&amp;"&amp;utm_medium=social&amp;utm_campaign="&amp;IF(E166="","general",LOWER(SUBSTITUTE(SUBSTITUTE(E166," / ","-")," ","-")))&amp;"&amp;utm_content="&amp;LOWER(C166))</f>
        <v/>
      </c>
    </row>
    <row r="167" customFormat="false" ht="15" hidden="false" customHeight="false" outlineLevel="0" collapsed="false">
      <c r="A167" s="29"/>
      <c r="B167" s="28"/>
      <c r="C167" s="28"/>
      <c r="D167" s="27"/>
      <c r="E167" s="28"/>
      <c r="F167" s="28"/>
      <c r="G167" s="28"/>
      <c r="H167" s="22"/>
      <c r="I167" s="22"/>
      <c r="J167" s="22"/>
      <c r="K167" s="22"/>
      <c r="L167" s="22"/>
      <c r="M167" s="22"/>
      <c r="N167" s="22"/>
      <c r="O167" s="22"/>
      <c r="P167" s="23" t="str">
        <f aca="false">IF(OR(A167="",B167="",C167=""),"",IF(COUNT(J167:N167)=0,"",SUM(J167:N167)))</f>
        <v/>
      </c>
      <c r="Q167" s="23" t="str">
        <f aca="false">IF(OR(A167="",B167="",C167=""),"",SUMIFS('Who Engaged'!$I$5:$I$1004,'Who Engaged'!$C$5:$C$1004,C167,'Who Engaged'!$O$5:$O$1004,"Yes")+SUMIFS('Who Engaged'!$J$5:$J$1004,'Who Engaged'!$C$5:$C$1004,C167,'Who Engaged'!$O$5:$O$1004,"Yes")+SUMIFS('Who Engaged'!$K$5:$K$1004,'Who Engaged'!$C$5:$C$1004,C167,'Who Engaged'!$O$5:$O$1004,"Yes")+SUMIFS('Who Engaged'!$L$5:$L$1004,'Who Engaged'!$C$5:$C$1004,C167,'Who Engaged'!$O$5:$O$1004,"Yes"))</f>
        <v/>
      </c>
      <c r="R167" s="23" t="str">
        <f aca="false">IF(OR(OR(A167="",B167="",C167=""),P167=""),"",MAX(0,P167-N(Q167)))</f>
        <v/>
      </c>
      <c r="S167" s="24" t="str">
        <f aca="false">IF(OR(OR(A167="",B167="",C167=""),R167=""),"",IFERROR(R167/(IF(N(H167)&gt;0,H167,IF(N(I167)&gt;0,I167,IF(COUNTIFS($B$16:$B$215,B167,$H$16:$H$215,"&gt;0")+COUNTIFS($B$16:$B$215,B167,$I$16:$I$215,"&gt;0")&gt;0,"",INDEX($B$5:$B$7,MATCH(B167,$A$5:$A$7,0)))))),""))</f>
        <v/>
      </c>
      <c r="T167" s="25" t="str">
        <f aca="false">IF(OR(A167="",B167="",C167=""),"",IF(OR(S167="",COUNTIFS($B$16:$B$215,B167,$S$16:$S$215,"&gt;=0")&lt;2),"No Data Yet",IFERROR(IF(S167/AVERAGEIFS($S$16:$S$215,$B$16:$B$215,B167)&gt;=1.2,"Good",IF(S167/AVERAGEIFS($S$16:$S$215,$B$16:$B$215,B167)&gt;=0.8,"Average","Below Standard")),"Average")))</f>
        <v/>
      </c>
      <c r="U167" s="23" t="str">
        <f aca="false">IF(OR(A167="",B167="",C167=""),"",COUNTIFS('Who Engaged'!$C$5:$C$1004,C167,'Who Engaged'!$P$5:$P$1004,"Yes",'Who Engaged'!$N$5:$N$1004,1))</f>
        <v/>
      </c>
      <c r="V167" s="23" t="str">
        <f aca="false">IF(OR(A167="",B167="",C167=""),"",COUNTIFS('Who Engaged'!$C$5:$C$1004,C167,'Who Engaged'!$P$5:$P$1004,"Yes",'Who Engaged'!$M$5:$M$1004,1))</f>
        <v/>
      </c>
      <c r="W167" s="26" t="str">
        <f aca="false" t="array" ref="W167:W167">IF(OR(A167="",B167="",C167=""),"",_xlfn.TEXTJOIN("; ",TRUE(),IF(('Who Engaged'!$C$5:$C$1004=C167)*('Who Engaged'!$P$5:$P$1004="Yes"),'Who Engaged'!$D$5:$D$1004&amp;" – "&amp;'Who Engaged'!$F$5:$F$1004&amp;IF('Who Engaged'!$M$5:$M$1004=1," (followed)",""),"")))</f>
        <v/>
      </c>
      <c r="X167" s="27"/>
      <c r="Y167" s="27"/>
      <c r="Z167" s="28"/>
      <c r="AA167" s="25" t="str">
        <f aca="false">IF(OR(A167="",B167="",C167=""),"","https://www.alphanodus.com/contact?utm_source="&amp;IF(B167="X","twitter",LOWER(B167))&amp;"&amp;utm_medium=social&amp;utm_campaign="&amp;IF(E167="","general",LOWER(SUBSTITUTE(SUBSTITUTE(E167," / ","-")," ","-")))&amp;"&amp;utm_content="&amp;LOWER(C167))</f>
        <v/>
      </c>
    </row>
    <row r="168" customFormat="false" ht="15" hidden="false" customHeight="false" outlineLevel="0" collapsed="false">
      <c r="A168" s="29"/>
      <c r="B168" s="28"/>
      <c r="C168" s="28"/>
      <c r="D168" s="27"/>
      <c r="E168" s="28"/>
      <c r="F168" s="28"/>
      <c r="G168" s="28"/>
      <c r="H168" s="22"/>
      <c r="I168" s="22"/>
      <c r="J168" s="22"/>
      <c r="K168" s="22"/>
      <c r="L168" s="22"/>
      <c r="M168" s="22"/>
      <c r="N168" s="22"/>
      <c r="O168" s="22"/>
      <c r="P168" s="23" t="str">
        <f aca="false">IF(OR(A168="",B168="",C168=""),"",IF(COUNT(J168:N168)=0,"",SUM(J168:N168)))</f>
        <v/>
      </c>
      <c r="Q168" s="23" t="str">
        <f aca="false">IF(OR(A168="",B168="",C168=""),"",SUMIFS('Who Engaged'!$I$5:$I$1004,'Who Engaged'!$C$5:$C$1004,C168,'Who Engaged'!$O$5:$O$1004,"Yes")+SUMIFS('Who Engaged'!$J$5:$J$1004,'Who Engaged'!$C$5:$C$1004,C168,'Who Engaged'!$O$5:$O$1004,"Yes")+SUMIFS('Who Engaged'!$K$5:$K$1004,'Who Engaged'!$C$5:$C$1004,C168,'Who Engaged'!$O$5:$O$1004,"Yes")+SUMIFS('Who Engaged'!$L$5:$L$1004,'Who Engaged'!$C$5:$C$1004,C168,'Who Engaged'!$O$5:$O$1004,"Yes"))</f>
        <v/>
      </c>
      <c r="R168" s="23" t="str">
        <f aca="false">IF(OR(OR(A168="",B168="",C168=""),P168=""),"",MAX(0,P168-N(Q168)))</f>
        <v/>
      </c>
      <c r="S168" s="24" t="str">
        <f aca="false">IF(OR(OR(A168="",B168="",C168=""),R168=""),"",IFERROR(R168/(IF(N(H168)&gt;0,H168,IF(N(I168)&gt;0,I168,IF(COUNTIFS($B$16:$B$215,B168,$H$16:$H$215,"&gt;0")+COUNTIFS($B$16:$B$215,B168,$I$16:$I$215,"&gt;0")&gt;0,"",INDEX($B$5:$B$7,MATCH(B168,$A$5:$A$7,0)))))),""))</f>
        <v/>
      </c>
      <c r="T168" s="25" t="str">
        <f aca="false">IF(OR(A168="",B168="",C168=""),"",IF(OR(S168="",COUNTIFS($B$16:$B$215,B168,$S$16:$S$215,"&gt;=0")&lt;2),"No Data Yet",IFERROR(IF(S168/AVERAGEIFS($S$16:$S$215,$B$16:$B$215,B168)&gt;=1.2,"Good",IF(S168/AVERAGEIFS($S$16:$S$215,$B$16:$B$215,B168)&gt;=0.8,"Average","Below Standard")),"Average")))</f>
        <v/>
      </c>
      <c r="U168" s="23" t="str">
        <f aca="false">IF(OR(A168="",B168="",C168=""),"",COUNTIFS('Who Engaged'!$C$5:$C$1004,C168,'Who Engaged'!$P$5:$P$1004,"Yes",'Who Engaged'!$N$5:$N$1004,1))</f>
        <v/>
      </c>
      <c r="V168" s="23" t="str">
        <f aca="false">IF(OR(A168="",B168="",C168=""),"",COUNTIFS('Who Engaged'!$C$5:$C$1004,C168,'Who Engaged'!$P$5:$P$1004,"Yes",'Who Engaged'!$M$5:$M$1004,1))</f>
        <v/>
      </c>
      <c r="W168" s="26" t="str">
        <f aca="false" t="array" ref="W168:W168">IF(OR(A168="",B168="",C168=""),"",_xlfn.TEXTJOIN("; ",TRUE(),IF(('Who Engaged'!$C$5:$C$1004=C168)*('Who Engaged'!$P$5:$P$1004="Yes"),'Who Engaged'!$D$5:$D$1004&amp;" – "&amp;'Who Engaged'!$F$5:$F$1004&amp;IF('Who Engaged'!$M$5:$M$1004=1," (followed)",""),"")))</f>
        <v/>
      </c>
      <c r="X168" s="27"/>
      <c r="Y168" s="27"/>
      <c r="Z168" s="28"/>
      <c r="AA168" s="25" t="str">
        <f aca="false">IF(OR(A168="",B168="",C168=""),"","https://www.alphanodus.com/contact?utm_source="&amp;IF(B168="X","twitter",LOWER(B168))&amp;"&amp;utm_medium=social&amp;utm_campaign="&amp;IF(E168="","general",LOWER(SUBSTITUTE(SUBSTITUTE(E168," / ","-")," ","-")))&amp;"&amp;utm_content="&amp;LOWER(C168))</f>
        <v/>
      </c>
    </row>
    <row r="169" customFormat="false" ht="15" hidden="false" customHeight="false" outlineLevel="0" collapsed="false">
      <c r="A169" s="29"/>
      <c r="B169" s="28"/>
      <c r="C169" s="28"/>
      <c r="D169" s="27"/>
      <c r="E169" s="28"/>
      <c r="F169" s="28"/>
      <c r="G169" s="28"/>
      <c r="H169" s="22"/>
      <c r="I169" s="22"/>
      <c r="J169" s="22"/>
      <c r="K169" s="22"/>
      <c r="L169" s="22"/>
      <c r="M169" s="22"/>
      <c r="N169" s="22"/>
      <c r="O169" s="22"/>
      <c r="P169" s="23" t="str">
        <f aca="false">IF(OR(A169="",B169="",C169=""),"",IF(COUNT(J169:N169)=0,"",SUM(J169:N169)))</f>
        <v/>
      </c>
      <c r="Q169" s="23" t="str">
        <f aca="false">IF(OR(A169="",B169="",C169=""),"",SUMIFS('Who Engaged'!$I$5:$I$1004,'Who Engaged'!$C$5:$C$1004,C169,'Who Engaged'!$O$5:$O$1004,"Yes")+SUMIFS('Who Engaged'!$J$5:$J$1004,'Who Engaged'!$C$5:$C$1004,C169,'Who Engaged'!$O$5:$O$1004,"Yes")+SUMIFS('Who Engaged'!$K$5:$K$1004,'Who Engaged'!$C$5:$C$1004,C169,'Who Engaged'!$O$5:$O$1004,"Yes")+SUMIFS('Who Engaged'!$L$5:$L$1004,'Who Engaged'!$C$5:$C$1004,C169,'Who Engaged'!$O$5:$O$1004,"Yes"))</f>
        <v/>
      </c>
      <c r="R169" s="23" t="str">
        <f aca="false">IF(OR(OR(A169="",B169="",C169=""),P169=""),"",MAX(0,P169-N(Q169)))</f>
        <v/>
      </c>
      <c r="S169" s="24" t="str">
        <f aca="false">IF(OR(OR(A169="",B169="",C169=""),R169=""),"",IFERROR(R169/(IF(N(H169)&gt;0,H169,IF(N(I169)&gt;0,I169,IF(COUNTIFS($B$16:$B$215,B169,$H$16:$H$215,"&gt;0")+COUNTIFS($B$16:$B$215,B169,$I$16:$I$215,"&gt;0")&gt;0,"",INDEX($B$5:$B$7,MATCH(B169,$A$5:$A$7,0)))))),""))</f>
        <v/>
      </c>
      <c r="T169" s="25" t="str">
        <f aca="false">IF(OR(A169="",B169="",C169=""),"",IF(OR(S169="",COUNTIFS($B$16:$B$215,B169,$S$16:$S$215,"&gt;=0")&lt;2),"No Data Yet",IFERROR(IF(S169/AVERAGEIFS($S$16:$S$215,$B$16:$B$215,B169)&gt;=1.2,"Good",IF(S169/AVERAGEIFS($S$16:$S$215,$B$16:$B$215,B169)&gt;=0.8,"Average","Below Standard")),"Average")))</f>
        <v/>
      </c>
      <c r="U169" s="23" t="str">
        <f aca="false">IF(OR(A169="",B169="",C169=""),"",COUNTIFS('Who Engaged'!$C$5:$C$1004,C169,'Who Engaged'!$P$5:$P$1004,"Yes",'Who Engaged'!$N$5:$N$1004,1))</f>
        <v/>
      </c>
      <c r="V169" s="23" t="str">
        <f aca="false">IF(OR(A169="",B169="",C169=""),"",COUNTIFS('Who Engaged'!$C$5:$C$1004,C169,'Who Engaged'!$P$5:$P$1004,"Yes",'Who Engaged'!$M$5:$M$1004,1))</f>
        <v/>
      </c>
      <c r="W169" s="26" t="str">
        <f aca="false" t="array" ref="W169:W169">IF(OR(A169="",B169="",C169=""),"",_xlfn.TEXTJOIN("; ",TRUE(),IF(('Who Engaged'!$C$5:$C$1004=C169)*('Who Engaged'!$P$5:$P$1004="Yes"),'Who Engaged'!$D$5:$D$1004&amp;" – "&amp;'Who Engaged'!$F$5:$F$1004&amp;IF('Who Engaged'!$M$5:$M$1004=1," (followed)",""),"")))</f>
        <v/>
      </c>
      <c r="X169" s="27"/>
      <c r="Y169" s="27"/>
      <c r="Z169" s="28"/>
      <c r="AA169" s="25" t="str">
        <f aca="false">IF(OR(A169="",B169="",C169=""),"","https://www.alphanodus.com/contact?utm_source="&amp;IF(B169="X","twitter",LOWER(B169))&amp;"&amp;utm_medium=social&amp;utm_campaign="&amp;IF(E169="","general",LOWER(SUBSTITUTE(SUBSTITUTE(E169," / ","-")," ","-")))&amp;"&amp;utm_content="&amp;LOWER(C169))</f>
        <v/>
      </c>
    </row>
    <row r="170" customFormat="false" ht="15" hidden="false" customHeight="false" outlineLevel="0" collapsed="false">
      <c r="A170" s="29"/>
      <c r="B170" s="28"/>
      <c r="C170" s="28"/>
      <c r="D170" s="27"/>
      <c r="E170" s="28"/>
      <c r="F170" s="28"/>
      <c r="G170" s="28"/>
      <c r="H170" s="22"/>
      <c r="I170" s="22"/>
      <c r="J170" s="22"/>
      <c r="K170" s="22"/>
      <c r="L170" s="22"/>
      <c r="M170" s="22"/>
      <c r="N170" s="22"/>
      <c r="O170" s="22"/>
      <c r="P170" s="23" t="str">
        <f aca="false">IF(OR(A170="",B170="",C170=""),"",IF(COUNT(J170:N170)=0,"",SUM(J170:N170)))</f>
        <v/>
      </c>
      <c r="Q170" s="23" t="str">
        <f aca="false">IF(OR(A170="",B170="",C170=""),"",SUMIFS('Who Engaged'!$I$5:$I$1004,'Who Engaged'!$C$5:$C$1004,C170,'Who Engaged'!$O$5:$O$1004,"Yes")+SUMIFS('Who Engaged'!$J$5:$J$1004,'Who Engaged'!$C$5:$C$1004,C170,'Who Engaged'!$O$5:$O$1004,"Yes")+SUMIFS('Who Engaged'!$K$5:$K$1004,'Who Engaged'!$C$5:$C$1004,C170,'Who Engaged'!$O$5:$O$1004,"Yes")+SUMIFS('Who Engaged'!$L$5:$L$1004,'Who Engaged'!$C$5:$C$1004,C170,'Who Engaged'!$O$5:$O$1004,"Yes"))</f>
        <v/>
      </c>
      <c r="R170" s="23" t="str">
        <f aca="false">IF(OR(OR(A170="",B170="",C170=""),P170=""),"",MAX(0,P170-N(Q170)))</f>
        <v/>
      </c>
      <c r="S170" s="24" t="str">
        <f aca="false">IF(OR(OR(A170="",B170="",C170=""),R170=""),"",IFERROR(R170/(IF(N(H170)&gt;0,H170,IF(N(I170)&gt;0,I170,IF(COUNTIFS($B$16:$B$215,B170,$H$16:$H$215,"&gt;0")+COUNTIFS($B$16:$B$215,B170,$I$16:$I$215,"&gt;0")&gt;0,"",INDEX($B$5:$B$7,MATCH(B170,$A$5:$A$7,0)))))),""))</f>
        <v/>
      </c>
      <c r="T170" s="25" t="str">
        <f aca="false">IF(OR(A170="",B170="",C170=""),"",IF(OR(S170="",COUNTIFS($B$16:$B$215,B170,$S$16:$S$215,"&gt;=0")&lt;2),"No Data Yet",IFERROR(IF(S170/AVERAGEIFS($S$16:$S$215,$B$16:$B$215,B170)&gt;=1.2,"Good",IF(S170/AVERAGEIFS($S$16:$S$215,$B$16:$B$215,B170)&gt;=0.8,"Average","Below Standard")),"Average")))</f>
        <v/>
      </c>
      <c r="U170" s="23" t="str">
        <f aca="false">IF(OR(A170="",B170="",C170=""),"",COUNTIFS('Who Engaged'!$C$5:$C$1004,C170,'Who Engaged'!$P$5:$P$1004,"Yes",'Who Engaged'!$N$5:$N$1004,1))</f>
        <v/>
      </c>
      <c r="V170" s="23" t="str">
        <f aca="false">IF(OR(A170="",B170="",C170=""),"",COUNTIFS('Who Engaged'!$C$5:$C$1004,C170,'Who Engaged'!$P$5:$P$1004,"Yes",'Who Engaged'!$M$5:$M$1004,1))</f>
        <v/>
      </c>
      <c r="W170" s="26" t="str">
        <f aca="false" t="array" ref="W170:W170">IF(OR(A170="",B170="",C170=""),"",_xlfn.TEXTJOIN("; ",TRUE(),IF(('Who Engaged'!$C$5:$C$1004=C170)*('Who Engaged'!$P$5:$P$1004="Yes"),'Who Engaged'!$D$5:$D$1004&amp;" – "&amp;'Who Engaged'!$F$5:$F$1004&amp;IF('Who Engaged'!$M$5:$M$1004=1," (followed)",""),"")))</f>
        <v/>
      </c>
      <c r="X170" s="27"/>
      <c r="Y170" s="27"/>
      <c r="Z170" s="28"/>
      <c r="AA170" s="25" t="str">
        <f aca="false">IF(OR(A170="",B170="",C170=""),"","https://www.alphanodus.com/contact?utm_source="&amp;IF(B170="X","twitter",LOWER(B170))&amp;"&amp;utm_medium=social&amp;utm_campaign="&amp;IF(E170="","general",LOWER(SUBSTITUTE(SUBSTITUTE(E170," / ","-")," ","-")))&amp;"&amp;utm_content="&amp;LOWER(C170))</f>
        <v/>
      </c>
    </row>
    <row r="171" customFormat="false" ht="15" hidden="false" customHeight="false" outlineLevel="0" collapsed="false">
      <c r="A171" s="29"/>
      <c r="B171" s="28"/>
      <c r="C171" s="28"/>
      <c r="D171" s="27"/>
      <c r="E171" s="28"/>
      <c r="F171" s="28"/>
      <c r="G171" s="28"/>
      <c r="H171" s="22"/>
      <c r="I171" s="22"/>
      <c r="J171" s="22"/>
      <c r="K171" s="22"/>
      <c r="L171" s="22"/>
      <c r="M171" s="22"/>
      <c r="N171" s="22"/>
      <c r="O171" s="22"/>
      <c r="P171" s="23" t="str">
        <f aca="false">IF(OR(A171="",B171="",C171=""),"",IF(COUNT(J171:N171)=0,"",SUM(J171:N171)))</f>
        <v/>
      </c>
      <c r="Q171" s="23" t="str">
        <f aca="false">IF(OR(A171="",B171="",C171=""),"",SUMIFS('Who Engaged'!$I$5:$I$1004,'Who Engaged'!$C$5:$C$1004,C171,'Who Engaged'!$O$5:$O$1004,"Yes")+SUMIFS('Who Engaged'!$J$5:$J$1004,'Who Engaged'!$C$5:$C$1004,C171,'Who Engaged'!$O$5:$O$1004,"Yes")+SUMIFS('Who Engaged'!$K$5:$K$1004,'Who Engaged'!$C$5:$C$1004,C171,'Who Engaged'!$O$5:$O$1004,"Yes")+SUMIFS('Who Engaged'!$L$5:$L$1004,'Who Engaged'!$C$5:$C$1004,C171,'Who Engaged'!$O$5:$O$1004,"Yes"))</f>
        <v/>
      </c>
      <c r="R171" s="23" t="str">
        <f aca="false">IF(OR(OR(A171="",B171="",C171=""),P171=""),"",MAX(0,P171-N(Q171)))</f>
        <v/>
      </c>
      <c r="S171" s="24" t="str">
        <f aca="false">IF(OR(OR(A171="",B171="",C171=""),R171=""),"",IFERROR(R171/(IF(N(H171)&gt;0,H171,IF(N(I171)&gt;0,I171,IF(COUNTIFS($B$16:$B$215,B171,$H$16:$H$215,"&gt;0")+COUNTIFS($B$16:$B$215,B171,$I$16:$I$215,"&gt;0")&gt;0,"",INDEX($B$5:$B$7,MATCH(B171,$A$5:$A$7,0)))))),""))</f>
        <v/>
      </c>
      <c r="T171" s="25" t="str">
        <f aca="false">IF(OR(A171="",B171="",C171=""),"",IF(OR(S171="",COUNTIFS($B$16:$B$215,B171,$S$16:$S$215,"&gt;=0")&lt;2),"No Data Yet",IFERROR(IF(S171/AVERAGEIFS($S$16:$S$215,$B$16:$B$215,B171)&gt;=1.2,"Good",IF(S171/AVERAGEIFS($S$16:$S$215,$B$16:$B$215,B171)&gt;=0.8,"Average","Below Standard")),"Average")))</f>
        <v/>
      </c>
      <c r="U171" s="23" t="str">
        <f aca="false">IF(OR(A171="",B171="",C171=""),"",COUNTIFS('Who Engaged'!$C$5:$C$1004,C171,'Who Engaged'!$P$5:$P$1004,"Yes",'Who Engaged'!$N$5:$N$1004,1))</f>
        <v/>
      </c>
      <c r="V171" s="23" t="str">
        <f aca="false">IF(OR(A171="",B171="",C171=""),"",COUNTIFS('Who Engaged'!$C$5:$C$1004,C171,'Who Engaged'!$P$5:$P$1004,"Yes",'Who Engaged'!$M$5:$M$1004,1))</f>
        <v/>
      </c>
      <c r="W171" s="26" t="str">
        <f aca="false" t="array" ref="W171:W171">IF(OR(A171="",B171="",C171=""),"",_xlfn.TEXTJOIN("; ",TRUE(),IF(('Who Engaged'!$C$5:$C$1004=C171)*('Who Engaged'!$P$5:$P$1004="Yes"),'Who Engaged'!$D$5:$D$1004&amp;" – "&amp;'Who Engaged'!$F$5:$F$1004&amp;IF('Who Engaged'!$M$5:$M$1004=1," (followed)",""),"")))</f>
        <v/>
      </c>
      <c r="X171" s="27"/>
      <c r="Y171" s="27"/>
      <c r="Z171" s="28"/>
      <c r="AA171" s="25" t="str">
        <f aca="false">IF(OR(A171="",B171="",C171=""),"","https://www.alphanodus.com/contact?utm_source="&amp;IF(B171="X","twitter",LOWER(B171))&amp;"&amp;utm_medium=social&amp;utm_campaign="&amp;IF(E171="","general",LOWER(SUBSTITUTE(SUBSTITUTE(E171," / ","-")," ","-")))&amp;"&amp;utm_content="&amp;LOWER(C171))</f>
        <v/>
      </c>
    </row>
    <row r="172" customFormat="false" ht="15" hidden="false" customHeight="false" outlineLevel="0" collapsed="false">
      <c r="A172" s="29"/>
      <c r="B172" s="28"/>
      <c r="C172" s="28"/>
      <c r="D172" s="27"/>
      <c r="E172" s="28"/>
      <c r="F172" s="28"/>
      <c r="G172" s="28"/>
      <c r="H172" s="22"/>
      <c r="I172" s="22"/>
      <c r="J172" s="22"/>
      <c r="K172" s="22"/>
      <c r="L172" s="22"/>
      <c r="M172" s="22"/>
      <c r="N172" s="22"/>
      <c r="O172" s="22"/>
      <c r="P172" s="23" t="str">
        <f aca="false">IF(OR(A172="",B172="",C172=""),"",IF(COUNT(J172:N172)=0,"",SUM(J172:N172)))</f>
        <v/>
      </c>
      <c r="Q172" s="23" t="str">
        <f aca="false">IF(OR(A172="",B172="",C172=""),"",SUMIFS('Who Engaged'!$I$5:$I$1004,'Who Engaged'!$C$5:$C$1004,C172,'Who Engaged'!$O$5:$O$1004,"Yes")+SUMIFS('Who Engaged'!$J$5:$J$1004,'Who Engaged'!$C$5:$C$1004,C172,'Who Engaged'!$O$5:$O$1004,"Yes")+SUMIFS('Who Engaged'!$K$5:$K$1004,'Who Engaged'!$C$5:$C$1004,C172,'Who Engaged'!$O$5:$O$1004,"Yes")+SUMIFS('Who Engaged'!$L$5:$L$1004,'Who Engaged'!$C$5:$C$1004,C172,'Who Engaged'!$O$5:$O$1004,"Yes"))</f>
        <v/>
      </c>
      <c r="R172" s="23" t="str">
        <f aca="false">IF(OR(OR(A172="",B172="",C172=""),P172=""),"",MAX(0,P172-N(Q172)))</f>
        <v/>
      </c>
      <c r="S172" s="24" t="str">
        <f aca="false">IF(OR(OR(A172="",B172="",C172=""),R172=""),"",IFERROR(R172/(IF(N(H172)&gt;0,H172,IF(N(I172)&gt;0,I172,IF(COUNTIFS($B$16:$B$215,B172,$H$16:$H$215,"&gt;0")+COUNTIFS($B$16:$B$215,B172,$I$16:$I$215,"&gt;0")&gt;0,"",INDEX($B$5:$B$7,MATCH(B172,$A$5:$A$7,0)))))),""))</f>
        <v/>
      </c>
      <c r="T172" s="25" t="str">
        <f aca="false">IF(OR(A172="",B172="",C172=""),"",IF(OR(S172="",COUNTIFS($B$16:$B$215,B172,$S$16:$S$215,"&gt;=0")&lt;2),"No Data Yet",IFERROR(IF(S172/AVERAGEIFS($S$16:$S$215,$B$16:$B$215,B172)&gt;=1.2,"Good",IF(S172/AVERAGEIFS($S$16:$S$215,$B$16:$B$215,B172)&gt;=0.8,"Average","Below Standard")),"Average")))</f>
        <v/>
      </c>
      <c r="U172" s="23" t="str">
        <f aca="false">IF(OR(A172="",B172="",C172=""),"",COUNTIFS('Who Engaged'!$C$5:$C$1004,C172,'Who Engaged'!$P$5:$P$1004,"Yes",'Who Engaged'!$N$5:$N$1004,1))</f>
        <v/>
      </c>
      <c r="V172" s="23" t="str">
        <f aca="false">IF(OR(A172="",B172="",C172=""),"",COUNTIFS('Who Engaged'!$C$5:$C$1004,C172,'Who Engaged'!$P$5:$P$1004,"Yes",'Who Engaged'!$M$5:$M$1004,1))</f>
        <v/>
      </c>
      <c r="W172" s="26" t="str">
        <f aca="false" t="array" ref="W172:W172">IF(OR(A172="",B172="",C172=""),"",_xlfn.TEXTJOIN("; ",TRUE(),IF(('Who Engaged'!$C$5:$C$1004=C172)*('Who Engaged'!$P$5:$P$1004="Yes"),'Who Engaged'!$D$5:$D$1004&amp;" – "&amp;'Who Engaged'!$F$5:$F$1004&amp;IF('Who Engaged'!$M$5:$M$1004=1," (followed)",""),"")))</f>
        <v/>
      </c>
      <c r="X172" s="27"/>
      <c r="Y172" s="27"/>
      <c r="Z172" s="28"/>
      <c r="AA172" s="25" t="str">
        <f aca="false">IF(OR(A172="",B172="",C172=""),"","https://www.alphanodus.com/contact?utm_source="&amp;IF(B172="X","twitter",LOWER(B172))&amp;"&amp;utm_medium=social&amp;utm_campaign="&amp;IF(E172="","general",LOWER(SUBSTITUTE(SUBSTITUTE(E172," / ","-")," ","-")))&amp;"&amp;utm_content="&amp;LOWER(C172))</f>
        <v/>
      </c>
    </row>
    <row r="173" customFormat="false" ht="15" hidden="false" customHeight="false" outlineLevel="0" collapsed="false">
      <c r="A173" s="29"/>
      <c r="B173" s="28"/>
      <c r="C173" s="28"/>
      <c r="D173" s="27"/>
      <c r="E173" s="28"/>
      <c r="F173" s="28"/>
      <c r="G173" s="28"/>
      <c r="H173" s="22"/>
      <c r="I173" s="22"/>
      <c r="J173" s="22"/>
      <c r="K173" s="22"/>
      <c r="L173" s="22"/>
      <c r="M173" s="22"/>
      <c r="N173" s="22"/>
      <c r="O173" s="22"/>
      <c r="P173" s="23" t="str">
        <f aca="false">IF(OR(A173="",B173="",C173=""),"",IF(COUNT(J173:N173)=0,"",SUM(J173:N173)))</f>
        <v/>
      </c>
      <c r="Q173" s="23" t="str">
        <f aca="false">IF(OR(A173="",B173="",C173=""),"",SUMIFS('Who Engaged'!$I$5:$I$1004,'Who Engaged'!$C$5:$C$1004,C173,'Who Engaged'!$O$5:$O$1004,"Yes")+SUMIFS('Who Engaged'!$J$5:$J$1004,'Who Engaged'!$C$5:$C$1004,C173,'Who Engaged'!$O$5:$O$1004,"Yes")+SUMIFS('Who Engaged'!$K$5:$K$1004,'Who Engaged'!$C$5:$C$1004,C173,'Who Engaged'!$O$5:$O$1004,"Yes")+SUMIFS('Who Engaged'!$L$5:$L$1004,'Who Engaged'!$C$5:$C$1004,C173,'Who Engaged'!$O$5:$O$1004,"Yes"))</f>
        <v/>
      </c>
      <c r="R173" s="23" t="str">
        <f aca="false">IF(OR(OR(A173="",B173="",C173=""),P173=""),"",MAX(0,P173-N(Q173)))</f>
        <v/>
      </c>
      <c r="S173" s="24" t="str">
        <f aca="false">IF(OR(OR(A173="",B173="",C173=""),R173=""),"",IFERROR(R173/(IF(N(H173)&gt;0,H173,IF(N(I173)&gt;0,I173,IF(COUNTIFS($B$16:$B$215,B173,$H$16:$H$215,"&gt;0")+COUNTIFS($B$16:$B$215,B173,$I$16:$I$215,"&gt;0")&gt;0,"",INDEX($B$5:$B$7,MATCH(B173,$A$5:$A$7,0)))))),""))</f>
        <v/>
      </c>
      <c r="T173" s="25" t="str">
        <f aca="false">IF(OR(A173="",B173="",C173=""),"",IF(OR(S173="",COUNTIFS($B$16:$B$215,B173,$S$16:$S$215,"&gt;=0")&lt;2),"No Data Yet",IFERROR(IF(S173/AVERAGEIFS($S$16:$S$215,$B$16:$B$215,B173)&gt;=1.2,"Good",IF(S173/AVERAGEIFS($S$16:$S$215,$B$16:$B$215,B173)&gt;=0.8,"Average","Below Standard")),"Average")))</f>
        <v/>
      </c>
      <c r="U173" s="23" t="str">
        <f aca="false">IF(OR(A173="",B173="",C173=""),"",COUNTIFS('Who Engaged'!$C$5:$C$1004,C173,'Who Engaged'!$P$5:$P$1004,"Yes",'Who Engaged'!$N$5:$N$1004,1))</f>
        <v/>
      </c>
      <c r="V173" s="23" t="str">
        <f aca="false">IF(OR(A173="",B173="",C173=""),"",COUNTIFS('Who Engaged'!$C$5:$C$1004,C173,'Who Engaged'!$P$5:$P$1004,"Yes",'Who Engaged'!$M$5:$M$1004,1))</f>
        <v/>
      </c>
      <c r="W173" s="26" t="str">
        <f aca="false" t="array" ref="W173:W173">IF(OR(A173="",B173="",C173=""),"",_xlfn.TEXTJOIN("; ",TRUE(),IF(('Who Engaged'!$C$5:$C$1004=C173)*('Who Engaged'!$P$5:$P$1004="Yes"),'Who Engaged'!$D$5:$D$1004&amp;" – "&amp;'Who Engaged'!$F$5:$F$1004&amp;IF('Who Engaged'!$M$5:$M$1004=1," (followed)",""),"")))</f>
        <v/>
      </c>
      <c r="X173" s="27"/>
      <c r="Y173" s="27"/>
      <c r="Z173" s="28"/>
      <c r="AA173" s="25" t="str">
        <f aca="false">IF(OR(A173="",B173="",C173=""),"","https://www.alphanodus.com/contact?utm_source="&amp;IF(B173="X","twitter",LOWER(B173))&amp;"&amp;utm_medium=social&amp;utm_campaign="&amp;IF(E173="","general",LOWER(SUBSTITUTE(SUBSTITUTE(E173," / ","-")," ","-")))&amp;"&amp;utm_content="&amp;LOWER(C173))</f>
        <v/>
      </c>
    </row>
    <row r="174" customFormat="false" ht="15" hidden="false" customHeight="false" outlineLevel="0" collapsed="false">
      <c r="A174" s="29"/>
      <c r="B174" s="28"/>
      <c r="C174" s="28"/>
      <c r="D174" s="27"/>
      <c r="E174" s="28"/>
      <c r="F174" s="28"/>
      <c r="G174" s="28"/>
      <c r="H174" s="22"/>
      <c r="I174" s="22"/>
      <c r="J174" s="22"/>
      <c r="K174" s="22"/>
      <c r="L174" s="22"/>
      <c r="M174" s="22"/>
      <c r="N174" s="22"/>
      <c r="O174" s="22"/>
      <c r="P174" s="23" t="str">
        <f aca="false">IF(OR(A174="",B174="",C174=""),"",IF(COUNT(J174:N174)=0,"",SUM(J174:N174)))</f>
        <v/>
      </c>
      <c r="Q174" s="23" t="str">
        <f aca="false">IF(OR(A174="",B174="",C174=""),"",SUMIFS('Who Engaged'!$I$5:$I$1004,'Who Engaged'!$C$5:$C$1004,C174,'Who Engaged'!$O$5:$O$1004,"Yes")+SUMIFS('Who Engaged'!$J$5:$J$1004,'Who Engaged'!$C$5:$C$1004,C174,'Who Engaged'!$O$5:$O$1004,"Yes")+SUMIFS('Who Engaged'!$K$5:$K$1004,'Who Engaged'!$C$5:$C$1004,C174,'Who Engaged'!$O$5:$O$1004,"Yes")+SUMIFS('Who Engaged'!$L$5:$L$1004,'Who Engaged'!$C$5:$C$1004,C174,'Who Engaged'!$O$5:$O$1004,"Yes"))</f>
        <v/>
      </c>
      <c r="R174" s="23" t="str">
        <f aca="false">IF(OR(OR(A174="",B174="",C174=""),P174=""),"",MAX(0,P174-N(Q174)))</f>
        <v/>
      </c>
      <c r="S174" s="24" t="str">
        <f aca="false">IF(OR(OR(A174="",B174="",C174=""),R174=""),"",IFERROR(R174/(IF(N(H174)&gt;0,H174,IF(N(I174)&gt;0,I174,IF(COUNTIFS($B$16:$B$215,B174,$H$16:$H$215,"&gt;0")+COUNTIFS($B$16:$B$215,B174,$I$16:$I$215,"&gt;0")&gt;0,"",INDEX($B$5:$B$7,MATCH(B174,$A$5:$A$7,0)))))),""))</f>
        <v/>
      </c>
      <c r="T174" s="25" t="str">
        <f aca="false">IF(OR(A174="",B174="",C174=""),"",IF(OR(S174="",COUNTIFS($B$16:$B$215,B174,$S$16:$S$215,"&gt;=0")&lt;2),"No Data Yet",IFERROR(IF(S174/AVERAGEIFS($S$16:$S$215,$B$16:$B$215,B174)&gt;=1.2,"Good",IF(S174/AVERAGEIFS($S$16:$S$215,$B$16:$B$215,B174)&gt;=0.8,"Average","Below Standard")),"Average")))</f>
        <v/>
      </c>
      <c r="U174" s="23" t="str">
        <f aca="false">IF(OR(A174="",B174="",C174=""),"",COUNTIFS('Who Engaged'!$C$5:$C$1004,C174,'Who Engaged'!$P$5:$P$1004,"Yes",'Who Engaged'!$N$5:$N$1004,1))</f>
        <v/>
      </c>
      <c r="V174" s="23" t="str">
        <f aca="false">IF(OR(A174="",B174="",C174=""),"",COUNTIFS('Who Engaged'!$C$5:$C$1004,C174,'Who Engaged'!$P$5:$P$1004,"Yes",'Who Engaged'!$M$5:$M$1004,1))</f>
        <v/>
      </c>
      <c r="W174" s="26" t="str">
        <f aca="false" t="array" ref="W174:W174">IF(OR(A174="",B174="",C174=""),"",_xlfn.TEXTJOIN("; ",TRUE(),IF(('Who Engaged'!$C$5:$C$1004=C174)*('Who Engaged'!$P$5:$P$1004="Yes"),'Who Engaged'!$D$5:$D$1004&amp;" – "&amp;'Who Engaged'!$F$5:$F$1004&amp;IF('Who Engaged'!$M$5:$M$1004=1," (followed)",""),"")))</f>
        <v/>
      </c>
      <c r="X174" s="27"/>
      <c r="Y174" s="27"/>
      <c r="Z174" s="28"/>
      <c r="AA174" s="25" t="str">
        <f aca="false">IF(OR(A174="",B174="",C174=""),"","https://www.alphanodus.com/contact?utm_source="&amp;IF(B174="X","twitter",LOWER(B174))&amp;"&amp;utm_medium=social&amp;utm_campaign="&amp;IF(E174="","general",LOWER(SUBSTITUTE(SUBSTITUTE(E174," / ","-")," ","-")))&amp;"&amp;utm_content="&amp;LOWER(C174))</f>
        <v/>
      </c>
    </row>
    <row r="175" customFormat="false" ht="15" hidden="false" customHeight="false" outlineLevel="0" collapsed="false">
      <c r="A175" s="29"/>
      <c r="B175" s="28"/>
      <c r="C175" s="28"/>
      <c r="D175" s="27"/>
      <c r="E175" s="28"/>
      <c r="F175" s="28"/>
      <c r="G175" s="28"/>
      <c r="H175" s="22"/>
      <c r="I175" s="22"/>
      <c r="J175" s="22"/>
      <c r="K175" s="22"/>
      <c r="L175" s="22"/>
      <c r="M175" s="22"/>
      <c r="N175" s="22"/>
      <c r="O175" s="22"/>
      <c r="P175" s="23" t="str">
        <f aca="false">IF(OR(A175="",B175="",C175=""),"",IF(COUNT(J175:N175)=0,"",SUM(J175:N175)))</f>
        <v/>
      </c>
      <c r="Q175" s="23" t="str">
        <f aca="false">IF(OR(A175="",B175="",C175=""),"",SUMIFS('Who Engaged'!$I$5:$I$1004,'Who Engaged'!$C$5:$C$1004,C175,'Who Engaged'!$O$5:$O$1004,"Yes")+SUMIFS('Who Engaged'!$J$5:$J$1004,'Who Engaged'!$C$5:$C$1004,C175,'Who Engaged'!$O$5:$O$1004,"Yes")+SUMIFS('Who Engaged'!$K$5:$K$1004,'Who Engaged'!$C$5:$C$1004,C175,'Who Engaged'!$O$5:$O$1004,"Yes")+SUMIFS('Who Engaged'!$L$5:$L$1004,'Who Engaged'!$C$5:$C$1004,C175,'Who Engaged'!$O$5:$O$1004,"Yes"))</f>
        <v/>
      </c>
      <c r="R175" s="23" t="str">
        <f aca="false">IF(OR(OR(A175="",B175="",C175=""),P175=""),"",MAX(0,P175-N(Q175)))</f>
        <v/>
      </c>
      <c r="S175" s="24" t="str">
        <f aca="false">IF(OR(OR(A175="",B175="",C175=""),R175=""),"",IFERROR(R175/(IF(N(H175)&gt;0,H175,IF(N(I175)&gt;0,I175,IF(COUNTIFS($B$16:$B$215,B175,$H$16:$H$215,"&gt;0")+COUNTIFS($B$16:$B$215,B175,$I$16:$I$215,"&gt;0")&gt;0,"",INDEX($B$5:$B$7,MATCH(B175,$A$5:$A$7,0)))))),""))</f>
        <v/>
      </c>
      <c r="T175" s="25" t="str">
        <f aca="false">IF(OR(A175="",B175="",C175=""),"",IF(OR(S175="",COUNTIFS($B$16:$B$215,B175,$S$16:$S$215,"&gt;=0")&lt;2),"No Data Yet",IFERROR(IF(S175/AVERAGEIFS($S$16:$S$215,$B$16:$B$215,B175)&gt;=1.2,"Good",IF(S175/AVERAGEIFS($S$16:$S$215,$B$16:$B$215,B175)&gt;=0.8,"Average","Below Standard")),"Average")))</f>
        <v/>
      </c>
      <c r="U175" s="23" t="str">
        <f aca="false">IF(OR(A175="",B175="",C175=""),"",COUNTIFS('Who Engaged'!$C$5:$C$1004,C175,'Who Engaged'!$P$5:$P$1004,"Yes",'Who Engaged'!$N$5:$N$1004,1))</f>
        <v/>
      </c>
      <c r="V175" s="23" t="str">
        <f aca="false">IF(OR(A175="",B175="",C175=""),"",COUNTIFS('Who Engaged'!$C$5:$C$1004,C175,'Who Engaged'!$P$5:$P$1004,"Yes",'Who Engaged'!$M$5:$M$1004,1))</f>
        <v/>
      </c>
      <c r="W175" s="26" t="str">
        <f aca="false" t="array" ref="W175:W175">IF(OR(A175="",B175="",C175=""),"",_xlfn.TEXTJOIN("; ",TRUE(),IF(('Who Engaged'!$C$5:$C$1004=C175)*('Who Engaged'!$P$5:$P$1004="Yes"),'Who Engaged'!$D$5:$D$1004&amp;" – "&amp;'Who Engaged'!$F$5:$F$1004&amp;IF('Who Engaged'!$M$5:$M$1004=1," (followed)",""),"")))</f>
        <v/>
      </c>
      <c r="X175" s="27"/>
      <c r="Y175" s="27"/>
      <c r="Z175" s="28"/>
      <c r="AA175" s="25" t="str">
        <f aca="false">IF(OR(A175="",B175="",C175=""),"","https://www.alphanodus.com/contact?utm_source="&amp;IF(B175="X","twitter",LOWER(B175))&amp;"&amp;utm_medium=social&amp;utm_campaign="&amp;IF(E175="","general",LOWER(SUBSTITUTE(SUBSTITUTE(E175," / ","-")," ","-")))&amp;"&amp;utm_content="&amp;LOWER(C175))</f>
        <v/>
      </c>
    </row>
    <row r="176" customFormat="false" ht="15" hidden="false" customHeight="false" outlineLevel="0" collapsed="false">
      <c r="A176" s="29"/>
      <c r="B176" s="28"/>
      <c r="C176" s="28"/>
      <c r="D176" s="27"/>
      <c r="E176" s="28"/>
      <c r="F176" s="28"/>
      <c r="G176" s="28"/>
      <c r="H176" s="22"/>
      <c r="I176" s="22"/>
      <c r="J176" s="22"/>
      <c r="K176" s="22"/>
      <c r="L176" s="22"/>
      <c r="M176" s="22"/>
      <c r="N176" s="22"/>
      <c r="O176" s="22"/>
      <c r="P176" s="23" t="str">
        <f aca="false">IF(OR(A176="",B176="",C176=""),"",IF(COUNT(J176:N176)=0,"",SUM(J176:N176)))</f>
        <v/>
      </c>
      <c r="Q176" s="23" t="str">
        <f aca="false">IF(OR(A176="",B176="",C176=""),"",SUMIFS('Who Engaged'!$I$5:$I$1004,'Who Engaged'!$C$5:$C$1004,C176,'Who Engaged'!$O$5:$O$1004,"Yes")+SUMIFS('Who Engaged'!$J$5:$J$1004,'Who Engaged'!$C$5:$C$1004,C176,'Who Engaged'!$O$5:$O$1004,"Yes")+SUMIFS('Who Engaged'!$K$5:$K$1004,'Who Engaged'!$C$5:$C$1004,C176,'Who Engaged'!$O$5:$O$1004,"Yes")+SUMIFS('Who Engaged'!$L$5:$L$1004,'Who Engaged'!$C$5:$C$1004,C176,'Who Engaged'!$O$5:$O$1004,"Yes"))</f>
        <v/>
      </c>
      <c r="R176" s="23" t="str">
        <f aca="false">IF(OR(OR(A176="",B176="",C176=""),P176=""),"",MAX(0,P176-N(Q176)))</f>
        <v/>
      </c>
      <c r="S176" s="24" t="str">
        <f aca="false">IF(OR(OR(A176="",B176="",C176=""),R176=""),"",IFERROR(R176/(IF(N(H176)&gt;0,H176,IF(N(I176)&gt;0,I176,IF(COUNTIFS($B$16:$B$215,B176,$H$16:$H$215,"&gt;0")+COUNTIFS($B$16:$B$215,B176,$I$16:$I$215,"&gt;0")&gt;0,"",INDEX($B$5:$B$7,MATCH(B176,$A$5:$A$7,0)))))),""))</f>
        <v/>
      </c>
      <c r="T176" s="25" t="str">
        <f aca="false">IF(OR(A176="",B176="",C176=""),"",IF(OR(S176="",COUNTIFS($B$16:$B$215,B176,$S$16:$S$215,"&gt;=0")&lt;2),"No Data Yet",IFERROR(IF(S176/AVERAGEIFS($S$16:$S$215,$B$16:$B$215,B176)&gt;=1.2,"Good",IF(S176/AVERAGEIFS($S$16:$S$215,$B$16:$B$215,B176)&gt;=0.8,"Average","Below Standard")),"Average")))</f>
        <v/>
      </c>
      <c r="U176" s="23" t="str">
        <f aca="false">IF(OR(A176="",B176="",C176=""),"",COUNTIFS('Who Engaged'!$C$5:$C$1004,C176,'Who Engaged'!$P$5:$P$1004,"Yes",'Who Engaged'!$N$5:$N$1004,1))</f>
        <v/>
      </c>
      <c r="V176" s="23" t="str">
        <f aca="false">IF(OR(A176="",B176="",C176=""),"",COUNTIFS('Who Engaged'!$C$5:$C$1004,C176,'Who Engaged'!$P$5:$P$1004,"Yes",'Who Engaged'!$M$5:$M$1004,1))</f>
        <v/>
      </c>
      <c r="W176" s="26" t="str">
        <f aca="false" t="array" ref="W176:W176">IF(OR(A176="",B176="",C176=""),"",_xlfn.TEXTJOIN("; ",TRUE(),IF(('Who Engaged'!$C$5:$C$1004=C176)*('Who Engaged'!$P$5:$P$1004="Yes"),'Who Engaged'!$D$5:$D$1004&amp;" – "&amp;'Who Engaged'!$F$5:$F$1004&amp;IF('Who Engaged'!$M$5:$M$1004=1," (followed)",""),"")))</f>
        <v/>
      </c>
      <c r="X176" s="27"/>
      <c r="Y176" s="27"/>
      <c r="Z176" s="28"/>
      <c r="AA176" s="25" t="str">
        <f aca="false">IF(OR(A176="",B176="",C176=""),"","https://www.alphanodus.com/contact?utm_source="&amp;IF(B176="X","twitter",LOWER(B176))&amp;"&amp;utm_medium=social&amp;utm_campaign="&amp;IF(E176="","general",LOWER(SUBSTITUTE(SUBSTITUTE(E176," / ","-")," ","-")))&amp;"&amp;utm_content="&amp;LOWER(C176))</f>
        <v/>
      </c>
    </row>
    <row r="177" customFormat="false" ht="15" hidden="false" customHeight="false" outlineLevel="0" collapsed="false">
      <c r="A177" s="29"/>
      <c r="B177" s="28"/>
      <c r="C177" s="28"/>
      <c r="D177" s="27"/>
      <c r="E177" s="28"/>
      <c r="F177" s="28"/>
      <c r="G177" s="28"/>
      <c r="H177" s="22"/>
      <c r="I177" s="22"/>
      <c r="J177" s="22"/>
      <c r="K177" s="22"/>
      <c r="L177" s="22"/>
      <c r="M177" s="22"/>
      <c r="N177" s="22"/>
      <c r="O177" s="22"/>
      <c r="P177" s="23" t="str">
        <f aca="false">IF(OR(A177="",B177="",C177=""),"",IF(COUNT(J177:N177)=0,"",SUM(J177:N177)))</f>
        <v/>
      </c>
      <c r="Q177" s="23" t="str">
        <f aca="false">IF(OR(A177="",B177="",C177=""),"",SUMIFS('Who Engaged'!$I$5:$I$1004,'Who Engaged'!$C$5:$C$1004,C177,'Who Engaged'!$O$5:$O$1004,"Yes")+SUMIFS('Who Engaged'!$J$5:$J$1004,'Who Engaged'!$C$5:$C$1004,C177,'Who Engaged'!$O$5:$O$1004,"Yes")+SUMIFS('Who Engaged'!$K$5:$K$1004,'Who Engaged'!$C$5:$C$1004,C177,'Who Engaged'!$O$5:$O$1004,"Yes")+SUMIFS('Who Engaged'!$L$5:$L$1004,'Who Engaged'!$C$5:$C$1004,C177,'Who Engaged'!$O$5:$O$1004,"Yes"))</f>
        <v/>
      </c>
      <c r="R177" s="23" t="str">
        <f aca="false">IF(OR(OR(A177="",B177="",C177=""),P177=""),"",MAX(0,P177-N(Q177)))</f>
        <v/>
      </c>
      <c r="S177" s="24" t="str">
        <f aca="false">IF(OR(OR(A177="",B177="",C177=""),R177=""),"",IFERROR(R177/(IF(N(H177)&gt;0,H177,IF(N(I177)&gt;0,I177,IF(COUNTIFS($B$16:$B$215,B177,$H$16:$H$215,"&gt;0")+COUNTIFS($B$16:$B$215,B177,$I$16:$I$215,"&gt;0")&gt;0,"",INDEX($B$5:$B$7,MATCH(B177,$A$5:$A$7,0)))))),""))</f>
        <v/>
      </c>
      <c r="T177" s="25" t="str">
        <f aca="false">IF(OR(A177="",B177="",C177=""),"",IF(OR(S177="",COUNTIFS($B$16:$B$215,B177,$S$16:$S$215,"&gt;=0")&lt;2),"No Data Yet",IFERROR(IF(S177/AVERAGEIFS($S$16:$S$215,$B$16:$B$215,B177)&gt;=1.2,"Good",IF(S177/AVERAGEIFS($S$16:$S$215,$B$16:$B$215,B177)&gt;=0.8,"Average","Below Standard")),"Average")))</f>
        <v/>
      </c>
      <c r="U177" s="23" t="str">
        <f aca="false">IF(OR(A177="",B177="",C177=""),"",COUNTIFS('Who Engaged'!$C$5:$C$1004,C177,'Who Engaged'!$P$5:$P$1004,"Yes",'Who Engaged'!$N$5:$N$1004,1))</f>
        <v/>
      </c>
      <c r="V177" s="23" t="str">
        <f aca="false">IF(OR(A177="",B177="",C177=""),"",COUNTIFS('Who Engaged'!$C$5:$C$1004,C177,'Who Engaged'!$P$5:$P$1004,"Yes",'Who Engaged'!$M$5:$M$1004,1))</f>
        <v/>
      </c>
      <c r="W177" s="26" t="str">
        <f aca="false" t="array" ref="W177:W177">IF(OR(A177="",B177="",C177=""),"",_xlfn.TEXTJOIN("; ",TRUE(),IF(('Who Engaged'!$C$5:$C$1004=C177)*('Who Engaged'!$P$5:$P$1004="Yes"),'Who Engaged'!$D$5:$D$1004&amp;" – "&amp;'Who Engaged'!$F$5:$F$1004&amp;IF('Who Engaged'!$M$5:$M$1004=1," (followed)",""),"")))</f>
        <v/>
      </c>
      <c r="X177" s="27"/>
      <c r="Y177" s="27"/>
      <c r="Z177" s="28"/>
      <c r="AA177" s="25" t="str">
        <f aca="false">IF(OR(A177="",B177="",C177=""),"","https://www.alphanodus.com/contact?utm_source="&amp;IF(B177="X","twitter",LOWER(B177))&amp;"&amp;utm_medium=social&amp;utm_campaign="&amp;IF(E177="","general",LOWER(SUBSTITUTE(SUBSTITUTE(E177," / ","-")," ","-")))&amp;"&amp;utm_content="&amp;LOWER(C177))</f>
        <v/>
      </c>
    </row>
    <row r="178" customFormat="false" ht="15" hidden="false" customHeight="false" outlineLevel="0" collapsed="false">
      <c r="A178" s="29"/>
      <c r="B178" s="28"/>
      <c r="C178" s="28"/>
      <c r="D178" s="27"/>
      <c r="E178" s="28"/>
      <c r="F178" s="28"/>
      <c r="G178" s="28"/>
      <c r="H178" s="22"/>
      <c r="I178" s="22"/>
      <c r="J178" s="22"/>
      <c r="K178" s="22"/>
      <c r="L178" s="22"/>
      <c r="M178" s="22"/>
      <c r="N178" s="22"/>
      <c r="O178" s="22"/>
      <c r="P178" s="23" t="str">
        <f aca="false">IF(OR(A178="",B178="",C178=""),"",IF(COUNT(J178:N178)=0,"",SUM(J178:N178)))</f>
        <v/>
      </c>
      <c r="Q178" s="23" t="str">
        <f aca="false">IF(OR(A178="",B178="",C178=""),"",SUMIFS('Who Engaged'!$I$5:$I$1004,'Who Engaged'!$C$5:$C$1004,C178,'Who Engaged'!$O$5:$O$1004,"Yes")+SUMIFS('Who Engaged'!$J$5:$J$1004,'Who Engaged'!$C$5:$C$1004,C178,'Who Engaged'!$O$5:$O$1004,"Yes")+SUMIFS('Who Engaged'!$K$5:$K$1004,'Who Engaged'!$C$5:$C$1004,C178,'Who Engaged'!$O$5:$O$1004,"Yes")+SUMIFS('Who Engaged'!$L$5:$L$1004,'Who Engaged'!$C$5:$C$1004,C178,'Who Engaged'!$O$5:$O$1004,"Yes"))</f>
        <v/>
      </c>
      <c r="R178" s="23" t="str">
        <f aca="false">IF(OR(OR(A178="",B178="",C178=""),P178=""),"",MAX(0,P178-N(Q178)))</f>
        <v/>
      </c>
      <c r="S178" s="24" t="str">
        <f aca="false">IF(OR(OR(A178="",B178="",C178=""),R178=""),"",IFERROR(R178/(IF(N(H178)&gt;0,H178,IF(N(I178)&gt;0,I178,IF(COUNTIFS($B$16:$B$215,B178,$H$16:$H$215,"&gt;0")+COUNTIFS($B$16:$B$215,B178,$I$16:$I$215,"&gt;0")&gt;0,"",INDEX($B$5:$B$7,MATCH(B178,$A$5:$A$7,0)))))),""))</f>
        <v/>
      </c>
      <c r="T178" s="25" t="str">
        <f aca="false">IF(OR(A178="",B178="",C178=""),"",IF(OR(S178="",COUNTIFS($B$16:$B$215,B178,$S$16:$S$215,"&gt;=0")&lt;2),"No Data Yet",IFERROR(IF(S178/AVERAGEIFS($S$16:$S$215,$B$16:$B$215,B178)&gt;=1.2,"Good",IF(S178/AVERAGEIFS($S$16:$S$215,$B$16:$B$215,B178)&gt;=0.8,"Average","Below Standard")),"Average")))</f>
        <v/>
      </c>
      <c r="U178" s="23" t="str">
        <f aca="false">IF(OR(A178="",B178="",C178=""),"",COUNTIFS('Who Engaged'!$C$5:$C$1004,C178,'Who Engaged'!$P$5:$P$1004,"Yes",'Who Engaged'!$N$5:$N$1004,1))</f>
        <v/>
      </c>
      <c r="V178" s="23" t="str">
        <f aca="false">IF(OR(A178="",B178="",C178=""),"",COUNTIFS('Who Engaged'!$C$5:$C$1004,C178,'Who Engaged'!$P$5:$P$1004,"Yes",'Who Engaged'!$M$5:$M$1004,1))</f>
        <v/>
      </c>
      <c r="W178" s="26" t="str">
        <f aca="false" t="array" ref="W178:W178">IF(OR(A178="",B178="",C178=""),"",_xlfn.TEXTJOIN("; ",TRUE(),IF(('Who Engaged'!$C$5:$C$1004=C178)*('Who Engaged'!$P$5:$P$1004="Yes"),'Who Engaged'!$D$5:$D$1004&amp;" – "&amp;'Who Engaged'!$F$5:$F$1004&amp;IF('Who Engaged'!$M$5:$M$1004=1," (followed)",""),"")))</f>
        <v/>
      </c>
      <c r="X178" s="27"/>
      <c r="Y178" s="27"/>
      <c r="Z178" s="28"/>
      <c r="AA178" s="25" t="str">
        <f aca="false">IF(OR(A178="",B178="",C178=""),"","https://www.alphanodus.com/contact?utm_source="&amp;IF(B178="X","twitter",LOWER(B178))&amp;"&amp;utm_medium=social&amp;utm_campaign="&amp;IF(E178="","general",LOWER(SUBSTITUTE(SUBSTITUTE(E178," / ","-")," ","-")))&amp;"&amp;utm_content="&amp;LOWER(C178))</f>
        <v/>
      </c>
    </row>
    <row r="179" customFormat="false" ht="15" hidden="false" customHeight="false" outlineLevel="0" collapsed="false">
      <c r="A179" s="29"/>
      <c r="B179" s="28"/>
      <c r="C179" s="28"/>
      <c r="D179" s="27"/>
      <c r="E179" s="28"/>
      <c r="F179" s="28"/>
      <c r="G179" s="28"/>
      <c r="H179" s="22"/>
      <c r="I179" s="22"/>
      <c r="J179" s="22"/>
      <c r="K179" s="22"/>
      <c r="L179" s="22"/>
      <c r="M179" s="22"/>
      <c r="N179" s="22"/>
      <c r="O179" s="22"/>
      <c r="P179" s="23" t="str">
        <f aca="false">IF(OR(A179="",B179="",C179=""),"",IF(COUNT(J179:N179)=0,"",SUM(J179:N179)))</f>
        <v/>
      </c>
      <c r="Q179" s="23" t="str">
        <f aca="false">IF(OR(A179="",B179="",C179=""),"",SUMIFS('Who Engaged'!$I$5:$I$1004,'Who Engaged'!$C$5:$C$1004,C179,'Who Engaged'!$O$5:$O$1004,"Yes")+SUMIFS('Who Engaged'!$J$5:$J$1004,'Who Engaged'!$C$5:$C$1004,C179,'Who Engaged'!$O$5:$O$1004,"Yes")+SUMIFS('Who Engaged'!$K$5:$K$1004,'Who Engaged'!$C$5:$C$1004,C179,'Who Engaged'!$O$5:$O$1004,"Yes")+SUMIFS('Who Engaged'!$L$5:$L$1004,'Who Engaged'!$C$5:$C$1004,C179,'Who Engaged'!$O$5:$O$1004,"Yes"))</f>
        <v/>
      </c>
      <c r="R179" s="23" t="str">
        <f aca="false">IF(OR(OR(A179="",B179="",C179=""),P179=""),"",MAX(0,P179-N(Q179)))</f>
        <v/>
      </c>
      <c r="S179" s="24" t="str">
        <f aca="false">IF(OR(OR(A179="",B179="",C179=""),R179=""),"",IFERROR(R179/(IF(N(H179)&gt;0,H179,IF(N(I179)&gt;0,I179,IF(COUNTIFS($B$16:$B$215,B179,$H$16:$H$215,"&gt;0")+COUNTIFS($B$16:$B$215,B179,$I$16:$I$215,"&gt;0")&gt;0,"",INDEX($B$5:$B$7,MATCH(B179,$A$5:$A$7,0)))))),""))</f>
        <v/>
      </c>
      <c r="T179" s="25" t="str">
        <f aca="false">IF(OR(A179="",B179="",C179=""),"",IF(OR(S179="",COUNTIFS($B$16:$B$215,B179,$S$16:$S$215,"&gt;=0")&lt;2),"No Data Yet",IFERROR(IF(S179/AVERAGEIFS($S$16:$S$215,$B$16:$B$215,B179)&gt;=1.2,"Good",IF(S179/AVERAGEIFS($S$16:$S$215,$B$16:$B$215,B179)&gt;=0.8,"Average","Below Standard")),"Average")))</f>
        <v/>
      </c>
      <c r="U179" s="23" t="str">
        <f aca="false">IF(OR(A179="",B179="",C179=""),"",COUNTIFS('Who Engaged'!$C$5:$C$1004,C179,'Who Engaged'!$P$5:$P$1004,"Yes",'Who Engaged'!$N$5:$N$1004,1))</f>
        <v/>
      </c>
      <c r="V179" s="23" t="str">
        <f aca="false">IF(OR(A179="",B179="",C179=""),"",COUNTIFS('Who Engaged'!$C$5:$C$1004,C179,'Who Engaged'!$P$5:$P$1004,"Yes",'Who Engaged'!$M$5:$M$1004,1))</f>
        <v/>
      </c>
      <c r="W179" s="26" t="str">
        <f aca="false" t="array" ref="W179:W179">IF(OR(A179="",B179="",C179=""),"",_xlfn.TEXTJOIN("; ",TRUE(),IF(('Who Engaged'!$C$5:$C$1004=C179)*('Who Engaged'!$P$5:$P$1004="Yes"),'Who Engaged'!$D$5:$D$1004&amp;" – "&amp;'Who Engaged'!$F$5:$F$1004&amp;IF('Who Engaged'!$M$5:$M$1004=1," (followed)",""),"")))</f>
        <v/>
      </c>
      <c r="X179" s="27"/>
      <c r="Y179" s="27"/>
      <c r="Z179" s="28"/>
      <c r="AA179" s="25" t="str">
        <f aca="false">IF(OR(A179="",B179="",C179=""),"","https://www.alphanodus.com/contact?utm_source="&amp;IF(B179="X","twitter",LOWER(B179))&amp;"&amp;utm_medium=social&amp;utm_campaign="&amp;IF(E179="","general",LOWER(SUBSTITUTE(SUBSTITUTE(E179," / ","-")," ","-")))&amp;"&amp;utm_content="&amp;LOWER(C179))</f>
        <v/>
      </c>
    </row>
    <row r="180" customFormat="false" ht="15" hidden="false" customHeight="false" outlineLevel="0" collapsed="false">
      <c r="A180" s="29"/>
      <c r="B180" s="28"/>
      <c r="C180" s="28"/>
      <c r="D180" s="27"/>
      <c r="E180" s="28"/>
      <c r="F180" s="28"/>
      <c r="G180" s="28"/>
      <c r="H180" s="22"/>
      <c r="I180" s="22"/>
      <c r="J180" s="22"/>
      <c r="K180" s="22"/>
      <c r="L180" s="22"/>
      <c r="M180" s="22"/>
      <c r="N180" s="22"/>
      <c r="O180" s="22"/>
      <c r="P180" s="23" t="str">
        <f aca="false">IF(OR(A180="",B180="",C180=""),"",IF(COUNT(J180:N180)=0,"",SUM(J180:N180)))</f>
        <v/>
      </c>
      <c r="Q180" s="23" t="str">
        <f aca="false">IF(OR(A180="",B180="",C180=""),"",SUMIFS('Who Engaged'!$I$5:$I$1004,'Who Engaged'!$C$5:$C$1004,C180,'Who Engaged'!$O$5:$O$1004,"Yes")+SUMIFS('Who Engaged'!$J$5:$J$1004,'Who Engaged'!$C$5:$C$1004,C180,'Who Engaged'!$O$5:$O$1004,"Yes")+SUMIFS('Who Engaged'!$K$5:$K$1004,'Who Engaged'!$C$5:$C$1004,C180,'Who Engaged'!$O$5:$O$1004,"Yes")+SUMIFS('Who Engaged'!$L$5:$L$1004,'Who Engaged'!$C$5:$C$1004,C180,'Who Engaged'!$O$5:$O$1004,"Yes"))</f>
        <v/>
      </c>
      <c r="R180" s="23" t="str">
        <f aca="false">IF(OR(OR(A180="",B180="",C180=""),P180=""),"",MAX(0,P180-N(Q180)))</f>
        <v/>
      </c>
      <c r="S180" s="24" t="str">
        <f aca="false">IF(OR(OR(A180="",B180="",C180=""),R180=""),"",IFERROR(R180/(IF(N(H180)&gt;0,H180,IF(N(I180)&gt;0,I180,IF(COUNTIFS($B$16:$B$215,B180,$H$16:$H$215,"&gt;0")+COUNTIFS($B$16:$B$215,B180,$I$16:$I$215,"&gt;0")&gt;0,"",INDEX($B$5:$B$7,MATCH(B180,$A$5:$A$7,0)))))),""))</f>
        <v/>
      </c>
      <c r="T180" s="25" t="str">
        <f aca="false">IF(OR(A180="",B180="",C180=""),"",IF(OR(S180="",COUNTIFS($B$16:$B$215,B180,$S$16:$S$215,"&gt;=0")&lt;2),"No Data Yet",IFERROR(IF(S180/AVERAGEIFS($S$16:$S$215,$B$16:$B$215,B180)&gt;=1.2,"Good",IF(S180/AVERAGEIFS($S$16:$S$215,$B$16:$B$215,B180)&gt;=0.8,"Average","Below Standard")),"Average")))</f>
        <v/>
      </c>
      <c r="U180" s="23" t="str">
        <f aca="false">IF(OR(A180="",B180="",C180=""),"",COUNTIFS('Who Engaged'!$C$5:$C$1004,C180,'Who Engaged'!$P$5:$P$1004,"Yes",'Who Engaged'!$N$5:$N$1004,1))</f>
        <v/>
      </c>
      <c r="V180" s="23" t="str">
        <f aca="false">IF(OR(A180="",B180="",C180=""),"",COUNTIFS('Who Engaged'!$C$5:$C$1004,C180,'Who Engaged'!$P$5:$P$1004,"Yes",'Who Engaged'!$M$5:$M$1004,1))</f>
        <v/>
      </c>
      <c r="W180" s="26" t="str">
        <f aca="false" t="array" ref="W180:W180">IF(OR(A180="",B180="",C180=""),"",_xlfn.TEXTJOIN("; ",TRUE(),IF(('Who Engaged'!$C$5:$C$1004=C180)*('Who Engaged'!$P$5:$P$1004="Yes"),'Who Engaged'!$D$5:$D$1004&amp;" – "&amp;'Who Engaged'!$F$5:$F$1004&amp;IF('Who Engaged'!$M$5:$M$1004=1," (followed)",""),"")))</f>
        <v/>
      </c>
      <c r="X180" s="27"/>
      <c r="Y180" s="27"/>
      <c r="Z180" s="28"/>
      <c r="AA180" s="25" t="str">
        <f aca="false">IF(OR(A180="",B180="",C180=""),"","https://www.alphanodus.com/contact?utm_source="&amp;IF(B180="X","twitter",LOWER(B180))&amp;"&amp;utm_medium=social&amp;utm_campaign="&amp;IF(E180="","general",LOWER(SUBSTITUTE(SUBSTITUTE(E180," / ","-")," ","-")))&amp;"&amp;utm_content="&amp;LOWER(C180))</f>
        <v/>
      </c>
    </row>
    <row r="181" customFormat="false" ht="15" hidden="false" customHeight="false" outlineLevel="0" collapsed="false">
      <c r="A181" s="29"/>
      <c r="B181" s="28"/>
      <c r="C181" s="28"/>
      <c r="D181" s="27"/>
      <c r="E181" s="28"/>
      <c r="F181" s="28"/>
      <c r="G181" s="28"/>
      <c r="H181" s="22"/>
      <c r="I181" s="22"/>
      <c r="J181" s="22"/>
      <c r="K181" s="22"/>
      <c r="L181" s="22"/>
      <c r="M181" s="22"/>
      <c r="N181" s="22"/>
      <c r="O181" s="22"/>
      <c r="P181" s="23" t="str">
        <f aca="false">IF(OR(A181="",B181="",C181=""),"",IF(COUNT(J181:N181)=0,"",SUM(J181:N181)))</f>
        <v/>
      </c>
      <c r="Q181" s="23" t="str">
        <f aca="false">IF(OR(A181="",B181="",C181=""),"",SUMIFS('Who Engaged'!$I$5:$I$1004,'Who Engaged'!$C$5:$C$1004,C181,'Who Engaged'!$O$5:$O$1004,"Yes")+SUMIFS('Who Engaged'!$J$5:$J$1004,'Who Engaged'!$C$5:$C$1004,C181,'Who Engaged'!$O$5:$O$1004,"Yes")+SUMIFS('Who Engaged'!$K$5:$K$1004,'Who Engaged'!$C$5:$C$1004,C181,'Who Engaged'!$O$5:$O$1004,"Yes")+SUMIFS('Who Engaged'!$L$5:$L$1004,'Who Engaged'!$C$5:$C$1004,C181,'Who Engaged'!$O$5:$O$1004,"Yes"))</f>
        <v/>
      </c>
      <c r="R181" s="23" t="str">
        <f aca="false">IF(OR(OR(A181="",B181="",C181=""),P181=""),"",MAX(0,P181-N(Q181)))</f>
        <v/>
      </c>
      <c r="S181" s="24" t="str">
        <f aca="false">IF(OR(OR(A181="",B181="",C181=""),R181=""),"",IFERROR(R181/(IF(N(H181)&gt;0,H181,IF(N(I181)&gt;0,I181,IF(COUNTIFS($B$16:$B$215,B181,$H$16:$H$215,"&gt;0")+COUNTIFS($B$16:$B$215,B181,$I$16:$I$215,"&gt;0")&gt;0,"",INDEX($B$5:$B$7,MATCH(B181,$A$5:$A$7,0)))))),""))</f>
        <v/>
      </c>
      <c r="T181" s="25" t="str">
        <f aca="false">IF(OR(A181="",B181="",C181=""),"",IF(OR(S181="",COUNTIFS($B$16:$B$215,B181,$S$16:$S$215,"&gt;=0")&lt;2),"No Data Yet",IFERROR(IF(S181/AVERAGEIFS($S$16:$S$215,$B$16:$B$215,B181)&gt;=1.2,"Good",IF(S181/AVERAGEIFS($S$16:$S$215,$B$16:$B$215,B181)&gt;=0.8,"Average","Below Standard")),"Average")))</f>
        <v/>
      </c>
      <c r="U181" s="23" t="str">
        <f aca="false">IF(OR(A181="",B181="",C181=""),"",COUNTIFS('Who Engaged'!$C$5:$C$1004,C181,'Who Engaged'!$P$5:$P$1004,"Yes",'Who Engaged'!$N$5:$N$1004,1))</f>
        <v/>
      </c>
      <c r="V181" s="23" t="str">
        <f aca="false">IF(OR(A181="",B181="",C181=""),"",COUNTIFS('Who Engaged'!$C$5:$C$1004,C181,'Who Engaged'!$P$5:$P$1004,"Yes",'Who Engaged'!$M$5:$M$1004,1))</f>
        <v/>
      </c>
      <c r="W181" s="26" t="str">
        <f aca="false" t="array" ref="W181:W181">IF(OR(A181="",B181="",C181=""),"",_xlfn.TEXTJOIN("; ",TRUE(),IF(('Who Engaged'!$C$5:$C$1004=C181)*('Who Engaged'!$P$5:$P$1004="Yes"),'Who Engaged'!$D$5:$D$1004&amp;" – "&amp;'Who Engaged'!$F$5:$F$1004&amp;IF('Who Engaged'!$M$5:$M$1004=1," (followed)",""),"")))</f>
        <v/>
      </c>
      <c r="X181" s="27"/>
      <c r="Y181" s="27"/>
      <c r="Z181" s="28"/>
      <c r="AA181" s="25" t="str">
        <f aca="false">IF(OR(A181="",B181="",C181=""),"","https://www.alphanodus.com/contact?utm_source="&amp;IF(B181="X","twitter",LOWER(B181))&amp;"&amp;utm_medium=social&amp;utm_campaign="&amp;IF(E181="","general",LOWER(SUBSTITUTE(SUBSTITUTE(E181," / ","-")," ","-")))&amp;"&amp;utm_content="&amp;LOWER(C181))</f>
        <v/>
      </c>
    </row>
    <row r="182" customFormat="false" ht="15" hidden="false" customHeight="false" outlineLevel="0" collapsed="false">
      <c r="A182" s="29"/>
      <c r="B182" s="28"/>
      <c r="C182" s="28"/>
      <c r="D182" s="27"/>
      <c r="E182" s="28"/>
      <c r="F182" s="28"/>
      <c r="G182" s="28"/>
      <c r="H182" s="22"/>
      <c r="I182" s="22"/>
      <c r="J182" s="22"/>
      <c r="K182" s="22"/>
      <c r="L182" s="22"/>
      <c r="M182" s="22"/>
      <c r="N182" s="22"/>
      <c r="O182" s="22"/>
      <c r="P182" s="23" t="str">
        <f aca="false">IF(OR(A182="",B182="",C182=""),"",IF(COUNT(J182:N182)=0,"",SUM(J182:N182)))</f>
        <v/>
      </c>
      <c r="Q182" s="23" t="str">
        <f aca="false">IF(OR(A182="",B182="",C182=""),"",SUMIFS('Who Engaged'!$I$5:$I$1004,'Who Engaged'!$C$5:$C$1004,C182,'Who Engaged'!$O$5:$O$1004,"Yes")+SUMIFS('Who Engaged'!$J$5:$J$1004,'Who Engaged'!$C$5:$C$1004,C182,'Who Engaged'!$O$5:$O$1004,"Yes")+SUMIFS('Who Engaged'!$K$5:$K$1004,'Who Engaged'!$C$5:$C$1004,C182,'Who Engaged'!$O$5:$O$1004,"Yes")+SUMIFS('Who Engaged'!$L$5:$L$1004,'Who Engaged'!$C$5:$C$1004,C182,'Who Engaged'!$O$5:$O$1004,"Yes"))</f>
        <v/>
      </c>
      <c r="R182" s="23" t="str">
        <f aca="false">IF(OR(OR(A182="",B182="",C182=""),P182=""),"",MAX(0,P182-N(Q182)))</f>
        <v/>
      </c>
      <c r="S182" s="24" t="str">
        <f aca="false">IF(OR(OR(A182="",B182="",C182=""),R182=""),"",IFERROR(R182/(IF(N(H182)&gt;0,H182,IF(N(I182)&gt;0,I182,IF(COUNTIFS($B$16:$B$215,B182,$H$16:$H$215,"&gt;0")+COUNTIFS($B$16:$B$215,B182,$I$16:$I$215,"&gt;0")&gt;0,"",INDEX($B$5:$B$7,MATCH(B182,$A$5:$A$7,0)))))),""))</f>
        <v/>
      </c>
      <c r="T182" s="25" t="str">
        <f aca="false">IF(OR(A182="",B182="",C182=""),"",IF(OR(S182="",COUNTIFS($B$16:$B$215,B182,$S$16:$S$215,"&gt;=0")&lt;2),"No Data Yet",IFERROR(IF(S182/AVERAGEIFS($S$16:$S$215,$B$16:$B$215,B182)&gt;=1.2,"Good",IF(S182/AVERAGEIFS($S$16:$S$215,$B$16:$B$215,B182)&gt;=0.8,"Average","Below Standard")),"Average")))</f>
        <v/>
      </c>
      <c r="U182" s="23" t="str">
        <f aca="false">IF(OR(A182="",B182="",C182=""),"",COUNTIFS('Who Engaged'!$C$5:$C$1004,C182,'Who Engaged'!$P$5:$P$1004,"Yes",'Who Engaged'!$N$5:$N$1004,1))</f>
        <v/>
      </c>
      <c r="V182" s="23" t="str">
        <f aca="false">IF(OR(A182="",B182="",C182=""),"",COUNTIFS('Who Engaged'!$C$5:$C$1004,C182,'Who Engaged'!$P$5:$P$1004,"Yes",'Who Engaged'!$M$5:$M$1004,1))</f>
        <v/>
      </c>
      <c r="W182" s="26" t="str">
        <f aca="false" t="array" ref="W182:W182">IF(OR(A182="",B182="",C182=""),"",_xlfn.TEXTJOIN("; ",TRUE(),IF(('Who Engaged'!$C$5:$C$1004=C182)*('Who Engaged'!$P$5:$P$1004="Yes"),'Who Engaged'!$D$5:$D$1004&amp;" – "&amp;'Who Engaged'!$F$5:$F$1004&amp;IF('Who Engaged'!$M$5:$M$1004=1," (followed)",""),"")))</f>
        <v/>
      </c>
      <c r="X182" s="27"/>
      <c r="Y182" s="27"/>
      <c r="Z182" s="28"/>
      <c r="AA182" s="25" t="str">
        <f aca="false">IF(OR(A182="",B182="",C182=""),"","https://www.alphanodus.com/contact?utm_source="&amp;IF(B182="X","twitter",LOWER(B182))&amp;"&amp;utm_medium=social&amp;utm_campaign="&amp;IF(E182="","general",LOWER(SUBSTITUTE(SUBSTITUTE(E182," / ","-")," ","-")))&amp;"&amp;utm_content="&amp;LOWER(C182))</f>
        <v/>
      </c>
    </row>
    <row r="183" customFormat="false" ht="15" hidden="false" customHeight="false" outlineLevel="0" collapsed="false">
      <c r="A183" s="29"/>
      <c r="B183" s="28"/>
      <c r="C183" s="28"/>
      <c r="D183" s="27"/>
      <c r="E183" s="28"/>
      <c r="F183" s="28"/>
      <c r="G183" s="28"/>
      <c r="H183" s="22"/>
      <c r="I183" s="22"/>
      <c r="J183" s="22"/>
      <c r="K183" s="22"/>
      <c r="L183" s="22"/>
      <c r="M183" s="22"/>
      <c r="N183" s="22"/>
      <c r="O183" s="22"/>
      <c r="P183" s="23" t="str">
        <f aca="false">IF(OR(A183="",B183="",C183=""),"",IF(COUNT(J183:N183)=0,"",SUM(J183:N183)))</f>
        <v/>
      </c>
      <c r="Q183" s="23" t="str">
        <f aca="false">IF(OR(A183="",B183="",C183=""),"",SUMIFS('Who Engaged'!$I$5:$I$1004,'Who Engaged'!$C$5:$C$1004,C183,'Who Engaged'!$O$5:$O$1004,"Yes")+SUMIFS('Who Engaged'!$J$5:$J$1004,'Who Engaged'!$C$5:$C$1004,C183,'Who Engaged'!$O$5:$O$1004,"Yes")+SUMIFS('Who Engaged'!$K$5:$K$1004,'Who Engaged'!$C$5:$C$1004,C183,'Who Engaged'!$O$5:$O$1004,"Yes")+SUMIFS('Who Engaged'!$L$5:$L$1004,'Who Engaged'!$C$5:$C$1004,C183,'Who Engaged'!$O$5:$O$1004,"Yes"))</f>
        <v/>
      </c>
      <c r="R183" s="23" t="str">
        <f aca="false">IF(OR(OR(A183="",B183="",C183=""),P183=""),"",MAX(0,P183-N(Q183)))</f>
        <v/>
      </c>
      <c r="S183" s="24" t="str">
        <f aca="false">IF(OR(OR(A183="",B183="",C183=""),R183=""),"",IFERROR(R183/(IF(N(H183)&gt;0,H183,IF(N(I183)&gt;0,I183,IF(COUNTIFS($B$16:$B$215,B183,$H$16:$H$215,"&gt;0")+COUNTIFS($B$16:$B$215,B183,$I$16:$I$215,"&gt;0")&gt;0,"",INDEX($B$5:$B$7,MATCH(B183,$A$5:$A$7,0)))))),""))</f>
        <v/>
      </c>
      <c r="T183" s="25" t="str">
        <f aca="false">IF(OR(A183="",B183="",C183=""),"",IF(OR(S183="",COUNTIFS($B$16:$B$215,B183,$S$16:$S$215,"&gt;=0")&lt;2),"No Data Yet",IFERROR(IF(S183/AVERAGEIFS($S$16:$S$215,$B$16:$B$215,B183)&gt;=1.2,"Good",IF(S183/AVERAGEIFS($S$16:$S$215,$B$16:$B$215,B183)&gt;=0.8,"Average","Below Standard")),"Average")))</f>
        <v/>
      </c>
      <c r="U183" s="23" t="str">
        <f aca="false">IF(OR(A183="",B183="",C183=""),"",COUNTIFS('Who Engaged'!$C$5:$C$1004,C183,'Who Engaged'!$P$5:$P$1004,"Yes",'Who Engaged'!$N$5:$N$1004,1))</f>
        <v/>
      </c>
      <c r="V183" s="23" t="str">
        <f aca="false">IF(OR(A183="",B183="",C183=""),"",COUNTIFS('Who Engaged'!$C$5:$C$1004,C183,'Who Engaged'!$P$5:$P$1004,"Yes",'Who Engaged'!$M$5:$M$1004,1))</f>
        <v/>
      </c>
      <c r="W183" s="26" t="str">
        <f aca="false" t="array" ref="W183:W183">IF(OR(A183="",B183="",C183=""),"",_xlfn.TEXTJOIN("; ",TRUE(),IF(('Who Engaged'!$C$5:$C$1004=C183)*('Who Engaged'!$P$5:$P$1004="Yes"),'Who Engaged'!$D$5:$D$1004&amp;" – "&amp;'Who Engaged'!$F$5:$F$1004&amp;IF('Who Engaged'!$M$5:$M$1004=1," (followed)",""),"")))</f>
        <v/>
      </c>
      <c r="X183" s="27"/>
      <c r="Y183" s="27"/>
      <c r="Z183" s="28"/>
      <c r="AA183" s="25" t="str">
        <f aca="false">IF(OR(A183="",B183="",C183=""),"","https://www.alphanodus.com/contact?utm_source="&amp;IF(B183="X","twitter",LOWER(B183))&amp;"&amp;utm_medium=social&amp;utm_campaign="&amp;IF(E183="","general",LOWER(SUBSTITUTE(SUBSTITUTE(E183," / ","-")," ","-")))&amp;"&amp;utm_content="&amp;LOWER(C183))</f>
        <v/>
      </c>
    </row>
    <row r="184" customFormat="false" ht="15" hidden="false" customHeight="false" outlineLevel="0" collapsed="false">
      <c r="A184" s="29"/>
      <c r="B184" s="28"/>
      <c r="C184" s="28"/>
      <c r="D184" s="27"/>
      <c r="E184" s="28"/>
      <c r="F184" s="28"/>
      <c r="G184" s="28"/>
      <c r="H184" s="22"/>
      <c r="I184" s="22"/>
      <c r="J184" s="22"/>
      <c r="K184" s="22"/>
      <c r="L184" s="22"/>
      <c r="M184" s="22"/>
      <c r="N184" s="22"/>
      <c r="O184" s="22"/>
      <c r="P184" s="23" t="str">
        <f aca="false">IF(OR(A184="",B184="",C184=""),"",IF(COUNT(J184:N184)=0,"",SUM(J184:N184)))</f>
        <v/>
      </c>
      <c r="Q184" s="23" t="str">
        <f aca="false">IF(OR(A184="",B184="",C184=""),"",SUMIFS('Who Engaged'!$I$5:$I$1004,'Who Engaged'!$C$5:$C$1004,C184,'Who Engaged'!$O$5:$O$1004,"Yes")+SUMIFS('Who Engaged'!$J$5:$J$1004,'Who Engaged'!$C$5:$C$1004,C184,'Who Engaged'!$O$5:$O$1004,"Yes")+SUMIFS('Who Engaged'!$K$5:$K$1004,'Who Engaged'!$C$5:$C$1004,C184,'Who Engaged'!$O$5:$O$1004,"Yes")+SUMIFS('Who Engaged'!$L$5:$L$1004,'Who Engaged'!$C$5:$C$1004,C184,'Who Engaged'!$O$5:$O$1004,"Yes"))</f>
        <v/>
      </c>
      <c r="R184" s="23" t="str">
        <f aca="false">IF(OR(OR(A184="",B184="",C184=""),P184=""),"",MAX(0,P184-N(Q184)))</f>
        <v/>
      </c>
      <c r="S184" s="24" t="str">
        <f aca="false">IF(OR(OR(A184="",B184="",C184=""),R184=""),"",IFERROR(R184/(IF(N(H184)&gt;0,H184,IF(N(I184)&gt;0,I184,IF(COUNTIFS($B$16:$B$215,B184,$H$16:$H$215,"&gt;0")+COUNTIFS($B$16:$B$215,B184,$I$16:$I$215,"&gt;0")&gt;0,"",INDEX($B$5:$B$7,MATCH(B184,$A$5:$A$7,0)))))),""))</f>
        <v/>
      </c>
      <c r="T184" s="25" t="str">
        <f aca="false">IF(OR(A184="",B184="",C184=""),"",IF(OR(S184="",COUNTIFS($B$16:$B$215,B184,$S$16:$S$215,"&gt;=0")&lt;2),"No Data Yet",IFERROR(IF(S184/AVERAGEIFS($S$16:$S$215,$B$16:$B$215,B184)&gt;=1.2,"Good",IF(S184/AVERAGEIFS($S$16:$S$215,$B$16:$B$215,B184)&gt;=0.8,"Average","Below Standard")),"Average")))</f>
        <v/>
      </c>
      <c r="U184" s="23" t="str">
        <f aca="false">IF(OR(A184="",B184="",C184=""),"",COUNTIFS('Who Engaged'!$C$5:$C$1004,C184,'Who Engaged'!$P$5:$P$1004,"Yes",'Who Engaged'!$N$5:$N$1004,1))</f>
        <v/>
      </c>
      <c r="V184" s="23" t="str">
        <f aca="false">IF(OR(A184="",B184="",C184=""),"",COUNTIFS('Who Engaged'!$C$5:$C$1004,C184,'Who Engaged'!$P$5:$P$1004,"Yes",'Who Engaged'!$M$5:$M$1004,1))</f>
        <v/>
      </c>
      <c r="W184" s="26" t="str">
        <f aca="false" t="array" ref="W184:W184">IF(OR(A184="",B184="",C184=""),"",_xlfn.TEXTJOIN("; ",TRUE(),IF(('Who Engaged'!$C$5:$C$1004=C184)*('Who Engaged'!$P$5:$P$1004="Yes"),'Who Engaged'!$D$5:$D$1004&amp;" – "&amp;'Who Engaged'!$F$5:$F$1004&amp;IF('Who Engaged'!$M$5:$M$1004=1," (followed)",""),"")))</f>
        <v/>
      </c>
      <c r="X184" s="27"/>
      <c r="Y184" s="27"/>
      <c r="Z184" s="28"/>
      <c r="AA184" s="25" t="str">
        <f aca="false">IF(OR(A184="",B184="",C184=""),"","https://www.alphanodus.com/contact?utm_source="&amp;IF(B184="X","twitter",LOWER(B184))&amp;"&amp;utm_medium=social&amp;utm_campaign="&amp;IF(E184="","general",LOWER(SUBSTITUTE(SUBSTITUTE(E184," / ","-")," ","-")))&amp;"&amp;utm_content="&amp;LOWER(C184))</f>
        <v/>
      </c>
    </row>
    <row r="185" customFormat="false" ht="15" hidden="false" customHeight="false" outlineLevel="0" collapsed="false">
      <c r="A185" s="29"/>
      <c r="B185" s="28"/>
      <c r="C185" s="28"/>
      <c r="D185" s="27"/>
      <c r="E185" s="28"/>
      <c r="F185" s="28"/>
      <c r="G185" s="28"/>
      <c r="H185" s="22"/>
      <c r="I185" s="22"/>
      <c r="J185" s="22"/>
      <c r="K185" s="22"/>
      <c r="L185" s="22"/>
      <c r="M185" s="22"/>
      <c r="N185" s="22"/>
      <c r="O185" s="22"/>
      <c r="P185" s="23" t="str">
        <f aca="false">IF(OR(A185="",B185="",C185=""),"",IF(COUNT(J185:N185)=0,"",SUM(J185:N185)))</f>
        <v/>
      </c>
      <c r="Q185" s="23" t="str">
        <f aca="false">IF(OR(A185="",B185="",C185=""),"",SUMIFS('Who Engaged'!$I$5:$I$1004,'Who Engaged'!$C$5:$C$1004,C185,'Who Engaged'!$O$5:$O$1004,"Yes")+SUMIFS('Who Engaged'!$J$5:$J$1004,'Who Engaged'!$C$5:$C$1004,C185,'Who Engaged'!$O$5:$O$1004,"Yes")+SUMIFS('Who Engaged'!$K$5:$K$1004,'Who Engaged'!$C$5:$C$1004,C185,'Who Engaged'!$O$5:$O$1004,"Yes")+SUMIFS('Who Engaged'!$L$5:$L$1004,'Who Engaged'!$C$5:$C$1004,C185,'Who Engaged'!$O$5:$O$1004,"Yes"))</f>
        <v/>
      </c>
      <c r="R185" s="23" t="str">
        <f aca="false">IF(OR(OR(A185="",B185="",C185=""),P185=""),"",MAX(0,P185-N(Q185)))</f>
        <v/>
      </c>
      <c r="S185" s="24" t="str">
        <f aca="false">IF(OR(OR(A185="",B185="",C185=""),R185=""),"",IFERROR(R185/(IF(N(H185)&gt;0,H185,IF(N(I185)&gt;0,I185,IF(COUNTIFS($B$16:$B$215,B185,$H$16:$H$215,"&gt;0")+COUNTIFS($B$16:$B$215,B185,$I$16:$I$215,"&gt;0")&gt;0,"",INDEX($B$5:$B$7,MATCH(B185,$A$5:$A$7,0)))))),""))</f>
        <v/>
      </c>
      <c r="T185" s="25" t="str">
        <f aca="false">IF(OR(A185="",B185="",C185=""),"",IF(OR(S185="",COUNTIFS($B$16:$B$215,B185,$S$16:$S$215,"&gt;=0")&lt;2),"No Data Yet",IFERROR(IF(S185/AVERAGEIFS($S$16:$S$215,$B$16:$B$215,B185)&gt;=1.2,"Good",IF(S185/AVERAGEIFS($S$16:$S$215,$B$16:$B$215,B185)&gt;=0.8,"Average","Below Standard")),"Average")))</f>
        <v/>
      </c>
      <c r="U185" s="23" t="str">
        <f aca="false">IF(OR(A185="",B185="",C185=""),"",COUNTIFS('Who Engaged'!$C$5:$C$1004,C185,'Who Engaged'!$P$5:$P$1004,"Yes",'Who Engaged'!$N$5:$N$1004,1))</f>
        <v/>
      </c>
      <c r="V185" s="23" t="str">
        <f aca="false">IF(OR(A185="",B185="",C185=""),"",COUNTIFS('Who Engaged'!$C$5:$C$1004,C185,'Who Engaged'!$P$5:$P$1004,"Yes",'Who Engaged'!$M$5:$M$1004,1))</f>
        <v/>
      </c>
      <c r="W185" s="26" t="str">
        <f aca="false" t="array" ref="W185:W185">IF(OR(A185="",B185="",C185=""),"",_xlfn.TEXTJOIN("; ",TRUE(),IF(('Who Engaged'!$C$5:$C$1004=C185)*('Who Engaged'!$P$5:$P$1004="Yes"),'Who Engaged'!$D$5:$D$1004&amp;" – "&amp;'Who Engaged'!$F$5:$F$1004&amp;IF('Who Engaged'!$M$5:$M$1004=1," (followed)",""),"")))</f>
        <v/>
      </c>
      <c r="X185" s="27"/>
      <c r="Y185" s="27"/>
      <c r="Z185" s="28"/>
      <c r="AA185" s="25" t="str">
        <f aca="false">IF(OR(A185="",B185="",C185=""),"","https://www.alphanodus.com/contact?utm_source="&amp;IF(B185="X","twitter",LOWER(B185))&amp;"&amp;utm_medium=social&amp;utm_campaign="&amp;IF(E185="","general",LOWER(SUBSTITUTE(SUBSTITUTE(E185," / ","-")," ","-")))&amp;"&amp;utm_content="&amp;LOWER(C185))</f>
        <v/>
      </c>
    </row>
    <row r="186" customFormat="false" ht="15" hidden="false" customHeight="false" outlineLevel="0" collapsed="false">
      <c r="A186" s="29"/>
      <c r="B186" s="28"/>
      <c r="C186" s="28"/>
      <c r="D186" s="27"/>
      <c r="E186" s="28"/>
      <c r="F186" s="28"/>
      <c r="G186" s="28"/>
      <c r="H186" s="22"/>
      <c r="I186" s="22"/>
      <c r="J186" s="22"/>
      <c r="K186" s="22"/>
      <c r="L186" s="22"/>
      <c r="M186" s="22"/>
      <c r="N186" s="22"/>
      <c r="O186" s="22"/>
      <c r="P186" s="23" t="str">
        <f aca="false">IF(OR(A186="",B186="",C186=""),"",IF(COUNT(J186:N186)=0,"",SUM(J186:N186)))</f>
        <v/>
      </c>
      <c r="Q186" s="23" t="str">
        <f aca="false">IF(OR(A186="",B186="",C186=""),"",SUMIFS('Who Engaged'!$I$5:$I$1004,'Who Engaged'!$C$5:$C$1004,C186,'Who Engaged'!$O$5:$O$1004,"Yes")+SUMIFS('Who Engaged'!$J$5:$J$1004,'Who Engaged'!$C$5:$C$1004,C186,'Who Engaged'!$O$5:$O$1004,"Yes")+SUMIFS('Who Engaged'!$K$5:$K$1004,'Who Engaged'!$C$5:$C$1004,C186,'Who Engaged'!$O$5:$O$1004,"Yes")+SUMIFS('Who Engaged'!$L$5:$L$1004,'Who Engaged'!$C$5:$C$1004,C186,'Who Engaged'!$O$5:$O$1004,"Yes"))</f>
        <v/>
      </c>
      <c r="R186" s="23" t="str">
        <f aca="false">IF(OR(OR(A186="",B186="",C186=""),P186=""),"",MAX(0,P186-N(Q186)))</f>
        <v/>
      </c>
      <c r="S186" s="24" t="str">
        <f aca="false">IF(OR(OR(A186="",B186="",C186=""),R186=""),"",IFERROR(R186/(IF(N(H186)&gt;0,H186,IF(N(I186)&gt;0,I186,IF(COUNTIFS($B$16:$B$215,B186,$H$16:$H$215,"&gt;0")+COUNTIFS($B$16:$B$215,B186,$I$16:$I$215,"&gt;0")&gt;0,"",INDEX($B$5:$B$7,MATCH(B186,$A$5:$A$7,0)))))),""))</f>
        <v/>
      </c>
      <c r="T186" s="25" t="str">
        <f aca="false">IF(OR(A186="",B186="",C186=""),"",IF(OR(S186="",COUNTIFS($B$16:$B$215,B186,$S$16:$S$215,"&gt;=0")&lt;2),"No Data Yet",IFERROR(IF(S186/AVERAGEIFS($S$16:$S$215,$B$16:$B$215,B186)&gt;=1.2,"Good",IF(S186/AVERAGEIFS($S$16:$S$215,$B$16:$B$215,B186)&gt;=0.8,"Average","Below Standard")),"Average")))</f>
        <v/>
      </c>
      <c r="U186" s="23" t="str">
        <f aca="false">IF(OR(A186="",B186="",C186=""),"",COUNTIFS('Who Engaged'!$C$5:$C$1004,C186,'Who Engaged'!$P$5:$P$1004,"Yes",'Who Engaged'!$N$5:$N$1004,1))</f>
        <v/>
      </c>
      <c r="V186" s="23" t="str">
        <f aca="false">IF(OR(A186="",B186="",C186=""),"",COUNTIFS('Who Engaged'!$C$5:$C$1004,C186,'Who Engaged'!$P$5:$P$1004,"Yes",'Who Engaged'!$M$5:$M$1004,1))</f>
        <v/>
      </c>
      <c r="W186" s="26" t="str">
        <f aca="false" t="array" ref="W186:W186">IF(OR(A186="",B186="",C186=""),"",_xlfn.TEXTJOIN("; ",TRUE(),IF(('Who Engaged'!$C$5:$C$1004=C186)*('Who Engaged'!$P$5:$P$1004="Yes"),'Who Engaged'!$D$5:$D$1004&amp;" – "&amp;'Who Engaged'!$F$5:$F$1004&amp;IF('Who Engaged'!$M$5:$M$1004=1," (followed)",""),"")))</f>
        <v/>
      </c>
      <c r="X186" s="27"/>
      <c r="Y186" s="27"/>
      <c r="Z186" s="28"/>
      <c r="AA186" s="25" t="str">
        <f aca="false">IF(OR(A186="",B186="",C186=""),"","https://www.alphanodus.com/contact?utm_source="&amp;IF(B186="X","twitter",LOWER(B186))&amp;"&amp;utm_medium=social&amp;utm_campaign="&amp;IF(E186="","general",LOWER(SUBSTITUTE(SUBSTITUTE(E186," / ","-")," ","-")))&amp;"&amp;utm_content="&amp;LOWER(C186))</f>
        <v/>
      </c>
    </row>
    <row r="187" customFormat="false" ht="15" hidden="false" customHeight="false" outlineLevel="0" collapsed="false">
      <c r="A187" s="29"/>
      <c r="B187" s="28"/>
      <c r="C187" s="28"/>
      <c r="D187" s="27"/>
      <c r="E187" s="28"/>
      <c r="F187" s="28"/>
      <c r="G187" s="28"/>
      <c r="H187" s="22"/>
      <c r="I187" s="22"/>
      <c r="J187" s="22"/>
      <c r="K187" s="22"/>
      <c r="L187" s="22"/>
      <c r="M187" s="22"/>
      <c r="N187" s="22"/>
      <c r="O187" s="22"/>
      <c r="P187" s="23" t="str">
        <f aca="false">IF(OR(A187="",B187="",C187=""),"",IF(COUNT(J187:N187)=0,"",SUM(J187:N187)))</f>
        <v/>
      </c>
      <c r="Q187" s="23" t="str">
        <f aca="false">IF(OR(A187="",B187="",C187=""),"",SUMIFS('Who Engaged'!$I$5:$I$1004,'Who Engaged'!$C$5:$C$1004,C187,'Who Engaged'!$O$5:$O$1004,"Yes")+SUMIFS('Who Engaged'!$J$5:$J$1004,'Who Engaged'!$C$5:$C$1004,C187,'Who Engaged'!$O$5:$O$1004,"Yes")+SUMIFS('Who Engaged'!$K$5:$K$1004,'Who Engaged'!$C$5:$C$1004,C187,'Who Engaged'!$O$5:$O$1004,"Yes")+SUMIFS('Who Engaged'!$L$5:$L$1004,'Who Engaged'!$C$5:$C$1004,C187,'Who Engaged'!$O$5:$O$1004,"Yes"))</f>
        <v/>
      </c>
      <c r="R187" s="23" t="str">
        <f aca="false">IF(OR(OR(A187="",B187="",C187=""),P187=""),"",MAX(0,P187-N(Q187)))</f>
        <v/>
      </c>
      <c r="S187" s="24" t="str">
        <f aca="false">IF(OR(OR(A187="",B187="",C187=""),R187=""),"",IFERROR(R187/(IF(N(H187)&gt;0,H187,IF(N(I187)&gt;0,I187,IF(COUNTIFS($B$16:$B$215,B187,$H$16:$H$215,"&gt;0")+COUNTIFS($B$16:$B$215,B187,$I$16:$I$215,"&gt;0")&gt;0,"",INDEX($B$5:$B$7,MATCH(B187,$A$5:$A$7,0)))))),""))</f>
        <v/>
      </c>
      <c r="T187" s="25" t="str">
        <f aca="false">IF(OR(A187="",B187="",C187=""),"",IF(OR(S187="",COUNTIFS($B$16:$B$215,B187,$S$16:$S$215,"&gt;=0")&lt;2),"No Data Yet",IFERROR(IF(S187/AVERAGEIFS($S$16:$S$215,$B$16:$B$215,B187)&gt;=1.2,"Good",IF(S187/AVERAGEIFS($S$16:$S$215,$B$16:$B$215,B187)&gt;=0.8,"Average","Below Standard")),"Average")))</f>
        <v/>
      </c>
      <c r="U187" s="23" t="str">
        <f aca="false">IF(OR(A187="",B187="",C187=""),"",COUNTIFS('Who Engaged'!$C$5:$C$1004,C187,'Who Engaged'!$P$5:$P$1004,"Yes",'Who Engaged'!$N$5:$N$1004,1))</f>
        <v/>
      </c>
      <c r="V187" s="23" t="str">
        <f aca="false">IF(OR(A187="",B187="",C187=""),"",COUNTIFS('Who Engaged'!$C$5:$C$1004,C187,'Who Engaged'!$P$5:$P$1004,"Yes",'Who Engaged'!$M$5:$M$1004,1))</f>
        <v/>
      </c>
      <c r="W187" s="26" t="str">
        <f aca="false" t="array" ref="W187:W187">IF(OR(A187="",B187="",C187=""),"",_xlfn.TEXTJOIN("; ",TRUE(),IF(('Who Engaged'!$C$5:$C$1004=C187)*('Who Engaged'!$P$5:$P$1004="Yes"),'Who Engaged'!$D$5:$D$1004&amp;" – "&amp;'Who Engaged'!$F$5:$F$1004&amp;IF('Who Engaged'!$M$5:$M$1004=1," (followed)",""),"")))</f>
        <v/>
      </c>
      <c r="X187" s="27"/>
      <c r="Y187" s="27"/>
      <c r="Z187" s="28"/>
      <c r="AA187" s="25" t="str">
        <f aca="false">IF(OR(A187="",B187="",C187=""),"","https://www.alphanodus.com/contact?utm_source="&amp;IF(B187="X","twitter",LOWER(B187))&amp;"&amp;utm_medium=social&amp;utm_campaign="&amp;IF(E187="","general",LOWER(SUBSTITUTE(SUBSTITUTE(E187," / ","-")," ","-")))&amp;"&amp;utm_content="&amp;LOWER(C187))</f>
        <v/>
      </c>
    </row>
    <row r="188" customFormat="false" ht="15" hidden="false" customHeight="false" outlineLevel="0" collapsed="false">
      <c r="A188" s="29"/>
      <c r="B188" s="28"/>
      <c r="C188" s="28"/>
      <c r="D188" s="27"/>
      <c r="E188" s="28"/>
      <c r="F188" s="28"/>
      <c r="G188" s="28"/>
      <c r="H188" s="22"/>
      <c r="I188" s="22"/>
      <c r="J188" s="22"/>
      <c r="K188" s="22"/>
      <c r="L188" s="22"/>
      <c r="M188" s="22"/>
      <c r="N188" s="22"/>
      <c r="O188" s="22"/>
      <c r="P188" s="23" t="str">
        <f aca="false">IF(OR(A188="",B188="",C188=""),"",IF(COUNT(J188:N188)=0,"",SUM(J188:N188)))</f>
        <v/>
      </c>
      <c r="Q188" s="23" t="str">
        <f aca="false">IF(OR(A188="",B188="",C188=""),"",SUMIFS('Who Engaged'!$I$5:$I$1004,'Who Engaged'!$C$5:$C$1004,C188,'Who Engaged'!$O$5:$O$1004,"Yes")+SUMIFS('Who Engaged'!$J$5:$J$1004,'Who Engaged'!$C$5:$C$1004,C188,'Who Engaged'!$O$5:$O$1004,"Yes")+SUMIFS('Who Engaged'!$K$5:$K$1004,'Who Engaged'!$C$5:$C$1004,C188,'Who Engaged'!$O$5:$O$1004,"Yes")+SUMIFS('Who Engaged'!$L$5:$L$1004,'Who Engaged'!$C$5:$C$1004,C188,'Who Engaged'!$O$5:$O$1004,"Yes"))</f>
        <v/>
      </c>
      <c r="R188" s="23" t="str">
        <f aca="false">IF(OR(OR(A188="",B188="",C188=""),P188=""),"",MAX(0,P188-N(Q188)))</f>
        <v/>
      </c>
      <c r="S188" s="24" t="str">
        <f aca="false">IF(OR(OR(A188="",B188="",C188=""),R188=""),"",IFERROR(R188/(IF(N(H188)&gt;0,H188,IF(N(I188)&gt;0,I188,IF(COUNTIFS($B$16:$B$215,B188,$H$16:$H$215,"&gt;0")+COUNTIFS($B$16:$B$215,B188,$I$16:$I$215,"&gt;0")&gt;0,"",INDEX($B$5:$B$7,MATCH(B188,$A$5:$A$7,0)))))),""))</f>
        <v/>
      </c>
      <c r="T188" s="25" t="str">
        <f aca="false">IF(OR(A188="",B188="",C188=""),"",IF(OR(S188="",COUNTIFS($B$16:$B$215,B188,$S$16:$S$215,"&gt;=0")&lt;2),"No Data Yet",IFERROR(IF(S188/AVERAGEIFS($S$16:$S$215,$B$16:$B$215,B188)&gt;=1.2,"Good",IF(S188/AVERAGEIFS($S$16:$S$215,$B$16:$B$215,B188)&gt;=0.8,"Average","Below Standard")),"Average")))</f>
        <v/>
      </c>
      <c r="U188" s="23" t="str">
        <f aca="false">IF(OR(A188="",B188="",C188=""),"",COUNTIFS('Who Engaged'!$C$5:$C$1004,C188,'Who Engaged'!$P$5:$P$1004,"Yes",'Who Engaged'!$N$5:$N$1004,1))</f>
        <v/>
      </c>
      <c r="V188" s="23" t="str">
        <f aca="false">IF(OR(A188="",B188="",C188=""),"",COUNTIFS('Who Engaged'!$C$5:$C$1004,C188,'Who Engaged'!$P$5:$P$1004,"Yes",'Who Engaged'!$M$5:$M$1004,1))</f>
        <v/>
      </c>
      <c r="W188" s="26" t="str">
        <f aca="false" t="array" ref="W188:W188">IF(OR(A188="",B188="",C188=""),"",_xlfn.TEXTJOIN("; ",TRUE(),IF(('Who Engaged'!$C$5:$C$1004=C188)*('Who Engaged'!$P$5:$P$1004="Yes"),'Who Engaged'!$D$5:$D$1004&amp;" – "&amp;'Who Engaged'!$F$5:$F$1004&amp;IF('Who Engaged'!$M$5:$M$1004=1," (followed)",""),"")))</f>
        <v/>
      </c>
      <c r="X188" s="27"/>
      <c r="Y188" s="27"/>
      <c r="Z188" s="28"/>
      <c r="AA188" s="25" t="str">
        <f aca="false">IF(OR(A188="",B188="",C188=""),"","https://www.alphanodus.com/contact?utm_source="&amp;IF(B188="X","twitter",LOWER(B188))&amp;"&amp;utm_medium=social&amp;utm_campaign="&amp;IF(E188="","general",LOWER(SUBSTITUTE(SUBSTITUTE(E188," / ","-")," ","-")))&amp;"&amp;utm_content="&amp;LOWER(C188))</f>
        <v/>
      </c>
    </row>
    <row r="189" customFormat="false" ht="15" hidden="false" customHeight="false" outlineLevel="0" collapsed="false">
      <c r="A189" s="29"/>
      <c r="B189" s="28"/>
      <c r="C189" s="28"/>
      <c r="D189" s="27"/>
      <c r="E189" s="28"/>
      <c r="F189" s="28"/>
      <c r="G189" s="28"/>
      <c r="H189" s="22"/>
      <c r="I189" s="22"/>
      <c r="J189" s="22"/>
      <c r="K189" s="22"/>
      <c r="L189" s="22"/>
      <c r="M189" s="22"/>
      <c r="N189" s="22"/>
      <c r="O189" s="22"/>
      <c r="P189" s="23" t="str">
        <f aca="false">IF(OR(A189="",B189="",C189=""),"",IF(COUNT(J189:N189)=0,"",SUM(J189:N189)))</f>
        <v/>
      </c>
      <c r="Q189" s="23" t="str">
        <f aca="false">IF(OR(A189="",B189="",C189=""),"",SUMIFS('Who Engaged'!$I$5:$I$1004,'Who Engaged'!$C$5:$C$1004,C189,'Who Engaged'!$O$5:$O$1004,"Yes")+SUMIFS('Who Engaged'!$J$5:$J$1004,'Who Engaged'!$C$5:$C$1004,C189,'Who Engaged'!$O$5:$O$1004,"Yes")+SUMIFS('Who Engaged'!$K$5:$K$1004,'Who Engaged'!$C$5:$C$1004,C189,'Who Engaged'!$O$5:$O$1004,"Yes")+SUMIFS('Who Engaged'!$L$5:$L$1004,'Who Engaged'!$C$5:$C$1004,C189,'Who Engaged'!$O$5:$O$1004,"Yes"))</f>
        <v/>
      </c>
      <c r="R189" s="23" t="str">
        <f aca="false">IF(OR(OR(A189="",B189="",C189=""),P189=""),"",MAX(0,P189-N(Q189)))</f>
        <v/>
      </c>
      <c r="S189" s="24" t="str">
        <f aca="false">IF(OR(OR(A189="",B189="",C189=""),R189=""),"",IFERROR(R189/(IF(N(H189)&gt;0,H189,IF(N(I189)&gt;0,I189,IF(COUNTIFS($B$16:$B$215,B189,$H$16:$H$215,"&gt;0")+COUNTIFS($B$16:$B$215,B189,$I$16:$I$215,"&gt;0")&gt;0,"",INDEX($B$5:$B$7,MATCH(B189,$A$5:$A$7,0)))))),""))</f>
        <v/>
      </c>
      <c r="T189" s="25" t="str">
        <f aca="false">IF(OR(A189="",B189="",C189=""),"",IF(OR(S189="",COUNTIFS($B$16:$B$215,B189,$S$16:$S$215,"&gt;=0")&lt;2),"No Data Yet",IFERROR(IF(S189/AVERAGEIFS($S$16:$S$215,$B$16:$B$215,B189)&gt;=1.2,"Good",IF(S189/AVERAGEIFS($S$16:$S$215,$B$16:$B$215,B189)&gt;=0.8,"Average","Below Standard")),"Average")))</f>
        <v/>
      </c>
      <c r="U189" s="23" t="str">
        <f aca="false">IF(OR(A189="",B189="",C189=""),"",COUNTIFS('Who Engaged'!$C$5:$C$1004,C189,'Who Engaged'!$P$5:$P$1004,"Yes",'Who Engaged'!$N$5:$N$1004,1))</f>
        <v/>
      </c>
      <c r="V189" s="23" t="str">
        <f aca="false">IF(OR(A189="",B189="",C189=""),"",COUNTIFS('Who Engaged'!$C$5:$C$1004,C189,'Who Engaged'!$P$5:$P$1004,"Yes",'Who Engaged'!$M$5:$M$1004,1))</f>
        <v/>
      </c>
      <c r="W189" s="26" t="str">
        <f aca="false" t="array" ref="W189:W189">IF(OR(A189="",B189="",C189=""),"",_xlfn.TEXTJOIN("; ",TRUE(),IF(('Who Engaged'!$C$5:$C$1004=C189)*('Who Engaged'!$P$5:$P$1004="Yes"),'Who Engaged'!$D$5:$D$1004&amp;" – "&amp;'Who Engaged'!$F$5:$F$1004&amp;IF('Who Engaged'!$M$5:$M$1004=1," (followed)",""),"")))</f>
        <v/>
      </c>
      <c r="X189" s="27"/>
      <c r="Y189" s="27"/>
      <c r="Z189" s="28"/>
      <c r="AA189" s="25" t="str">
        <f aca="false">IF(OR(A189="",B189="",C189=""),"","https://www.alphanodus.com/contact?utm_source="&amp;IF(B189="X","twitter",LOWER(B189))&amp;"&amp;utm_medium=social&amp;utm_campaign="&amp;IF(E189="","general",LOWER(SUBSTITUTE(SUBSTITUTE(E189," / ","-")," ","-")))&amp;"&amp;utm_content="&amp;LOWER(C189))</f>
        <v/>
      </c>
    </row>
    <row r="190" customFormat="false" ht="15" hidden="false" customHeight="false" outlineLevel="0" collapsed="false">
      <c r="A190" s="29"/>
      <c r="B190" s="28"/>
      <c r="C190" s="28"/>
      <c r="D190" s="27"/>
      <c r="E190" s="28"/>
      <c r="F190" s="28"/>
      <c r="G190" s="28"/>
      <c r="H190" s="22"/>
      <c r="I190" s="22"/>
      <c r="J190" s="22"/>
      <c r="K190" s="22"/>
      <c r="L190" s="22"/>
      <c r="M190" s="22"/>
      <c r="N190" s="22"/>
      <c r="O190" s="22"/>
      <c r="P190" s="23" t="str">
        <f aca="false">IF(OR(A190="",B190="",C190=""),"",IF(COUNT(J190:N190)=0,"",SUM(J190:N190)))</f>
        <v/>
      </c>
      <c r="Q190" s="23" t="str">
        <f aca="false">IF(OR(A190="",B190="",C190=""),"",SUMIFS('Who Engaged'!$I$5:$I$1004,'Who Engaged'!$C$5:$C$1004,C190,'Who Engaged'!$O$5:$O$1004,"Yes")+SUMIFS('Who Engaged'!$J$5:$J$1004,'Who Engaged'!$C$5:$C$1004,C190,'Who Engaged'!$O$5:$O$1004,"Yes")+SUMIFS('Who Engaged'!$K$5:$K$1004,'Who Engaged'!$C$5:$C$1004,C190,'Who Engaged'!$O$5:$O$1004,"Yes")+SUMIFS('Who Engaged'!$L$5:$L$1004,'Who Engaged'!$C$5:$C$1004,C190,'Who Engaged'!$O$5:$O$1004,"Yes"))</f>
        <v/>
      </c>
      <c r="R190" s="23" t="str">
        <f aca="false">IF(OR(OR(A190="",B190="",C190=""),P190=""),"",MAX(0,P190-N(Q190)))</f>
        <v/>
      </c>
      <c r="S190" s="24" t="str">
        <f aca="false">IF(OR(OR(A190="",B190="",C190=""),R190=""),"",IFERROR(R190/(IF(N(H190)&gt;0,H190,IF(N(I190)&gt;0,I190,IF(COUNTIFS($B$16:$B$215,B190,$H$16:$H$215,"&gt;0")+COUNTIFS($B$16:$B$215,B190,$I$16:$I$215,"&gt;0")&gt;0,"",INDEX($B$5:$B$7,MATCH(B190,$A$5:$A$7,0)))))),""))</f>
        <v/>
      </c>
      <c r="T190" s="25" t="str">
        <f aca="false">IF(OR(A190="",B190="",C190=""),"",IF(OR(S190="",COUNTIFS($B$16:$B$215,B190,$S$16:$S$215,"&gt;=0")&lt;2),"No Data Yet",IFERROR(IF(S190/AVERAGEIFS($S$16:$S$215,$B$16:$B$215,B190)&gt;=1.2,"Good",IF(S190/AVERAGEIFS($S$16:$S$215,$B$16:$B$215,B190)&gt;=0.8,"Average","Below Standard")),"Average")))</f>
        <v/>
      </c>
      <c r="U190" s="23" t="str">
        <f aca="false">IF(OR(A190="",B190="",C190=""),"",COUNTIFS('Who Engaged'!$C$5:$C$1004,C190,'Who Engaged'!$P$5:$P$1004,"Yes",'Who Engaged'!$N$5:$N$1004,1))</f>
        <v/>
      </c>
      <c r="V190" s="23" t="str">
        <f aca="false">IF(OR(A190="",B190="",C190=""),"",COUNTIFS('Who Engaged'!$C$5:$C$1004,C190,'Who Engaged'!$P$5:$P$1004,"Yes",'Who Engaged'!$M$5:$M$1004,1))</f>
        <v/>
      </c>
      <c r="W190" s="26" t="str">
        <f aca="false" t="array" ref="W190:W190">IF(OR(A190="",B190="",C190=""),"",_xlfn.TEXTJOIN("; ",TRUE(),IF(('Who Engaged'!$C$5:$C$1004=C190)*('Who Engaged'!$P$5:$P$1004="Yes"),'Who Engaged'!$D$5:$D$1004&amp;" – "&amp;'Who Engaged'!$F$5:$F$1004&amp;IF('Who Engaged'!$M$5:$M$1004=1," (followed)",""),"")))</f>
        <v/>
      </c>
      <c r="X190" s="27"/>
      <c r="Y190" s="27"/>
      <c r="Z190" s="28"/>
      <c r="AA190" s="25" t="str">
        <f aca="false">IF(OR(A190="",B190="",C190=""),"","https://www.alphanodus.com/contact?utm_source="&amp;IF(B190="X","twitter",LOWER(B190))&amp;"&amp;utm_medium=social&amp;utm_campaign="&amp;IF(E190="","general",LOWER(SUBSTITUTE(SUBSTITUTE(E190," / ","-")," ","-")))&amp;"&amp;utm_content="&amp;LOWER(C190))</f>
        <v/>
      </c>
    </row>
    <row r="191" customFormat="false" ht="15" hidden="false" customHeight="false" outlineLevel="0" collapsed="false">
      <c r="A191" s="29"/>
      <c r="B191" s="28"/>
      <c r="C191" s="28"/>
      <c r="D191" s="27"/>
      <c r="E191" s="28"/>
      <c r="F191" s="28"/>
      <c r="G191" s="28"/>
      <c r="H191" s="22"/>
      <c r="I191" s="22"/>
      <c r="J191" s="22"/>
      <c r="K191" s="22"/>
      <c r="L191" s="22"/>
      <c r="M191" s="22"/>
      <c r="N191" s="22"/>
      <c r="O191" s="22"/>
      <c r="P191" s="23" t="str">
        <f aca="false">IF(OR(A191="",B191="",C191=""),"",IF(COUNT(J191:N191)=0,"",SUM(J191:N191)))</f>
        <v/>
      </c>
      <c r="Q191" s="23" t="str">
        <f aca="false">IF(OR(A191="",B191="",C191=""),"",SUMIFS('Who Engaged'!$I$5:$I$1004,'Who Engaged'!$C$5:$C$1004,C191,'Who Engaged'!$O$5:$O$1004,"Yes")+SUMIFS('Who Engaged'!$J$5:$J$1004,'Who Engaged'!$C$5:$C$1004,C191,'Who Engaged'!$O$5:$O$1004,"Yes")+SUMIFS('Who Engaged'!$K$5:$K$1004,'Who Engaged'!$C$5:$C$1004,C191,'Who Engaged'!$O$5:$O$1004,"Yes")+SUMIFS('Who Engaged'!$L$5:$L$1004,'Who Engaged'!$C$5:$C$1004,C191,'Who Engaged'!$O$5:$O$1004,"Yes"))</f>
        <v/>
      </c>
      <c r="R191" s="23" t="str">
        <f aca="false">IF(OR(OR(A191="",B191="",C191=""),P191=""),"",MAX(0,P191-N(Q191)))</f>
        <v/>
      </c>
      <c r="S191" s="24" t="str">
        <f aca="false">IF(OR(OR(A191="",B191="",C191=""),R191=""),"",IFERROR(R191/(IF(N(H191)&gt;0,H191,IF(N(I191)&gt;0,I191,IF(COUNTIFS($B$16:$B$215,B191,$H$16:$H$215,"&gt;0")+COUNTIFS($B$16:$B$215,B191,$I$16:$I$215,"&gt;0")&gt;0,"",INDEX($B$5:$B$7,MATCH(B191,$A$5:$A$7,0)))))),""))</f>
        <v/>
      </c>
      <c r="T191" s="25" t="str">
        <f aca="false">IF(OR(A191="",B191="",C191=""),"",IF(OR(S191="",COUNTIFS($B$16:$B$215,B191,$S$16:$S$215,"&gt;=0")&lt;2),"No Data Yet",IFERROR(IF(S191/AVERAGEIFS($S$16:$S$215,$B$16:$B$215,B191)&gt;=1.2,"Good",IF(S191/AVERAGEIFS($S$16:$S$215,$B$16:$B$215,B191)&gt;=0.8,"Average","Below Standard")),"Average")))</f>
        <v/>
      </c>
      <c r="U191" s="23" t="str">
        <f aca="false">IF(OR(A191="",B191="",C191=""),"",COUNTIFS('Who Engaged'!$C$5:$C$1004,C191,'Who Engaged'!$P$5:$P$1004,"Yes",'Who Engaged'!$N$5:$N$1004,1))</f>
        <v/>
      </c>
      <c r="V191" s="23" t="str">
        <f aca="false">IF(OR(A191="",B191="",C191=""),"",COUNTIFS('Who Engaged'!$C$5:$C$1004,C191,'Who Engaged'!$P$5:$P$1004,"Yes",'Who Engaged'!$M$5:$M$1004,1))</f>
        <v/>
      </c>
      <c r="W191" s="26" t="str">
        <f aca="false" t="array" ref="W191:W191">IF(OR(A191="",B191="",C191=""),"",_xlfn.TEXTJOIN("; ",TRUE(),IF(('Who Engaged'!$C$5:$C$1004=C191)*('Who Engaged'!$P$5:$P$1004="Yes"),'Who Engaged'!$D$5:$D$1004&amp;" – "&amp;'Who Engaged'!$F$5:$F$1004&amp;IF('Who Engaged'!$M$5:$M$1004=1," (followed)",""),"")))</f>
        <v/>
      </c>
      <c r="X191" s="27"/>
      <c r="Y191" s="27"/>
      <c r="Z191" s="28"/>
      <c r="AA191" s="25" t="str">
        <f aca="false">IF(OR(A191="",B191="",C191=""),"","https://www.alphanodus.com/contact?utm_source="&amp;IF(B191="X","twitter",LOWER(B191))&amp;"&amp;utm_medium=social&amp;utm_campaign="&amp;IF(E191="","general",LOWER(SUBSTITUTE(SUBSTITUTE(E191," / ","-")," ","-")))&amp;"&amp;utm_content="&amp;LOWER(C191))</f>
        <v/>
      </c>
    </row>
    <row r="192" customFormat="false" ht="15" hidden="false" customHeight="false" outlineLevel="0" collapsed="false">
      <c r="A192" s="29"/>
      <c r="B192" s="28"/>
      <c r="C192" s="28"/>
      <c r="D192" s="27"/>
      <c r="E192" s="28"/>
      <c r="F192" s="28"/>
      <c r="G192" s="28"/>
      <c r="H192" s="22"/>
      <c r="I192" s="22"/>
      <c r="J192" s="22"/>
      <c r="K192" s="22"/>
      <c r="L192" s="22"/>
      <c r="M192" s="22"/>
      <c r="N192" s="22"/>
      <c r="O192" s="22"/>
      <c r="P192" s="23" t="str">
        <f aca="false">IF(OR(A192="",B192="",C192=""),"",IF(COUNT(J192:N192)=0,"",SUM(J192:N192)))</f>
        <v/>
      </c>
      <c r="Q192" s="23" t="str">
        <f aca="false">IF(OR(A192="",B192="",C192=""),"",SUMIFS('Who Engaged'!$I$5:$I$1004,'Who Engaged'!$C$5:$C$1004,C192,'Who Engaged'!$O$5:$O$1004,"Yes")+SUMIFS('Who Engaged'!$J$5:$J$1004,'Who Engaged'!$C$5:$C$1004,C192,'Who Engaged'!$O$5:$O$1004,"Yes")+SUMIFS('Who Engaged'!$K$5:$K$1004,'Who Engaged'!$C$5:$C$1004,C192,'Who Engaged'!$O$5:$O$1004,"Yes")+SUMIFS('Who Engaged'!$L$5:$L$1004,'Who Engaged'!$C$5:$C$1004,C192,'Who Engaged'!$O$5:$O$1004,"Yes"))</f>
        <v/>
      </c>
      <c r="R192" s="23" t="str">
        <f aca="false">IF(OR(OR(A192="",B192="",C192=""),P192=""),"",MAX(0,P192-N(Q192)))</f>
        <v/>
      </c>
      <c r="S192" s="24" t="str">
        <f aca="false">IF(OR(OR(A192="",B192="",C192=""),R192=""),"",IFERROR(R192/(IF(N(H192)&gt;0,H192,IF(N(I192)&gt;0,I192,IF(COUNTIFS($B$16:$B$215,B192,$H$16:$H$215,"&gt;0")+COUNTIFS($B$16:$B$215,B192,$I$16:$I$215,"&gt;0")&gt;0,"",INDEX($B$5:$B$7,MATCH(B192,$A$5:$A$7,0)))))),""))</f>
        <v/>
      </c>
      <c r="T192" s="25" t="str">
        <f aca="false">IF(OR(A192="",B192="",C192=""),"",IF(OR(S192="",COUNTIFS($B$16:$B$215,B192,$S$16:$S$215,"&gt;=0")&lt;2),"No Data Yet",IFERROR(IF(S192/AVERAGEIFS($S$16:$S$215,$B$16:$B$215,B192)&gt;=1.2,"Good",IF(S192/AVERAGEIFS($S$16:$S$215,$B$16:$B$215,B192)&gt;=0.8,"Average","Below Standard")),"Average")))</f>
        <v/>
      </c>
      <c r="U192" s="23" t="str">
        <f aca="false">IF(OR(A192="",B192="",C192=""),"",COUNTIFS('Who Engaged'!$C$5:$C$1004,C192,'Who Engaged'!$P$5:$P$1004,"Yes",'Who Engaged'!$N$5:$N$1004,1))</f>
        <v/>
      </c>
      <c r="V192" s="23" t="str">
        <f aca="false">IF(OR(A192="",B192="",C192=""),"",COUNTIFS('Who Engaged'!$C$5:$C$1004,C192,'Who Engaged'!$P$5:$P$1004,"Yes",'Who Engaged'!$M$5:$M$1004,1))</f>
        <v/>
      </c>
      <c r="W192" s="26" t="str">
        <f aca="false" t="array" ref="W192:W192">IF(OR(A192="",B192="",C192=""),"",_xlfn.TEXTJOIN("; ",TRUE(),IF(('Who Engaged'!$C$5:$C$1004=C192)*('Who Engaged'!$P$5:$P$1004="Yes"),'Who Engaged'!$D$5:$D$1004&amp;" – "&amp;'Who Engaged'!$F$5:$F$1004&amp;IF('Who Engaged'!$M$5:$M$1004=1," (followed)",""),"")))</f>
        <v/>
      </c>
      <c r="X192" s="27"/>
      <c r="Y192" s="27"/>
      <c r="Z192" s="28"/>
      <c r="AA192" s="25" t="str">
        <f aca="false">IF(OR(A192="",B192="",C192=""),"","https://www.alphanodus.com/contact?utm_source="&amp;IF(B192="X","twitter",LOWER(B192))&amp;"&amp;utm_medium=social&amp;utm_campaign="&amp;IF(E192="","general",LOWER(SUBSTITUTE(SUBSTITUTE(E192," / ","-")," ","-")))&amp;"&amp;utm_content="&amp;LOWER(C192))</f>
        <v/>
      </c>
    </row>
    <row r="193" customFormat="false" ht="15" hidden="false" customHeight="false" outlineLevel="0" collapsed="false">
      <c r="A193" s="29"/>
      <c r="B193" s="28"/>
      <c r="C193" s="28"/>
      <c r="D193" s="27"/>
      <c r="E193" s="28"/>
      <c r="F193" s="28"/>
      <c r="G193" s="28"/>
      <c r="H193" s="22"/>
      <c r="I193" s="22"/>
      <c r="J193" s="22"/>
      <c r="K193" s="22"/>
      <c r="L193" s="22"/>
      <c r="M193" s="22"/>
      <c r="N193" s="22"/>
      <c r="O193" s="22"/>
      <c r="P193" s="23" t="str">
        <f aca="false">IF(OR(A193="",B193="",C193=""),"",IF(COUNT(J193:N193)=0,"",SUM(J193:N193)))</f>
        <v/>
      </c>
      <c r="Q193" s="23" t="str">
        <f aca="false">IF(OR(A193="",B193="",C193=""),"",SUMIFS('Who Engaged'!$I$5:$I$1004,'Who Engaged'!$C$5:$C$1004,C193,'Who Engaged'!$O$5:$O$1004,"Yes")+SUMIFS('Who Engaged'!$J$5:$J$1004,'Who Engaged'!$C$5:$C$1004,C193,'Who Engaged'!$O$5:$O$1004,"Yes")+SUMIFS('Who Engaged'!$K$5:$K$1004,'Who Engaged'!$C$5:$C$1004,C193,'Who Engaged'!$O$5:$O$1004,"Yes")+SUMIFS('Who Engaged'!$L$5:$L$1004,'Who Engaged'!$C$5:$C$1004,C193,'Who Engaged'!$O$5:$O$1004,"Yes"))</f>
        <v/>
      </c>
      <c r="R193" s="23" t="str">
        <f aca="false">IF(OR(OR(A193="",B193="",C193=""),P193=""),"",MAX(0,P193-N(Q193)))</f>
        <v/>
      </c>
      <c r="S193" s="24" t="str">
        <f aca="false">IF(OR(OR(A193="",B193="",C193=""),R193=""),"",IFERROR(R193/(IF(N(H193)&gt;0,H193,IF(N(I193)&gt;0,I193,IF(COUNTIFS($B$16:$B$215,B193,$H$16:$H$215,"&gt;0")+COUNTIFS($B$16:$B$215,B193,$I$16:$I$215,"&gt;0")&gt;0,"",INDEX($B$5:$B$7,MATCH(B193,$A$5:$A$7,0)))))),""))</f>
        <v/>
      </c>
      <c r="T193" s="25" t="str">
        <f aca="false">IF(OR(A193="",B193="",C193=""),"",IF(OR(S193="",COUNTIFS($B$16:$B$215,B193,$S$16:$S$215,"&gt;=0")&lt;2),"No Data Yet",IFERROR(IF(S193/AVERAGEIFS($S$16:$S$215,$B$16:$B$215,B193)&gt;=1.2,"Good",IF(S193/AVERAGEIFS($S$16:$S$215,$B$16:$B$215,B193)&gt;=0.8,"Average","Below Standard")),"Average")))</f>
        <v/>
      </c>
      <c r="U193" s="23" t="str">
        <f aca="false">IF(OR(A193="",B193="",C193=""),"",COUNTIFS('Who Engaged'!$C$5:$C$1004,C193,'Who Engaged'!$P$5:$P$1004,"Yes",'Who Engaged'!$N$5:$N$1004,1))</f>
        <v/>
      </c>
      <c r="V193" s="23" t="str">
        <f aca="false">IF(OR(A193="",B193="",C193=""),"",COUNTIFS('Who Engaged'!$C$5:$C$1004,C193,'Who Engaged'!$P$5:$P$1004,"Yes",'Who Engaged'!$M$5:$M$1004,1))</f>
        <v/>
      </c>
      <c r="W193" s="26" t="str">
        <f aca="false" t="array" ref="W193:W193">IF(OR(A193="",B193="",C193=""),"",_xlfn.TEXTJOIN("; ",TRUE(),IF(('Who Engaged'!$C$5:$C$1004=C193)*('Who Engaged'!$P$5:$P$1004="Yes"),'Who Engaged'!$D$5:$D$1004&amp;" – "&amp;'Who Engaged'!$F$5:$F$1004&amp;IF('Who Engaged'!$M$5:$M$1004=1," (followed)",""),"")))</f>
        <v/>
      </c>
      <c r="X193" s="27"/>
      <c r="Y193" s="27"/>
      <c r="Z193" s="28"/>
      <c r="AA193" s="25" t="str">
        <f aca="false">IF(OR(A193="",B193="",C193=""),"","https://www.alphanodus.com/contact?utm_source="&amp;IF(B193="X","twitter",LOWER(B193))&amp;"&amp;utm_medium=social&amp;utm_campaign="&amp;IF(E193="","general",LOWER(SUBSTITUTE(SUBSTITUTE(E193," / ","-")," ","-")))&amp;"&amp;utm_content="&amp;LOWER(C193))</f>
        <v/>
      </c>
    </row>
    <row r="194" customFormat="false" ht="15" hidden="false" customHeight="false" outlineLevel="0" collapsed="false">
      <c r="A194" s="29"/>
      <c r="B194" s="28"/>
      <c r="C194" s="28"/>
      <c r="D194" s="27"/>
      <c r="E194" s="28"/>
      <c r="F194" s="28"/>
      <c r="G194" s="28"/>
      <c r="H194" s="22"/>
      <c r="I194" s="22"/>
      <c r="J194" s="22"/>
      <c r="K194" s="22"/>
      <c r="L194" s="22"/>
      <c r="M194" s="22"/>
      <c r="N194" s="22"/>
      <c r="O194" s="22"/>
      <c r="P194" s="23" t="str">
        <f aca="false">IF(OR(A194="",B194="",C194=""),"",IF(COUNT(J194:N194)=0,"",SUM(J194:N194)))</f>
        <v/>
      </c>
      <c r="Q194" s="23" t="str">
        <f aca="false">IF(OR(A194="",B194="",C194=""),"",SUMIFS('Who Engaged'!$I$5:$I$1004,'Who Engaged'!$C$5:$C$1004,C194,'Who Engaged'!$O$5:$O$1004,"Yes")+SUMIFS('Who Engaged'!$J$5:$J$1004,'Who Engaged'!$C$5:$C$1004,C194,'Who Engaged'!$O$5:$O$1004,"Yes")+SUMIFS('Who Engaged'!$K$5:$K$1004,'Who Engaged'!$C$5:$C$1004,C194,'Who Engaged'!$O$5:$O$1004,"Yes")+SUMIFS('Who Engaged'!$L$5:$L$1004,'Who Engaged'!$C$5:$C$1004,C194,'Who Engaged'!$O$5:$O$1004,"Yes"))</f>
        <v/>
      </c>
      <c r="R194" s="23" t="str">
        <f aca="false">IF(OR(OR(A194="",B194="",C194=""),P194=""),"",MAX(0,P194-N(Q194)))</f>
        <v/>
      </c>
      <c r="S194" s="24" t="str">
        <f aca="false">IF(OR(OR(A194="",B194="",C194=""),R194=""),"",IFERROR(R194/(IF(N(H194)&gt;0,H194,IF(N(I194)&gt;0,I194,IF(COUNTIFS($B$16:$B$215,B194,$H$16:$H$215,"&gt;0")+COUNTIFS($B$16:$B$215,B194,$I$16:$I$215,"&gt;0")&gt;0,"",INDEX($B$5:$B$7,MATCH(B194,$A$5:$A$7,0)))))),""))</f>
        <v/>
      </c>
      <c r="T194" s="25" t="str">
        <f aca="false">IF(OR(A194="",B194="",C194=""),"",IF(OR(S194="",COUNTIFS($B$16:$B$215,B194,$S$16:$S$215,"&gt;=0")&lt;2),"No Data Yet",IFERROR(IF(S194/AVERAGEIFS($S$16:$S$215,$B$16:$B$215,B194)&gt;=1.2,"Good",IF(S194/AVERAGEIFS($S$16:$S$215,$B$16:$B$215,B194)&gt;=0.8,"Average","Below Standard")),"Average")))</f>
        <v/>
      </c>
      <c r="U194" s="23" t="str">
        <f aca="false">IF(OR(A194="",B194="",C194=""),"",COUNTIFS('Who Engaged'!$C$5:$C$1004,C194,'Who Engaged'!$P$5:$P$1004,"Yes",'Who Engaged'!$N$5:$N$1004,1))</f>
        <v/>
      </c>
      <c r="V194" s="23" t="str">
        <f aca="false">IF(OR(A194="",B194="",C194=""),"",COUNTIFS('Who Engaged'!$C$5:$C$1004,C194,'Who Engaged'!$P$5:$P$1004,"Yes",'Who Engaged'!$M$5:$M$1004,1))</f>
        <v/>
      </c>
      <c r="W194" s="26" t="str">
        <f aca="false" t="array" ref="W194:W194">IF(OR(A194="",B194="",C194=""),"",_xlfn.TEXTJOIN("; ",TRUE(),IF(('Who Engaged'!$C$5:$C$1004=C194)*('Who Engaged'!$P$5:$P$1004="Yes"),'Who Engaged'!$D$5:$D$1004&amp;" – "&amp;'Who Engaged'!$F$5:$F$1004&amp;IF('Who Engaged'!$M$5:$M$1004=1," (followed)",""),"")))</f>
        <v/>
      </c>
      <c r="X194" s="27"/>
      <c r="Y194" s="27"/>
      <c r="Z194" s="28"/>
      <c r="AA194" s="25" t="str">
        <f aca="false">IF(OR(A194="",B194="",C194=""),"","https://www.alphanodus.com/contact?utm_source="&amp;IF(B194="X","twitter",LOWER(B194))&amp;"&amp;utm_medium=social&amp;utm_campaign="&amp;IF(E194="","general",LOWER(SUBSTITUTE(SUBSTITUTE(E194," / ","-")," ","-")))&amp;"&amp;utm_content="&amp;LOWER(C194))</f>
        <v/>
      </c>
    </row>
    <row r="195" customFormat="false" ht="15" hidden="false" customHeight="false" outlineLevel="0" collapsed="false">
      <c r="A195" s="29"/>
      <c r="B195" s="28"/>
      <c r="C195" s="28"/>
      <c r="D195" s="27"/>
      <c r="E195" s="28"/>
      <c r="F195" s="28"/>
      <c r="G195" s="28"/>
      <c r="H195" s="22"/>
      <c r="I195" s="22"/>
      <c r="J195" s="22"/>
      <c r="K195" s="22"/>
      <c r="L195" s="22"/>
      <c r="M195" s="22"/>
      <c r="N195" s="22"/>
      <c r="O195" s="22"/>
      <c r="P195" s="23" t="str">
        <f aca="false">IF(OR(A195="",B195="",C195=""),"",IF(COUNT(J195:N195)=0,"",SUM(J195:N195)))</f>
        <v/>
      </c>
      <c r="Q195" s="23" t="str">
        <f aca="false">IF(OR(A195="",B195="",C195=""),"",SUMIFS('Who Engaged'!$I$5:$I$1004,'Who Engaged'!$C$5:$C$1004,C195,'Who Engaged'!$O$5:$O$1004,"Yes")+SUMIFS('Who Engaged'!$J$5:$J$1004,'Who Engaged'!$C$5:$C$1004,C195,'Who Engaged'!$O$5:$O$1004,"Yes")+SUMIFS('Who Engaged'!$K$5:$K$1004,'Who Engaged'!$C$5:$C$1004,C195,'Who Engaged'!$O$5:$O$1004,"Yes")+SUMIFS('Who Engaged'!$L$5:$L$1004,'Who Engaged'!$C$5:$C$1004,C195,'Who Engaged'!$O$5:$O$1004,"Yes"))</f>
        <v/>
      </c>
      <c r="R195" s="23" t="str">
        <f aca="false">IF(OR(OR(A195="",B195="",C195=""),P195=""),"",MAX(0,P195-N(Q195)))</f>
        <v/>
      </c>
      <c r="S195" s="24" t="str">
        <f aca="false">IF(OR(OR(A195="",B195="",C195=""),R195=""),"",IFERROR(R195/(IF(N(H195)&gt;0,H195,IF(N(I195)&gt;0,I195,IF(COUNTIFS($B$16:$B$215,B195,$H$16:$H$215,"&gt;0")+COUNTIFS($B$16:$B$215,B195,$I$16:$I$215,"&gt;0")&gt;0,"",INDEX($B$5:$B$7,MATCH(B195,$A$5:$A$7,0)))))),""))</f>
        <v/>
      </c>
      <c r="T195" s="25" t="str">
        <f aca="false">IF(OR(A195="",B195="",C195=""),"",IF(OR(S195="",COUNTIFS($B$16:$B$215,B195,$S$16:$S$215,"&gt;=0")&lt;2),"No Data Yet",IFERROR(IF(S195/AVERAGEIFS($S$16:$S$215,$B$16:$B$215,B195)&gt;=1.2,"Good",IF(S195/AVERAGEIFS($S$16:$S$215,$B$16:$B$215,B195)&gt;=0.8,"Average","Below Standard")),"Average")))</f>
        <v/>
      </c>
      <c r="U195" s="23" t="str">
        <f aca="false">IF(OR(A195="",B195="",C195=""),"",COUNTIFS('Who Engaged'!$C$5:$C$1004,C195,'Who Engaged'!$P$5:$P$1004,"Yes",'Who Engaged'!$N$5:$N$1004,1))</f>
        <v/>
      </c>
      <c r="V195" s="23" t="str">
        <f aca="false">IF(OR(A195="",B195="",C195=""),"",COUNTIFS('Who Engaged'!$C$5:$C$1004,C195,'Who Engaged'!$P$5:$P$1004,"Yes",'Who Engaged'!$M$5:$M$1004,1))</f>
        <v/>
      </c>
      <c r="W195" s="26" t="str">
        <f aca="false" t="array" ref="W195:W195">IF(OR(A195="",B195="",C195=""),"",_xlfn.TEXTJOIN("; ",TRUE(),IF(('Who Engaged'!$C$5:$C$1004=C195)*('Who Engaged'!$P$5:$P$1004="Yes"),'Who Engaged'!$D$5:$D$1004&amp;" – "&amp;'Who Engaged'!$F$5:$F$1004&amp;IF('Who Engaged'!$M$5:$M$1004=1," (followed)",""),"")))</f>
        <v/>
      </c>
      <c r="X195" s="27"/>
      <c r="Y195" s="27"/>
      <c r="Z195" s="28"/>
      <c r="AA195" s="25" t="str">
        <f aca="false">IF(OR(A195="",B195="",C195=""),"","https://www.alphanodus.com/contact?utm_source="&amp;IF(B195="X","twitter",LOWER(B195))&amp;"&amp;utm_medium=social&amp;utm_campaign="&amp;IF(E195="","general",LOWER(SUBSTITUTE(SUBSTITUTE(E195," / ","-")," ","-")))&amp;"&amp;utm_content="&amp;LOWER(C195))</f>
        <v/>
      </c>
    </row>
    <row r="196" customFormat="false" ht="15" hidden="false" customHeight="false" outlineLevel="0" collapsed="false">
      <c r="A196" s="29"/>
      <c r="B196" s="28"/>
      <c r="C196" s="28"/>
      <c r="D196" s="27"/>
      <c r="E196" s="28"/>
      <c r="F196" s="28"/>
      <c r="G196" s="28"/>
      <c r="H196" s="22"/>
      <c r="I196" s="22"/>
      <c r="J196" s="22"/>
      <c r="K196" s="22"/>
      <c r="L196" s="22"/>
      <c r="M196" s="22"/>
      <c r="N196" s="22"/>
      <c r="O196" s="22"/>
      <c r="P196" s="23" t="str">
        <f aca="false">IF(OR(A196="",B196="",C196=""),"",IF(COUNT(J196:N196)=0,"",SUM(J196:N196)))</f>
        <v/>
      </c>
      <c r="Q196" s="23" t="str">
        <f aca="false">IF(OR(A196="",B196="",C196=""),"",SUMIFS('Who Engaged'!$I$5:$I$1004,'Who Engaged'!$C$5:$C$1004,C196,'Who Engaged'!$O$5:$O$1004,"Yes")+SUMIFS('Who Engaged'!$J$5:$J$1004,'Who Engaged'!$C$5:$C$1004,C196,'Who Engaged'!$O$5:$O$1004,"Yes")+SUMIFS('Who Engaged'!$K$5:$K$1004,'Who Engaged'!$C$5:$C$1004,C196,'Who Engaged'!$O$5:$O$1004,"Yes")+SUMIFS('Who Engaged'!$L$5:$L$1004,'Who Engaged'!$C$5:$C$1004,C196,'Who Engaged'!$O$5:$O$1004,"Yes"))</f>
        <v/>
      </c>
      <c r="R196" s="23" t="str">
        <f aca="false">IF(OR(OR(A196="",B196="",C196=""),P196=""),"",MAX(0,P196-N(Q196)))</f>
        <v/>
      </c>
      <c r="S196" s="24" t="str">
        <f aca="false">IF(OR(OR(A196="",B196="",C196=""),R196=""),"",IFERROR(R196/(IF(N(H196)&gt;0,H196,IF(N(I196)&gt;0,I196,IF(COUNTIFS($B$16:$B$215,B196,$H$16:$H$215,"&gt;0")+COUNTIFS($B$16:$B$215,B196,$I$16:$I$215,"&gt;0")&gt;0,"",INDEX($B$5:$B$7,MATCH(B196,$A$5:$A$7,0)))))),""))</f>
        <v/>
      </c>
      <c r="T196" s="25" t="str">
        <f aca="false">IF(OR(A196="",B196="",C196=""),"",IF(OR(S196="",COUNTIFS($B$16:$B$215,B196,$S$16:$S$215,"&gt;=0")&lt;2),"No Data Yet",IFERROR(IF(S196/AVERAGEIFS($S$16:$S$215,$B$16:$B$215,B196)&gt;=1.2,"Good",IF(S196/AVERAGEIFS($S$16:$S$215,$B$16:$B$215,B196)&gt;=0.8,"Average","Below Standard")),"Average")))</f>
        <v/>
      </c>
      <c r="U196" s="23" t="str">
        <f aca="false">IF(OR(A196="",B196="",C196=""),"",COUNTIFS('Who Engaged'!$C$5:$C$1004,C196,'Who Engaged'!$P$5:$P$1004,"Yes",'Who Engaged'!$N$5:$N$1004,1))</f>
        <v/>
      </c>
      <c r="V196" s="23" t="str">
        <f aca="false">IF(OR(A196="",B196="",C196=""),"",COUNTIFS('Who Engaged'!$C$5:$C$1004,C196,'Who Engaged'!$P$5:$P$1004,"Yes",'Who Engaged'!$M$5:$M$1004,1))</f>
        <v/>
      </c>
      <c r="W196" s="26" t="str">
        <f aca="false" t="array" ref="W196:W196">IF(OR(A196="",B196="",C196=""),"",_xlfn.TEXTJOIN("; ",TRUE(),IF(('Who Engaged'!$C$5:$C$1004=C196)*('Who Engaged'!$P$5:$P$1004="Yes"),'Who Engaged'!$D$5:$D$1004&amp;" – "&amp;'Who Engaged'!$F$5:$F$1004&amp;IF('Who Engaged'!$M$5:$M$1004=1," (followed)",""),"")))</f>
        <v/>
      </c>
      <c r="X196" s="27"/>
      <c r="Y196" s="27"/>
      <c r="Z196" s="28"/>
      <c r="AA196" s="25" t="str">
        <f aca="false">IF(OR(A196="",B196="",C196=""),"","https://www.alphanodus.com/contact?utm_source="&amp;IF(B196="X","twitter",LOWER(B196))&amp;"&amp;utm_medium=social&amp;utm_campaign="&amp;IF(E196="","general",LOWER(SUBSTITUTE(SUBSTITUTE(E196," / ","-")," ","-")))&amp;"&amp;utm_content="&amp;LOWER(C196))</f>
        <v/>
      </c>
    </row>
    <row r="197" customFormat="false" ht="15" hidden="false" customHeight="false" outlineLevel="0" collapsed="false">
      <c r="A197" s="29"/>
      <c r="B197" s="28"/>
      <c r="C197" s="28"/>
      <c r="D197" s="27"/>
      <c r="E197" s="28"/>
      <c r="F197" s="28"/>
      <c r="G197" s="28"/>
      <c r="H197" s="22"/>
      <c r="I197" s="22"/>
      <c r="J197" s="22"/>
      <c r="K197" s="22"/>
      <c r="L197" s="22"/>
      <c r="M197" s="22"/>
      <c r="N197" s="22"/>
      <c r="O197" s="22"/>
      <c r="P197" s="23" t="str">
        <f aca="false">IF(OR(A197="",B197="",C197=""),"",IF(COUNT(J197:N197)=0,"",SUM(J197:N197)))</f>
        <v/>
      </c>
      <c r="Q197" s="23" t="str">
        <f aca="false">IF(OR(A197="",B197="",C197=""),"",SUMIFS('Who Engaged'!$I$5:$I$1004,'Who Engaged'!$C$5:$C$1004,C197,'Who Engaged'!$O$5:$O$1004,"Yes")+SUMIFS('Who Engaged'!$J$5:$J$1004,'Who Engaged'!$C$5:$C$1004,C197,'Who Engaged'!$O$5:$O$1004,"Yes")+SUMIFS('Who Engaged'!$K$5:$K$1004,'Who Engaged'!$C$5:$C$1004,C197,'Who Engaged'!$O$5:$O$1004,"Yes")+SUMIFS('Who Engaged'!$L$5:$L$1004,'Who Engaged'!$C$5:$C$1004,C197,'Who Engaged'!$O$5:$O$1004,"Yes"))</f>
        <v/>
      </c>
      <c r="R197" s="23" t="str">
        <f aca="false">IF(OR(OR(A197="",B197="",C197=""),P197=""),"",MAX(0,P197-N(Q197)))</f>
        <v/>
      </c>
      <c r="S197" s="24" t="str">
        <f aca="false">IF(OR(OR(A197="",B197="",C197=""),R197=""),"",IFERROR(R197/(IF(N(H197)&gt;0,H197,IF(N(I197)&gt;0,I197,IF(COUNTIFS($B$16:$B$215,B197,$H$16:$H$215,"&gt;0")+COUNTIFS($B$16:$B$215,B197,$I$16:$I$215,"&gt;0")&gt;0,"",INDEX($B$5:$B$7,MATCH(B197,$A$5:$A$7,0)))))),""))</f>
        <v/>
      </c>
      <c r="T197" s="25" t="str">
        <f aca="false">IF(OR(A197="",B197="",C197=""),"",IF(OR(S197="",COUNTIFS($B$16:$B$215,B197,$S$16:$S$215,"&gt;=0")&lt;2),"No Data Yet",IFERROR(IF(S197/AVERAGEIFS($S$16:$S$215,$B$16:$B$215,B197)&gt;=1.2,"Good",IF(S197/AVERAGEIFS($S$16:$S$215,$B$16:$B$215,B197)&gt;=0.8,"Average","Below Standard")),"Average")))</f>
        <v/>
      </c>
      <c r="U197" s="23" t="str">
        <f aca="false">IF(OR(A197="",B197="",C197=""),"",COUNTIFS('Who Engaged'!$C$5:$C$1004,C197,'Who Engaged'!$P$5:$P$1004,"Yes",'Who Engaged'!$N$5:$N$1004,1))</f>
        <v/>
      </c>
      <c r="V197" s="23" t="str">
        <f aca="false">IF(OR(A197="",B197="",C197=""),"",COUNTIFS('Who Engaged'!$C$5:$C$1004,C197,'Who Engaged'!$P$5:$P$1004,"Yes",'Who Engaged'!$M$5:$M$1004,1))</f>
        <v/>
      </c>
      <c r="W197" s="26" t="str">
        <f aca="false" t="array" ref="W197:W197">IF(OR(A197="",B197="",C197=""),"",_xlfn.TEXTJOIN("; ",TRUE(),IF(('Who Engaged'!$C$5:$C$1004=C197)*('Who Engaged'!$P$5:$P$1004="Yes"),'Who Engaged'!$D$5:$D$1004&amp;" – "&amp;'Who Engaged'!$F$5:$F$1004&amp;IF('Who Engaged'!$M$5:$M$1004=1," (followed)",""),"")))</f>
        <v/>
      </c>
      <c r="X197" s="27"/>
      <c r="Y197" s="27"/>
      <c r="Z197" s="28"/>
      <c r="AA197" s="25" t="str">
        <f aca="false">IF(OR(A197="",B197="",C197=""),"","https://www.alphanodus.com/contact?utm_source="&amp;IF(B197="X","twitter",LOWER(B197))&amp;"&amp;utm_medium=social&amp;utm_campaign="&amp;IF(E197="","general",LOWER(SUBSTITUTE(SUBSTITUTE(E197," / ","-")," ","-")))&amp;"&amp;utm_content="&amp;LOWER(C197))</f>
        <v/>
      </c>
    </row>
    <row r="198" customFormat="false" ht="15" hidden="false" customHeight="false" outlineLevel="0" collapsed="false">
      <c r="A198" s="29"/>
      <c r="B198" s="28"/>
      <c r="C198" s="28"/>
      <c r="D198" s="27"/>
      <c r="E198" s="28"/>
      <c r="F198" s="28"/>
      <c r="G198" s="28"/>
      <c r="H198" s="22"/>
      <c r="I198" s="22"/>
      <c r="J198" s="22"/>
      <c r="K198" s="22"/>
      <c r="L198" s="22"/>
      <c r="M198" s="22"/>
      <c r="N198" s="22"/>
      <c r="O198" s="22"/>
      <c r="P198" s="23" t="str">
        <f aca="false">IF(OR(A198="",B198="",C198=""),"",IF(COUNT(J198:N198)=0,"",SUM(J198:N198)))</f>
        <v/>
      </c>
      <c r="Q198" s="23" t="str">
        <f aca="false">IF(OR(A198="",B198="",C198=""),"",SUMIFS('Who Engaged'!$I$5:$I$1004,'Who Engaged'!$C$5:$C$1004,C198,'Who Engaged'!$O$5:$O$1004,"Yes")+SUMIFS('Who Engaged'!$J$5:$J$1004,'Who Engaged'!$C$5:$C$1004,C198,'Who Engaged'!$O$5:$O$1004,"Yes")+SUMIFS('Who Engaged'!$K$5:$K$1004,'Who Engaged'!$C$5:$C$1004,C198,'Who Engaged'!$O$5:$O$1004,"Yes")+SUMIFS('Who Engaged'!$L$5:$L$1004,'Who Engaged'!$C$5:$C$1004,C198,'Who Engaged'!$O$5:$O$1004,"Yes"))</f>
        <v/>
      </c>
      <c r="R198" s="23" t="str">
        <f aca="false">IF(OR(OR(A198="",B198="",C198=""),P198=""),"",MAX(0,P198-N(Q198)))</f>
        <v/>
      </c>
      <c r="S198" s="24" t="str">
        <f aca="false">IF(OR(OR(A198="",B198="",C198=""),R198=""),"",IFERROR(R198/(IF(N(H198)&gt;0,H198,IF(N(I198)&gt;0,I198,IF(COUNTIFS($B$16:$B$215,B198,$H$16:$H$215,"&gt;0")+COUNTIFS($B$16:$B$215,B198,$I$16:$I$215,"&gt;0")&gt;0,"",INDEX($B$5:$B$7,MATCH(B198,$A$5:$A$7,0)))))),""))</f>
        <v/>
      </c>
      <c r="T198" s="25" t="str">
        <f aca="false">IF(OR(A198="",B198="",C198=""),"",IF(OR(S198="",COUNTIFS($B$16:$B$215,B198,$S$16:$S$215,"&gt;=0")&lt;2),"No Data Yet",IFERROR(IF(S198/AVERAGEIFS($S$16:$S$215,$B$16:$B$215,B198)&gt;=1.2,"Good",IF(S198/AVERAGEIFS($S$16:$S$215,$B$16:$B$215,B198)&gt;=0.8,"Average","Below Standard")),"Average")))</f>
        <v/>
      </c>
      <c r="U198" s="23" t="str">
        <f aca="false">IF(OR(A198="",B198="",C198=""),"",COUNTIFS('Who Engaged'!$C$5:$C$1004,C198,'Who Engaged'!$P$5:$P$1004,"Yes",'Who Engaged'!$N$5:$N$1004,1))</f>
        <v/>
      </c>
      <c r="V198" s="23" t="str">
        <f aca="false">IF(OR(A198="",B198="",C198=""),"",COUNTIFS('Who Engaged'!$C$5:$C$1004,C198,'Who Engaged'!$P$5:$P$1004,"Yes",'Who Engaged'!$M$5:$M$1004,1))</f>
        <v/>
      </c>
      <c r="W198" s="26" t="str">
        <f aca="false" t="array" ref="W198:W198">IF(OR(A198="",B198="",C198=""),"",_xlfn.TEXTJOIN("; ",TRUE(),IF(('Who Engaged'!$C$5:$C$1004=C198)*('Who Engaged'!$P$5:$P$1004="Yes"),'Who Engaged'!$D$5:$D$1004&amp;" – "&amp;'Who Engaged'!$F$5:$F$1004&amp;IF('Who Engaged'!$M$5:$M$1004=1," (followed)",""),"")))</f>
        <v/>
      </c>
      <c r="X198" s="27"/>
      <c r="Y198" s="27"/>
      <c r="Z198" s="28"/>
      <c r="AA198" s="25" t="str">
        <f aca="false">IF(OR(A198="",B198="",C198=""),"","https://www.alphanodus.com/contact?utm_source="&amp;IF(B198="X","twitter",LOWER(B198))&amp;"&amp;utm_medium=social&amp;utm_campaign="&amp;IF(E198="","general",LOWER(SUBSTITUTE(SUBSTITUTE(E198," / ","-")," ","-")))&amp;"&amp;utm_content="&amp;LOWER(C198))</f>
        <v/>
      </c>
    </row>
    <row r="199" customFormat="false" ht="15" hidden="false" customHeight="false" outlineLevel="0" collapsed="false">
      <c r="A199" s="29"/>
      <c r="B199" s="28"/>
      <c r="C199" s="28"/>
      <c r="D199" s="27"/>
      <c r="E199" s="28"/>
      <c r="F199" s="28"/>
      <c r="G199" s="28"/>
      <c r="H199" s="22"/>
      <c r="I199" s="22"/>
      <c r="J199" s="22"/>
      <c r="K199" s="22"/>
      <c r="L199" s="22"/>
      <c r="M199" s="22"/>
      <c r="N199" s="22"/>
      <c r="O199" s="22"/>
      <c r="P199" s="23" t="str">
        <f aca="false">IF(OR(A199="",B199="",C199=""),"",IF(COUNT(J199:N199)=0,"",SUM(J199:N199)))</f>
        <v/>
      </c>
      <c r="Q199" s="23" t="str">
        <f aca="false">IF(OR(A199="",B199="",C199=""),"",SUMIFS('Who Engaged'!$I$5:$I$1004,'Who Engaged'!$C$5:$C$1004,C199,'Who Engaged'!$O$5:$O$1004,"Yes")+SUMIFS('Who Engaged'!$J$5:$J$1004,'Who Engaged'!$C$5:$C$1004,C199,'Who Engaged'!$O$5:$O$1004,"Yes")+SUMIFS('Who Engaged'!$K$5:$K$1004,'Who Engaged'!$C$5:$C$1004,C199,'Who Engaged'!$O$5:$O$1004,"Yes")+SUMIFS('Who Engaged'!$L$5:$L$1004,'Who Engaged'!$C$5:$C$1004,C199,'Who Engaged'!$O$5:$O$1004,"Yes"))</f>
        <v/>
      </c>
      <c r="R199" s="23" t="str">
        <f aca="false">IF(OR(OR(A199="",B199="",C199=""),P199=""),"",MAX(0,P199-N(Q199)))</f>
        <v/>
      </c>
      <c r="S199" s="24" t="str">
        <f aca="false">IF(OR(OR(A199="",B199="",C199=""),R199=""),"",IFERROR(R199/(IF(N(H199)&gt;0,H199,IF(N(I199)&gt;0,I199,IF(COUNTIFS($B$16:$B$215,B199,$H$16:$H$215,"&gt;0")+COUNTIFS($B$16:$B$215,B199,$I$16:$I$215,"&gt;0")&gt;0,"",INDEX($B$5:$B$7,MATCH(B199,$A$5:$A$7,0)))))),""))</f>
        <v/>
      </c>
      <c r="T199" s="25" t="str">
        <f aca="false">IF(OR(A199="",B199="",C199=""),"",IF(OR(S199="",COUNTIFS($B$16:$B$215,B199,$S$16:$S$215,"&gt;=0")&lt;2),"No Data Yet",IFERROR(IF(S199/AVERAGEIFS($S$16:$S$215,$B$16:$B$215,B199)&gt;=1.2,"Good",IF(S199/AVERAGEIFS($S$16:$S$215,$B$16:$B$215,B199)&gt;=0.8,"Average","Below Standard")),"Average")))</f>
        <v/>
      </c>
      <c r="U199" s="23" t="str">
        <f aca="false">IF(OR(A199="",B199="",C199=""),"",COUNTIFS('Who Engaged'!$C$5:$C$1004,C199,'Who Engaged'!$P$5:$P$1004,"Yes",'Who Engaged'!$N$5:$N$1004,1))</f>
        <v/>
      </c>
      <c r="V199" s="23" t="str">
        <f aca="false">IF(OR(A199="",B199="",C199=""),"",COUNTIFS('Who Engaged'!$C$5:$C$1004,C199,'Who Engaged'!$P$5:$P$1004,"Yes",'Who Engaged'!$M$5:$M$1004,1))</f>
        <v/>
      </c>
      <c r="W199" s="26" t="str">
        <f aca="false" t="array" ref="W199:W199">IF(OR(A199="",B199="",C199=""),"",_xlfn.TEXTJOIN("; ",TRUE(),IF(('Who Engaged'!$C$5:$C$1004=C199)*('Who Engaged'!$P$5:$P$1004="Yes"),'Who Engaged'!$D$5:$D$1004&amp;" – "&amp;'Who Engaged'!$F$5:$F$1004&amp;IF('Who Engaged'!$M$5:$M$1004=1," (followed)",""),"")))</f>
        <v/>
      </c>
      <c r="X199" s="27"/>
      <c r="Y199" s="27"/>
      <c r="Z199" s="28"/>
      <c r="AA199" s="25" t="str">
        <f aca="false">IF(OR(A199="",B199="",C199=""),"","https://www.alphanodus.com/contact?utm_source="&amp;IF(B199="X","twitter",LOWER(B199))&amp;"&amp;utm_medium=social&amp;utm_campaign="&amp;IF(E199="","general",LOWER(SUBSTITUTE(SUBSTITUTE(E199," / ","-")," ","-")))&amp;"&amp;utm_content="&amp;LOWER(C199))</f>
        <v/>
      </c>
    </row>
    <row r="200" customFormat="false" ht="15" hidden="false" customHeight="false" outlineLevel="0" collapsed="false">
      <c r="A200" s="29"/>
      <c r="B200" s="28"/>
      <c r="C200" s="28"/>
      <c r="D200" s="27"/>
      <c r="E200" s="28"/>
      <c r="F200" s="28"/>
      <c r="G200" s="28"/>
      <c r="H200" s="22"/>
      <c r="I200" s="22"/>
      <c r="J200" s="22"/>
      <c r="K200" s="22"/>
      <c r="L200" s="22"/>
      <c r="M200" s="22"/>
      <c r="N200" s="22"/>
      <c r="O200" s="22"/>
      <c r="P200" s="23" t="str">
        <f aca="false">IF(OR(A200="",B200="",C200=""),"",IF(COUNT(J200:N200)=0,"",SUM(J200:N200)))</f>
        <v/>
      </c>
      <c r="Q200" s="23" t="str">
        <f aca="false">IF(OR(A200="",B200="",C200=""),"",SUMIFS('Who Engaged'!$I$5:$I$1004,'Who Engaged'!$C$5:$C$1004,C200,'Who Engaged'!$O$5:$O$1004,"Yes")+SUMIFS('Who Engaged'!$J$5:$J$1004,'Who Engaged'!$C$5:$C$1004,C200,'Who Engaged'!$O$5:$O$1004,"Yes")+SUMIFS('Who Engaged'!$K$5:$K$1004,'Who Engaged'!$C$5:$C$1004,C200,'Who Engaged'!$O$5:$O$1004,"Yes")+SUMIFS('Who Engaged'!$L$5:$L$1004,'Who Engaged'!$C$5:$C$1004,C200,'Who Engaged'!$O$5:$O$1004,"Yes"))</f>
        <v/>
      </c>
      <c r="R200" s="23" t="str">
        <f aca="false">IF(OR(OR(A200="",B200="",C200=""),P200=""),"",MAX(0,P200-N(Q200)))</f>
        <v/>
      </c>
      <c r="S200" s="24" t="str">
        <f aca="false">IF(OR(OR(A200="",B200="",C200=""),R200=""),"",IFERROR(R200/(IF(N(H200)&gt;0,H200,IF(N(I200)&gt;0,I200,IF(COUNTIFS($B$16:$B$215,B200,$H$16:$H$215,"&gt;0")+COUNTIFS($B$16:$B$215,B200,$I$16:$I$215,"&gt;0")&gt;0,"",INDEX($B$5:$B$7,MATCH(B200,$A$5:$A$7,0)))))),""))</f>
        <v/>
      </c>
      <c r="T200" s="25" t="str">
        <f aca="false">IF(OR(A200="",B200="",C200=""),"",IF(OR(S200="",COUNTIFS($B$16:$B$215,B200,$S$16:$S$215,"&gt;=0")&lt;2),"No Data Yet",IFERROR(IF(S200/AVERAGEIFS($S$16:$S$215,$B$16:$B$215,B200)&gt;=1.2,"Good",IF(S200/AVERAGEIFS($S$16:$S$215,$B$16:$B$215,B200)&gt;=0.8,"Average","Below Standard")),"Average")))</f>
        <v/>
      </c>
      <c r="U200" s="23" t="str">
        <f aca="false">IF(OR(A200="",B200="",C200=""),"",COUNTIFS('Who Engaged'!$C$5:$C$1004,C200,'Who Engaged'!$P$5:$P$1004,"Yes",'Who Engaged'!$N$5:$N$1004,1))</f>
        <v/>
      </c>
      <c r="V200" s="23" t="str">
        <f aca="false">IF(OR(A200="",B200="",C200=""),"",COUNTIFS('Who Engaged'!$C$5:$C$1004,C200,'Who Engaged'!$P$5:$P$1004,"Yes",'Who Engaged'!$M$5:$M$1004,1))</f>
        <v/>
      </c>
      <c r="W200" s="26" t="str">
        <f aca="false" t="array" ref="W200:W200">IF(OR(A200="",B200="",C200=""),"",_xlfn.TEXTJOIN("; ",TRUE(),IF(('Who Engaged'!$C$5:$C$1004=C200)*('Who Engaged'!$P$5:$P$1004="Yes"),'Who Engaged'!$D$5:$D$1004&amp;" – "&amp;'Who Engaged'!$F$5:$F$1004&amp;IF('Who Engaged'!$M$5:$M$1004=1," (followed)",""),"")))</f>
        <v/>
      </c>
      <c r="X200" s="27"/>
      <c r="Y200" s="27"/>
      <c r="Z200" s="28"/>
      <c r="AA200" s="25" t="str">
        <f aca="false">IF(OR(A200="",B200="",C200=""),"","https://www.alphanodus.com/contact?utm_source="&amp;IF(B200="X","twitter",LOWER(B200))&amp;"&amp;utm_medium=social&amp;utm_campaign="&amp;IF(E200="","general",LOWER(SUBSTITUTE(SUBSTITUTE(E200," / ","-")," ","-")))&amp;"&amp;utm_content="&amp;LOWER(C200))</f>
        <v/>
      </c>
    </row>
    <row r="201" customFormat="false" ht="15" hidden="false" customHeight="false" outlineLevel="0" collapsed="false">
      <c r="A201" s="29"/>
      <c r="B201" s="28"/>
      <c r="C201" s="28"/>
      <c r="D201" s="27"/>
      <c r="E201" s="28"/>
      <c r="F201" s="28"/>
      <c r="G201" s="28"/>
      <c r="H201" s="22"/>
      <c r="I201" s="22"/>
      <c r="J201" s="22"/>
      <c r="K201" s="22"/>
      <c r="L201" s="22"/>
      <c r="M201" s="22"/>
      <c r="N201" s="22"/>
      <c r="O201" s="22"/>
      <c r="P201" s="23" t="str">
        <f aca="false">IF(OR(A201="",B201="",C201=""),"",IF(COUNT(J201:N201)=0,"",SUM(J201:N201)))</f>
        <v/>
      </c>
      <c r="Q201" s="23" t="str">
        <f aca="false">IF(OR(A201="",B201="",C201=""),"",SUMIFS('Who Engaged'!$I$5:$I$1004,'Who Engaged'!$C$5:$C$1004,C201,'Who Engaged'!$O$5:$O$1004,"Yes")+SUMIFS('Who Engaged'!$J$5:$J$1004,'Who Engaged'!$C$5:$C$1004,C201,'Who Engaged'!$O$5:$O$1004,"Yes")+SUMIFS('Who Engaged'!$K$5:$K$1004,'Who Engaged'!$C$5:$C$1004,C201,'Who Engaged'!$O$5:$O$1004,"Yes")+SUMIFS('Who Engaged'!$L$5:$L$1004,'Who Engaged'!$C$5:$C$1004,C201,'Who Engaged'!$O$5:$O$1004,"Yes"))</f>
        <v/>
      </c>
      <c r="R201" s="23" t="str">
        <f aca="false">IF(OR(OR(A201="",B201="",C201=""),P201=""),"",MAX(0,P201-N(Q201)))</f>
        <v/>
      </c>
      <c r="S201" s="24" t="str">
        <f aca="false">IF(OR(OR(A201="",B201="",C201=""),R201=""),"",IFERROR(R201/(IF(N(H201)&gt;0,H201,IF(N(I201)&gt;0,I201,IF(COUNTIFS($B$16:$B$215,B201,$H$16:$H$215,"&gt;0")+COUNTIFS($B$16:$B$215,B201,$I$16:$I$215,"&gt;0")&gt;0,"",INDEX($B$5:$B$7,MATCH(B201,$A$5:$A$7,0)))))),""))</f>
        <v/>
      </c>
      <c r="T201" s="25" t="str">
        <f aca="false">IF(OR(A201="",B201="",C201=""),"",IF(OR(S201="",COUNTIFS($B$16:$B$215,B201,$S$16:$S$215,"&gt;=0")&lt;2),"No Data Yet",IFERROR(IF(S201/AVERAGEIFS($S$16:$S$215,$B$16:$B$215,B201)&gt;=1.2,"Good",IF(S201/AVERAGEIFS($S$16:$S$215,$B$16:$B$215,B201)&gt;=0.8,"Average","Below Standard")),"Average")))</f>
        <v/>
      </c>
      <c r="U201" s="23" t="str">
        <f aca="false">IF(OR(A201="",B201="",C201=""),"",COUNTIFS('Who Engaged'!$C$5:$C$1004,C201,'Who Engaged'!$P$5:$P$1004,"Yes",'Who Engaged'!$N$5:$N$1004,1))</f>
        <v/>
      </c>
      <c r="V201" s="23" t="str">
        <f aca="false">IF(OR(A201="",B201="",C201=""),"",COUNTIFS('Who Engaged'!$C$5:$C$1004,C201,'Who Engaged'!$P$5:$P$1004,"Yes",'Who Engaged'!$M$5:$M$1004,1))</f>
        <v/>
      </c>
      <c r="W201" s="26" t="str">
        <f aca="false" t="array" ref="W201:W201">IF(OR(A201="",B201="",C201=""),"",_xlfn.TEXTJOIN("; ",TRUE(),IF(('Who Engaged'!$C$5:$C$1004=C201)*('Who Engaged'!$P$5:$P$1004="Yes"),'Who Engaged'!$D$5:$D$1004&amp;" – "&amp;'Who Engaged'!$F$5:$F$1004&amp;IF('Who Engaged'!$M$5:$M$1004=1," (followed)",""),"")))</f>
        <v/>
      </c>
      <c r="X201" s="27"/>
      <c r="Y201" s="27"/>
      <c r="Z201" s="28"/>
      <c r="AA201" s="25" t="str">
        <f aca="false">IF(OR(A201="",B201="",C201=""),"","https://www.alphanodus.com/contact?utm_source="&amp;IF(B201="X","twitter",LOWER(B201))&amp;"&amp;utm_medium=social&amp;utm_campaign="&amp;IF(E201="","general",LOWER(SUBSTITUTE(SUBSTITUTE(E201," / ","-")," ","-")))&amp;"&amp;utm_content="&amp;LOWER(C201))</f>
        <v/>
      </c>
    </row>
    <row r="202" customFormat="false" ht="15" hidden="false" customHeight="false" outlineLevel="0" collapsed="false">
      <c r="A202" s="29"/>
      <c r="B202" s="28"/>
      <c r="C202" s="28"/>
      <c r="D202" s="27"/>
      <c r="E202" s="28"/>
      <c r="F202" s="28"/>
      <c r="G202" s="28"/>
      <c r="H202" s="22"/>
      <c r="I202" s="22"/>
      <c r="J202" s="22"/>
      <c r="K202" s="22"/>
      <c r="L202" s="22"/>
      <c r="M202" s="22"/>
      <c r="N202" s="22"/>
      <c r="O202" s="22"/>
      <c r="P202" s="23" t="str">
        <f aca="false">IF(OR(A202="",B202="",C202=""),"",IF(COUNT(J202:N202)=0,"",SUM(J202:N202)))</f>
        <v/>
      </c>
      <c r="Q202" s="23" t="str">
        <f aca="false">IF(OR(A202="",B202="",C202=""),"",SUMIFS('Who Engaged'!$I$5:$I$1004,'Who Engaged'!$C$5:$C$1004,C202,'Who Engaged'!$O$5:$O$1004,"Yes")+SUMIFS('Who Engaged'!$J$5:$J$1004,'Who Engaged'!$C$5:$C$1004,C202,'Who Engaged'!$O$5:$O$1004,"Yes")+SUMIFS('Who Engaged'!$K$5:$K$1004,'Who Engaged'!$C$5:$C$1004,C202,'Who Engaged'!$O$5:$O$1004,"Yes")+SUMIFS('Who Engaged'!$L$5:$L$1004,'Who Engaged'!$C$5:$C$1004,C202,'Who Engaged'!$O$5:$O$1004,"Yes"))</f>
        <v/>
      </c>
      <c r="R202" s="23" t="str">
        <f aca="false">IF(OR(OR(A202="",B202="",C202=""),P202=""),"",MAX(0,P202-N(Q202)))</f>
        <v/>
      </c>
      <c r="S202" s="24" t="str">
        <f aca="false">IF(OR(OR(A202="",B202="",C202=""),R202=""),"",IFERROR(R202/(IF(N(H202)&gt;0,H202,IF(N(I202)&gt;0,I202,IF(COUNTIFS($B$16:$B$215,B202,$H$16:$H$215,"&gt;0")+COUNTIFS($B$16:$B$215,B202,$I$16:$I$215,"&gt;0")&gt;0,"",INDEX($B$5:$B$7,MATCH(B202,$A$5:$A$7,0)))))),""))</f>
        <v/>
      </c>
      <c r="T202" s="25" t="str">
        <f aca="false">IF(OR(A202="",B202="",C202=""),"",IF(OR(S202="",COUNTIFS($B$16:$B$215,B202,$S$16:$S$215,"&gt;=0")&lt;2),"No Data Yet",IFERROR(IF(S202/AVERAGEIFS($S$16:$S$215,$B$16:$B$215,B202)&gt;=1.2,"Good",IF(S202/AVERAGEIFS($S$16:$S$215,$B$16:$B$215,B202)&gt;=0.8,"Average","Below Standard")),"Average")))</f>
        <v/>
      </c>
      <c r="U202" s="23" t="str">
        <f aca="false">IF(OR(A202="",B202="",C202=""),"",COUNTIFS('Who Engaged'!$C$5:$C$1004,C202,'Who Engaged'!$P$5:$P$1004,"Yes",'Who Engaged'!$N$5:$N$1004,1))</f>
        <v/>
      </c>
      <c r="V202" s="23" t="str">
        <f aca="false">IF(OR(A202="",B202="",C202=""),"",COUNTIFS('Who Engaged'!$C$5:$C$1004,C202,'Who Engaged'!$P$5:$P$1004,"Yes",'Who Engaged'!$M$5:$M$1004,1))</f>
        <v/>
      </c>
      <c r="W202" s="26" t="str">
        <f aca="false" t="array" ref="W202:W202">IF(OR(A202="",B202="",C202=""),"",_xlfn.TEXTJOIN("; ",TRUE(),IF(('Who Engaged'!$C$5:$C$1004=C202)*('Who Engaged'!$P$5:$P$1004="Yes"),'Who Engaged'!$D$5:$D$1004&amp;" – "&amp;'Who Engaged'!$F$5:$F$1004&amp;IF('Who Engaged'!$M$5:$M$1004=1," (followed)",""),"")))</f>
        <v/>
      </c>
      <c r="X202" s="27"/>
      <c r="Y202" s="27"/>
      <c r="Z202" s="28"/>
      <c r="AA202" s="25" t="str">
        <f aca="false">IF(OR(A202="",B202="",C202=""),"","https://www.alphanodus.com/contact?utm_source="&amp;IF(B202="X","twitter",LOWER(B202))&amp;"&amp;utm_medium=social&amp;utm_campaign="&amp;IF(E202="","general",LOWER(SUBSTITUTE(SUBSTITUTE(E202," / ","-")," ","-")))&amp;"&amp;utm_content="&amp;LOWER(C202))</f>
        <v/>
      </c>
    </row>
    <row r="203" customFormat="false" ht="15" hidden="false" customHeight="false" outlineLevel="0" collapsed="false">
      <c r="A203" s="29"/>
      <c r="B203" s="28"/>
      <c r="C203" s="28"/>
      <c r="D203" s="27"/>
      <c r="E203" s="28"/>
      <c r="F203" s="28"/>
      <c r="G203" s="28"/>
      <c r="H203" s="22"/>
      <c r="I203" s="22"/>
      <c r="J203" s="22"/>
      <c r="K203" s="22"/>
      <c r="L203" s="22"/>
      <c r="M203" s="22"/>
      <c r="N203" s="22"/>
      <c r="O203" s="22"/>
      <c r="P203" s="23" t="str">
        <f aca="false">IF(OR(A203="",B203="",C203=""),"",IF(COUNT(J203:N203)=0,"",SUM(J203:N203)))</f>
        <v/>
      </c>
      <c r="Q203" s="23" t="str">
        <f aca="false">IF(OR(A203="",B203="",C203=""),"",SUMIFS('Who Engaged'!$I$5:$I$1004,'Who Engaged'!$C$5:$C$1004,C203,'Who Engaged'!$O$5:$O$1004,"Yes")+SUMIFS('Who Engaged'!$J$5:$J$1004,'Who Engaged'!$C$5:$C$1004,C203,'Who Engaged'!$O$5:$O$1004,"Yes")+SUMIFS('Who Engaged'!$K$5:$K$1004,'Who Engaged'!$C$5:$C$1004,C203,'Who Engaged'!$O$5:$O$1004,"Yes")+SUMIFS('Who Engaged'!$L$5:$L$1004,'Who Engaged'!$C$5:$C$1004,C203,'Who Engaged'!$O$5:$O$1004,"Yes"))</f>
        <v/>
      </c>
      <c r="R203" s="23" t="str">
        <f aca="false">IF(OR(OR(A203="",B203="",C203=""),P203=""),"",MAX(0,P203-N(Q203)))</f>
        <v/>
      </c>
      <c r="S203" s="24" t="str">
        <f aca="false">IF(OR(OR(A203="",B203="",C203=""),R203=""),"",IFERROR(R203/(IF(N(H203)&gt;0,H203,IF(N(I203)&gt;0,I203,IF(COUNTIFS($B$16:$B$215,B203,$H$16:$H$215,"&gt;0")+COUNTIFS($B$16:$B$215,B203,$I$16:$I$215,"&gt;0")&gt;0,"",INDEX($B$5:$B$7,MATCH(B203,$A$5:$A$7,0)))))),""))</f>
        <v/>
      </c>
      <c r="T203" s="25" t="str">
        <f aca="false">IF(OR(A203="",B203="",C203=""),"",IF(OR(S203="",COUNTIFS($B$16:$B$215,B203,$S$16:$S$215,"&gt;=0")&lt;2),"No Data Yet",IFERROR(IF(S203/AVERAGEIFS($S$16:$S$215,$B$16:$B$215,B203)&gt;=1.2,"Good",IF(S203/AVERAGEIFS($S$16:$S$215,$B$16:$B$215,B203)&gt;=0.8,"Average","Below Standard")),"Average")))</f>
        <v/>
      </c>
      <c r="U203" s="23" t="str">
        <f aca="false">IF(OR(A203="",B203="",C203=""),"",COUNTIFS('Who Engaged'!$C$5:$C$1004,C203,'Who Engaged'!$P$5:$P$1004,"Yes",'Who Engaged'!$N$5:$N$1004,1))</f>
        <v/>
      </c>
      <c r="V203" s="23" t="str">
        <f aca="false">IF(OR(A203="",B203="",C203=""),"",COUNTIFS('Who Engaged'!$C$5:$C$1004,C203,'Who Engaged'!$P$5:$P$1004,"Yes",'Who Engaged'!$M$5:$M$1004,1))</f>
        <v/>
      </c>
      <c r="W203" s="26" t="str">
        <f aca="false" t="array" ref="W203:W203">IF(OR(A203="",B203="",C203=""),"",_xlfn.TEXTJOIN("; ",TRUE(),IF(('Who Engaged'!$C$5:$C$1004=C203)*('Who Engaged'!$P$5:$P$1004="Yes"),'Who Engaged'!$D$5:$D$1004&amp;" – "&amp;'Who Engaged'!$F$5:$F$1004&amp;IF('Who Engaged'!$M$5:$M$1004=1," (followed)",""),"")))</f>
        <v/>
      </c>
      <c r="X203" s="27"/>
      <c r="Y203" s="27"/>
      <c r="Z203" s="28"/>
      <c r="AA203" s="25" t="str">
        <f aca="false">IF(OR(A203="",B203="",C203=""),"","https://www.alphanodus.com/contact?utm_source="&amp;IF(B203="X","twitter",LOWER(B203))&amp;"&amp;utm_medium=social&amp;utm_campaign="&amp;IF(E203="","general",LOWER(SUBSTITUTE(SUBSTITUTE(E203," / ","-")," ","-")))&amp;"&amp;utm_content="&amp;LOWER(C203))</f>
        <v/>
      </c>
    </row>
    <row r="204" customFormat="false" ht="15" hidden="false" customHeight="false" outlineLevel="0" collapsed="false">
      <c r="A204" s="29"/>
      <c r="B204" s="28"/>
      <c r="C204" s="28"/>
      <c r="D204" s="27"/>
      <c r="E204" s="28"/>
      <c r="F204" s="28"/>
      <c r="G204" s="28"/>
      <c r="H204" s="22"/>
      <c r="I204" s="22"/>
      <c r="J204" s="22"/>
      <c r="K204" s="22"/>
      <c r="L204" s="22"/>
      <c r="M204" s="22"/>
      <c r="N204" s="22"/>
      <c r="O204" s="22"/>
      <c r="P204" s="23" t="str">
        <f aca="false">IF(OR(A204="",B204="",C204=""),"",IF(COUNT(J204:N204)=0,"",SUM(J204:N204)))</f>
        <v/>
      </c>
      <c r="Q204" s="23" t="str">
        <f aca="false">IF(OR(A204="",B204="",C204=""),"",SUMIFS('Who Engaged'!$I$5:$I$1004,'Who Engaged'!$C$5:$C$1004,C204,'Who Engaged'!$O$5:$O$1004,"Yes")+SUMIFS('Who Engaged'!$J$5:$J$1004,'Who Engaged'!$C$5:$C$1004,C204,'Who Engaged'!$O$5:$O$1004,"Yes")+SUMIFS('Who Engaged'!$K$5:$K$1004,'Who Engaged'!$C$5:$C$1004,C204,'Who Engaged'!$O$5:$O$1004,"Yes")+SUMIFS('Who Engaged'!$L$5:$L$1004,'Who Engaged'!$C$5:$C$1004,C204,'Who Engaged'!$O$5:$O$1004,"Yes"))</f>
        <v/>
      </c>
      <c r="R204" s="23" t="str">
        <f aca="false">IF(OR(OR(A204="",B204="",C204=""),P204=""),"",MAX(0,P204-N(Q204)))</f>
        <v/>
      </c>
      <c r="S204" s="24" t="str">
        <f aca="false">IF(OR(OR(A204="",B204="",C204=""),R204=""),"",IFERROR(R204/(IF(N(H204)&gt;0,H204,IF(N(I204)&gt;0,I204,IF(COUNTIFS($B$16:$B$215,B204,$H$16:$H$215,"&gt;0")+COUNTIFS($B$16:$B$215,B204,$I$16:$I$215,"&gt;0")&gt;0,"",INDEX($B$5:$B$7,MATCH(B204,$A$5:$A$7,0)))))),""))</f>
        <v/>
      </c>
      <c r="T204" s="25" t="str">
        <f aca="false">IF(OR(A204="",B204="",C204=""),"",IF(OR(S204="",COUNTIFS($B$16:$B$215,B204,$S$16:$S$215,"&gt;=0")&lt;2),"No Data Yet",IFERROR(IF(S204/AVERAGEIFS($S$16:$S$215,$B$16:$B$215,B204)&gt;=1.2,"Good",IF(S204/AVERAGEIFS($S$16:$S$215,$B$16:$B$215,B204)&gt;=0.8,"Average","Below Standard")),"Average")))</f>
        <v/>
      </c>
      <c r="U204" s="23" t="str">
        <f aca="false">IF(OR(A204="",B204="",C204=""),"",COUNTIFS('Who Engaged'!$C$5:$C$1004,C204,'Who Engaged'!$P$5:$P$1004,"Yes",'Who Engaged'!$N$5:$N$1004,1))</f>
        <v/>
      </c>
      <c r="V204" s="23" t="str">
        <f aca="false">IF(OR(A204="",B204="",C204=""),"",COUNTIFS('Who Engaged'!$C$5:$C$1004,C204,'Who Engaged'!$P$5:$P$1004,"Yes",'Who Engaged'!$M$5:$M$1004,1))</f>
        <v/>
      </c>
      <c r="W204" s="26" t="str">
        <f aca="false" t="array" ref="W204:W204">IF(OR(A204="",B204="",C204=""),"",_xlfn.TEXTJOIN("; ",TRUE(),IF(('Who Engaged'!$C$5:$C$1004=C204)*('Who Engaged'!$P$5:$P$1004="Yes"),'Who Engaged'!$D$5:$D$1004&amp;" – "&amp;'Who Engaged'!$F$5:$F$1004&amp;IF('Who Engaged'!$M$5:$M$1004=1," (followed)",""),"")))</f>
        <v/>
      </c>
      <c r="X204" s="27"/>
      <c r="Y204" s="27"/>
      <c r="Z204" s="28"/>
      <c r="AA204" s="25" t="str">
        <f aca="false">IF(OR(A204="",B204="",C204=""),"","https://www.alphanodus.com/contact?utm_source="&amp;IF(B204="X","twitter",LOWER(B204))&amp;"&amp;utm_medium=social&amp;utm_campaign="&amp;IF(E204="","general",LOWER(SUBSTITUTE(SUBSTITUTE(E204," / ","-")," ","-")))&amp;"&amp;utm_content="&amp;LOWER(C204))</f>
        <v/>
      </c>
    </row>
    <row r="205" customFormat="false" ht="15" hidden="false" customHeight="false" outlineLevel="0" collapsed="false">
      <c r="A205" s="29"/>
      <c r="B205" s="28"/>
      <c r="C205" s="28"/>
      <c r="D205" s="27"/>
      <c r="E205" s="28"/>
      <c r="F205" s="28"/>
      <c r="G205" s="28"/>
      <c r="H205" s="22"/>
      <c r="I205" s="22"/>
      <c r="J205" s="22"/>
      <c r="K205" s="22"/>
      <c r="L205" s="22"/>
      <c r="M205" s="22"/>
      <c r="N205" s="22"/>
      <c r="O205" s="22"/>
      <c r="P205" s="23" t="str">
        <f aca="false">IF(OR(A205="",B205="",C205=""),"",IF(COUNT(J205:N205)=0,"",SUM(J205:N205)))</f>
        <v/>
      </c>
      <c r="Q205" s="23" t="str">
        <f aca="false">IF(OR(A205="",B205="",C205=""),"",SUMIFS('Who Engaged'!$I$5:$I$1004,'Who Engaged'!$C$5:$C$1004,C205,'Who Engaged'!$O$5:$O$1004,"Yes")+SUMIFS('Who Engaged'!$J$5:$J$1004,'Who Engaged'!$C$5:$C$1004,C205,'Who Engaged'!$O$5:$O$1004,"Yes")+SUMIFS('Who Engaged'!$K$5:$K$1004,'Who Engaged'!$C$5:$C$1004,C205,'Who Engaged'!$O$5:$O$1004,"Yes")+SUMIFS('Who Engaged'!$L$5:$L$1004,'Who Engaged'!$C$5:$C$1004,C205,'Who Engaged'!$O$5:$O$1004,"Yes"))</f>
        <v/>
      </c>
      <c r="R205" s="23" t="str">
        <f aca="false">IF(OR(OR(A205="",B205="",C205=""),P205=""),"",MAX(0,P205-N(Q205)))</f>
        <v/>
      </c>
      <c r="S205" s="24" t="str">
        <f aca="false">IF(OR(OR(A205="",B205="",C205=""),R205=""),"",IFERROR(R205/(IF(N(H205)&gt;0,H205,IF(N(I205)&gt;0,I205,IF(COUNTIFS($B$16:$B$215,B205,$H$16:$H$215,"&gt;0")+COUNTIFS($B$16:$B$215,B205,$I$16:$I$215,"&gt;0")&gt;0,"",INDEX($B$5:$B$7,MATCH(B205,$A$5:$A$7,0)))))),""))</f>
        <v/>
      </c>
      <c r="T205" s="25" t="str">
        <f aca="false">IF(OR(A205="",B205="",C205=""),"",IF(OR(S205="",COUNTIFS($B$16:$B$215,B205,$S$16:$S$215,"&gt;=0")&lt;2),"No Data Yet",IFERROR(IF(S205/AVERAGEIFS($S$16:$S$215,$B$16:$B$215,B205)&gt;=1.2,"Good",IF(S205/AVERAGEIFS($S$16:$S$215,$B$16:$B$215,B205)&gt;=0.8,"Average","Below Standard")),"Average")))</f>
        <v/>
      </c>
      <c r="U205" s="23" t="str">
        <f aca="false">IF(OR(A205="",B205="",C205=""),"",COUNTIFS('Who Engaged'!$C$5:$C$1004,C205,'Who Engaged'!$P$5:$P$1004,"Yes",'Who Engaged'!$N$5:$N$1004,1))</f>
        <v/>
      </c>
      <c r="V205" s="23" t="str">
        <f aca="false">IF(OR(A205="",B205="",C205=""),"",COUNTIFS('Who Engaged'!$C$5:$C$1004,C205,'Who Engaged'!$P$5:$P$1004,"Yes",'Who Engaged'!$M$5:$M$1004,1))</f>
        <v/>
      </c>
      <c r="W205" s="26" t="str">
        <f aca="false" t="array" ref="W205:W205">IF(OR(A205="",B205="",C205=""),"",_xlfn.TEXTJOIN("; ",TRUE(),IF(('Who Engaged'!$C$5:$C$1004=C205)*('Who Engaged'!$P$5:$P$1004="Yes"),'Who Engaged'!$D$5:$D$1004&amp;" – "&amp;'Who Engaged'!$F$5:$F$1004&amp;IF('Who Engaged'!$M$5:$M$1004=1," (followed)",""),"")))</f>
        <v/>
      </c>
      <c r="X205" s="27"/>
      <c r="Y205" s="27"/>
      <c r="Z205" s="28"/>
      <c r="AA205" s="25" t="str">
        <f aca="false">IF(OR(A205="",B205="",C205=""),"","https://www.alphanodus.com/contact?utm_source="&amp;IF(B205="X","twitter",LOWER(B205))&amp;"&amp;utm_medium=social&amp;utm_campaign="&amp;IF(E205="","general",LOWER(SUBSTITUTE(SUBSTITUTE(E205," / ","-")," ","-")))&amp;"&amp;utm_content="&amp;LOWER(C205))</f>
        <v/>
      </c>
    </row>
    <row r="206" customFormat="false" ht="15" hidden="false" customHeight="false" outlineLevel="0" collapsed="false">
      <c r="A206" s="29"/>
      <c r="B206" s="28"/>
      <c r="C206" s="28"/>
      <c r="D206" s="27"/>
      <c r="E206" s="28"/>
      <c r="F206" s="28"/>
      <c r="G206" s="28"/>
      <c r="H206" s="22"/>
      <c r="I206" s="22"/>
      <c r="J206" s="22"/>
      <c r="K206" s="22"/>
      <c r="L206" s="22"/>
      <c r="M206" s="22"/>
      <c r="N206" s="22"/>
      <c r="O206" s="22"/>
      <c r="P206" s="23" t="str">
        <f aca="false">IF(OR(A206="",B206="",C206=""),"",IF(COUNT(J206:N206)=0,"",SUM(J206:N206)))</f>
        <v/>
      </c>
      <c r="Q206" s="23" t="str">
        <f aca="false">IF(OR(A206="",B206="",C206=""),"",SUMIFS('Who Engaged'!$I$5:$I$1004,'Who Engaged'!$C$5:$C$1004,C206,'Who Engaged'!$O$5:$O$1004,"Yes")+SUMIFS('Who Engaged'!$J$5:$J$1004,'Who Engaged'!$C$5:$C$1004,C206,'Who Engaged'!$O$5:$O$1004,"Yes")+SUMIFS('Who Engaged'!$K$5:$K$1004,'Who Engaged'!$C$5:$C$1004,C206,'Who Engaged'!$O$5:$O$1004,"Yes")+SUMIFS('Who Engaged'!$L$5:$L$1004,'Who Engaged'!$C$5:$C$1004,C206,'Who Engaged'!$O$5:$O$1004,"Yes"))</f>
        <v/>
      </c>
      <c r="R206" s="23" t="str">
        <f aca="false">IF(OR(OR(A206="",B206="",C206=""),P206=""),"",MAX(0,P206-N(Q206)))</f>
        <v/>
      </c>
      <c r="S206" s="24" t="str">
        <f aca="false">IF(OR(OR(A206="",B206="",C206=""),R206=""),"",IFERROR(R206/(IF(N(H206)&gt;0,H206,IF(N(I206)&gt;0,I206,IF(COUNTIFS($B$16:$B$215,B206,$H$16:$H$215,"&gt;0")+COUNTIFS($B$16:$B$215,B206,$I$16:$I$215,"&gt;0")&gt;0,"",INDEX($B$5:$B$7,MATCH(B206,$A$5:$A$7,0)))))),""))</f>
        <v/>
      </c>
      <c r="T206" s="25" t="str">
        <f aca="false">IF(OR(A206="",B206="",C206=""),"",IF(OR(S206="",COUNTIFS($B$16:$B$215,B206,$S$16:$S$215,"&gt;=0")&lt;2),"No Data Yet",IFERROR(IF(S206/AVERAGEIFS($S$16:$S$215,$B$16:$B$215,B206)&gt;=1.2,"Good",IF(S206/AVERAGEIFS($S$16:$S$215,$B$16:$B$215,B206)&gt;=0.8,"Average","Below Standard")),"Average")))</f>
        <v/>
      </c>
      <c r="U206" s="23" t="str">
        <f aca="false">IF(OR(A206="",B206="",C206=""),"",COUNTIFS('Who Engaged'!$C$5:$C$1004,C206,'Who Engaged'!$P$5:$P$1004,"Yes",'Who Engaged'!$N$5:$N$1004,1))</f>
        <v/>
      </c>
      <c r="V206" s="23" t="str">
        <f aca="false">IF(OR(A206="",B206="",C206=""),"",COUNTIFS('Who Engaged'!$C$5:$C$1004,C206,'Who Engaged'!$P$5:$P$1004,"Yes",'Who Engaged'!$M$5:$M$1004,1))</f>
        <v/>
      </c>
      <c r="W206" s="26" t="str">
        <f aca="false" t="array" ref="W206:W206">IF(OR(A206="",B206="",C206=""),"",_xlfn.TEXTJOIN("; ",TRUE(),IF(('Who Engaged'!$C$5:$C$1004=C206)*('Who Engaged'!$P$5:$P$1004="Yes"),'Who Engaged'!$D$5:$D$1004&amp;" – "&amp;'Who Engaged'!$F$5:$F$1004&amp;IF('Who Engaged'!$M$5:$M$1004=1," (followed)",""),"")))</f>
        <v/>
      </c>
      <c r="X206" s="27"/>
      <c r="Y206" s="27"/>
      <c r="Z206" s="28"/>
      <c r="AA206" s="25" t="str">
        <f aca="false">IF(OR(A206="",B206="",C206=""),"","https://www.alphanodus.com/contact?utm_source="&amp;IF(B206="X","twitter",LOWER(B206))&amp;"&amp;utm_medium=social&amp;utm_campaign="&amp;IF(E206="","general",LOWER(SUBSTITUTE(SUBSTITUTE(E206," / ","-")," ","-")))&amp;"&amp;utm_content="&amp;LOWER(C206))</f>
        <v/>
      </c>
    </row>
    <row r="207" customFormat="false" ht="15" hidden="false" customHeight="false" outlineLevel="0" collapsed="false">
      <c r="A207" s="29"/>
      <c r="B207" s="28"/>
      <c r="C207" s="28"/>
      <c r="D207" s="27"/>
      <c r="E207" s="28"/>
      <c r="F207" s="28"/>
      <c r="G207" s="28"/>
      <c r="H207" s="22"/>
      <c r="I207" s="22"/>
      <c r="J207" s="22"/>
      <c r="K207" s="22"/>
      <c r="L207" s="22"/>
      <c r="M207" s="22"/>
      <c r="N207" s="22"/>
      <c r="O207" s="22"/>
      <c r="P207" s="23" t="str">
        <f aca="false">IF(OR(A207="",B207="",C207=""),"",IF(COUNT(J207:N207)=0,"",SUM(J207:N207)))</f>
        <v/>
      </c>
      <c r="Q207" s="23" t="str">
        <f aca="false">IF(OR(A207="",B207="",C207=""),"",SUMIFS('Who Engaged'!$I$5:$I$1004,'Who Engaged'!$C$5:$C$1004,C207,'Who Engaged'!$O$5:$O$1004,"Yes")+SUMIFS('Who Engaged'!$J$5:$J$1004,'Who Engaged'!$C$5:$C$1004,C207,'Who Engaged'!$O$5:$O$1004,"Yes")+SUMIFS('Who Engaged'!$K$5:$K$1004,'Who Engaged'!$C$5:$C$1004,C207,'Who Engaged'!$O$5:$O$1004,"Yes")+SUMIFS('Who Engaged'!$L$5:$L$1004,'Who Engaged'!$C$5:$C$1004,C207,'Who Engaged'!$O$5:$O$1004,"Yes"))</f>
        <v/>
      </c>
      <c r="R207" s="23" t="str">
        <f aca="false">IF(OR(OR(A207="",B207="",C207=""),P207=""),"",MAX(0,P207-N(Q207)))</f>
        <v/>
      </c>
      <c r="S207" s="24" t="str">
        <f aca="false">IF(OR(OR(A207="",B207="",C207=""),R207=""),"",IFERROR(R207/(IF(N(H207)&gt;0,H207,IF(N(I207)&gt;0,I207,IF(COUNTIFS($B$16:$B$215,B207,$H$16:$H$215,"&gt;0")+COUNTIFS($B$16:$B$215,B207,$I$16:$I$215,"&gt;0")&gt;0,"",INDEX($B$5:$B$7,MATCH(B207,$A$5:$A$7,0)))))),""))</f>
        <v/>
      </c>
      <c r="T207" s="25" t="str">
        <f aca="false">IF(OR(A207="",B207="",C207=""),"",IF(OR(S207="",COUNTIFS($B$16:$B$215,B207,$S$16:$S$215,"&gt;=0")&lt;2),"No Data Yet",IFERROR(IF(S207/AVERAGEIFS($S$16:$S$215,$B$16:$B$215,B207)&gt;=1.2,"Good",IF(S207/AVERAGEIFS($S$16:$S$215,$B$16:$B$215,B207)&gt;=0.8,"Average","Below Standard")),"Average")))</f>
        <v/>
      </c>
      <c r="U207" s="23" t="str">
        <f aca="false">IF(OR(A207="",B207="",C207=""),"",COUNTIFS('Who Engaged'!$C$5:$C$1004,C207,'Who Engaged'!$P$5:$P$1004,"Yes",'Who Engaged'!$N$5:$N$1004,1))</f>
        <v/>
      </c>
      <c r="V207" s="23" t="str">
        <f aca="false">IF(OR(A207="",B207="",C207=""),"",COUNTIFS('Who Engaged'!$C$5:$C$1004,C207,'Who Engaged'!$P$5:$P$1004,"Yes",'Who Engaged'!$M$5:$M$1004,1))</f>
        <v/>
      </c>
      <c r="W207" s="26" t="str">
        <f aca="false" t="array" ref="W207:W207">IF(OR(A207="",B207="",C207=""),"",_xlfn.TEXTJOIN("; ",TRUE(),IF(('Who Engaged'!$C$5:$C$1004=C207)*('Who Engaged'!$P$5:$P$1004="Yes"),'Who Engaged'!$D$5:$D$1004&amp;" – "&amp;'Who Engaged'!$F$5:$F$1004&amp;IF('Who Engaged'!$M$5:$M$1004=1," (followed)",""),"")))</f>
        <v/>
      </c>
      <c r="X207" s="27"/>
      <c r="Y207" s="27"/>
      <c r="Z207" s="28"/>
      <c r="AA207" s="25" t="str">
        <f aca="false">IF(OR(A207="",B207="",C207=""),"","https://www.alphanodus.com/contact?utm_source="&amp;IF(B207="X","twitter",LOWER(B207))&amp;"&amp;utm_medium=social&amp;utm_campaign="&amp;IF(E207="","general",LOWER(SUBSTITUTE(SUBSTITUTE(E207," / ","-")," ","-")))&amp;"&amp;utm_content="&amp;LOWER(C207))</f>
        <v/>
      </c>
    </row>
    <row r="208" customFormat="false" ht="15" hidden="false" customHeight="false" outlineLevel="0" collapsed="false">
      <c r="A208" s="29"/>
      <c r="B208" s="28"/>
      <c r="C208" s="28"/>
      <c r="D208" s="27"/>
      <c r="E208" s="28"/>
      <c r="F208" s="28"/>
      <c r="G208" s="28"/>
      <c r="H208" s="22"/>
      <c r="I208" s="22"/>
      <c r="J208" s="22"/>
      <c r="K208" s="22"/>
      <c r="L208" s="22"/>
      <c r="M208" s="22"/>
      <c r="N208" s="22"/>
      <c r="O208" s="22"/>
      <c r="P208" s="23" t="str">
        <f aca="false">IF(OR(A208="",B208="",C208=""),"",IF(COUNT(J208:N208)=0,"",SUM(J208:N208)))</f>
        <v/>
      </c>
      <c r="Q208" s="23" t="str">
        <f aca="false">IF(OR(A208="",B208="",C208=""),"",SUMIFS('Who Engaged'!$I$5:$I$1004,'Who Engaged'!$C$5:$C$1004,C208,'Who Engaged'!$O$5:$O$1004,"Yes")+SUMIFS('Who Engaged'!$J$5:$J$1004,'Who Engaged'!$C$5:$C$1004,C208,'Who Engaged'!$O$5:$O$1004,"Yes")+SUMIFS('Who Engaged'!$K$5:$K$1004,'Who Engaged'!$C$5:$C$1004,C208,'Who Engaged'!$O$5:$O$1004,"Yes")+SUMIFS('Who Engaged'!$L$5:$L$1004,'Who Engaged'!$C$5:$C$1004,C208,'Who Engaged'!$O$5:$O$1004,"Yes"))</f>
        <v/>
      </c>
      <c r="R208" s="23" t="str">
        <f aca="false">IF(OR(OR(A208="",B208="",C208=""),P208=""),"",MAX(0,P208-N(Q208)))</f>
        <v/>
      </c>
      <c r="S208" s="24" t="str">
        <f aca="false">IF(OR(OR(A208="",B208="",C208=""),R208=""),"",IFERROR(R208/(IF(N(H208)&gt;0,H208,IF(N(I208)&gt;0,I208,IF(COUNTIFS($B$16:$B$215,B208,$H$16:$H$215,"&gt;0")+COUNTIFS($B$16:$B$215,B208,$I$16:$I$215,"&gt;0")&gt;0,"",INDEX($B$5:$B$7,MATCH(B208,$A$5:$A$7,0)))))),""))</f>
        <v/>
      </c>
      <c r="T208" s="25" t="str">
        <f aca="false">IF(OR(A208="",B208="",C208=""),"",IF(OR(S208="",COUNTIFS($B$16:$B$215,B208,$S$16:$S$215,"&gt;=0")&lt;2),"No Data Yet",IFERROR(IF(S208/AVERAGEIFS($S$16:$S$215,$B$16:$B$215,B208)&gt;=1.2,"Good",IF(S208/AVERAGEIFS($S$16:$S$215,$B$16:$B$215,B208)&gt;=0.8,"Average","Below Standard")),"Average")))</f>
        <v/>
      </c>
      <c r="U208" s="23" t="str">
        <f aca="false">IF(OR(A208="",B208="",C208=""),"",COUNTIFS('Who Engaged'!$C$5:$C$1004,C208,'Who Engaged'!$P$5:$P$1004,"Yes",'Who Engaged'!$N$5:$N$1004,1))</f>
        <v/>
      </c>
      <c r="V208" s="23" t="str">
        <f aca="false">IF(OR(A208="",B208="",C208=""),"",COUNTIFS('Who Engaged'!$C$5:$C$1004,C208,'Who Engaged'!$P$5:$P$1004,"Yes",'Who Engaged'!$M$5:$M$1004,1))</f>
        <v/>
      </c>
      <c r="W208" s="26" t="str">
        <f aca="false" t="array" ref="W208:W208">IF(OR(A208="",B208="",C208=""),"",_xlfn.TEXTJOIN("; ",TRUE(),IF(('Who Engaged'!$C$5:$C$1004=C208)*('Who Engaged'!$P$5:$P$1004="Yes"),'Who Engaged'!$D$5:$D$1004&amp;" – "&amp;'Who Engaged'!$F$5:$F$1004&amp;IF('Who Engaged'!$M$5:$M$1004=1," (followed)",""),"")))</f>
        <v/>
      </c>
      <c r="X208" s="27"/>
      <c r="Y208" s="27"/>
      <c r="Z208" s="28"/>
      <c r="AA208" s="25" t="str">
        <f aca="false">IF(OR(A208="",B208="",C208=""),"","https://www.alphanodus.com/contact?utm_source="&amp;IF(B208="X","twitter",LOWER(B208))&amp;"&amp;utm_medium=social&amp;utm_campaign="&amp;IF(E208="","general",LOWER(SUBSTITUTE(SUBSTITUTE(E208," / ","-")," ","-")))&amp;"&amp;utm_content="&amp;LOWER(C208))</f>
        <v/>
      </c>
    </row>
    <row r="209" customFormat="false" ht="15" hidden="false" customHeight="false" outlineLevel="0" collapsed="false">
      <c r="A209" s="29"/>
      <c r="B209" s="28"/>
      <c r="C209" s="28"/>
      <c r="D209" s="27"/>
      <c r="E209" s="28"/>
      <c r="F209" s="28"/>
      <c r="G209" s="28"/>
      <c r="H209" s="22"/>
      <c r="I209" s="22"/>
      <c r="J209" s="22"/>
      <c r="K209" s="22"/>
      <c r="L209" s="22"/>
      <c r="M209" s="22"/>
      <c r="N209" s="22"/>
      <c r="O209" s="22"/>
      <c r="P209" s="23" t="str">
        <f aca="false">IF(OR(A209="",B209="",C209=""),"",IF(COUNT(J209:N209)=0,"",SUM(J209:N209)))</f>
        <v/>
      </c>
      <c r="Q209" s="23" t="str">
        <f aca="false">IF(OR(A209="",B209="",C209=""),"",SUMIFS('Who Engaged'!$I$5:$I$1004,'Who Engaged'!$C$5:$C$1004,C209,'Who Engaged'!$O$5:$O$1004,"Yes")+SUMIFS('Who Engaged'!$J$5:$J$1004,'Who Engaged'!$C$5:$C$1004,C209,'Who Engaged'!$O$5:$O$1004,"Yes")+SUMIFS('Who Engaged'!$K$5:$K$1004,'Who Engaged'!$C$5:$C$1004,C209,'Who Engaged'!$O$5:$O$1004,"Yes")+SUMIFS('Who Engaged'!$L$5:$L$1004,'Who Engaged'!$C$5:$C$1004,C209,'Who Engaged'!$O$5:$O$1004,"Yes"))</f>
        <v/>
      </c>
      <c r="R209" s="23" t="str">
        <f aca="false">IF(OR(OR(A209="",B209="",C209=""),P209=""),"",MAX(0,P209-N(Q209)))</f>
        <v/>
      </c>
      <c r="S209" s="24" t="str">
        <f aca="false">IF(OR(OR(A209="",B209="",C209=""),R209=""),"",IFERROR(R209/(IF(N(H209)&gt;0,H209,IF(N(I209)&gt;0,I209,IF(COUNTIFS($B$16:$B$215,B209,$H$16:$H$215,"&gt;0")+COUNTIFS($B$16:$B$215,B209,$I$16:$I$215,"&gt;0")&gt;0,"",INDEX($B$5:$B$7,MATCH(B209,$A$5:$A$7,0)))))),""))</f>
        <v/>
      </c>
      <c r="T209" s="25" t="str">
        <f aca="false">IF(OR(A209="",B209="",C209=""),"",IF(OR(S209="",COUNTIFS($B$16:$B$215,B209,$S$16:$S$215,"&gt;=0")&lt;2),"No Data Yet",IFERROR(IF(S209/AVERAGEIFS($S$16:$S$215,$B$16:$B$215,B209)&gt;=1.2,"Good",IF(S209/AVERAGEIFS($S$16:$S$215,$B$16:$B$215,B209)&gt;=0.8,"Average","Below Standard")),"Average")))</f>
        <v/>
      </c>
      <c r="U209" s="23" t="str">
        <f aca="false">IF(OR(A209="",B209="",C209=""),"",COUNTIFS('Who Engaged'!$C$5:$C$1004,C209,'Who Engaged'!$P$5:$P$1004,"Yes",'Who Engaged'!$N$5:$N$1004,1))</f>
        <v/>
      </c>
      <c r="V209" s="23" t="str">
        <f aca="false">IF(OR(A209="",B209="",C209=""),"",COUNTIFS('Who Engaged'!$C$5:$C$1004,C209,'Who Engaged'!$P$5:$P$1004,"Yes",'Who Engaged'!$M$5:$M$1004,1))</f>
        <v/>
      </c>
      <c r="W209" s="26" t="str">
        <f aca="false" t="array" ref="W209:W209">IF(OR(A209="",B209="",C209=""),"",_xlfn.TEXTJOIN("; ",TRUE(),IF(('Who Engaged'!$C$5:$C$1004=C209)*('Who Engaged'!$P$5:$P$1004="Yes"),'Who Engaged'!$D$5:$D$1004&amp;" – "&amp;'Who Engaged'!$F$5:$F$1004&amp;IF('Who Engaged'!$M$5:$M$1004=1," (followed)",""),"")))</f>
        <v/>
      </c>
      <c r="X209" s="27"/>
      <c r="Y209" s="27"/>
      <c r="Z209" s="28"/>
      <c r="AA209" s="25" t="str">
        <f aca="false">IF(OR(A209="",B209="",C209=""),"","https://www.alphanodus.com/contact?utm_source="&amp;IF(B209="X","twitter",LOWER(B209))&amp;"&amp;utm_medium=social&amp;utm_campaign="&amp;IF(E209="","general",LOWER(SUBSTITUTE(SUBSTITUTE(E209," / ","-")," ","-")))&amp;"&amp;utm_content="&amp;LOWER(C209))</f>
        <v/>
      </c>
    </row>
    <row r="210" customFormat="false" ht="15" hidden="false" customHeight="false" outlineLevel="0" collapsed="false">
      <c r="A210" s="29"/>
      <c r="B210" s="28"/>
      <c r="C210" s="28"/>
      <c r="D210" s="27"/>
      <c r="E210" s="28"/>
      <c r="F210" s="28"/>
      <c r="G210" s="28"/>
      <c r="H210" s="22"/>
      <c r="I210" s="22"/>
      <c r="J210" s="22"/>
      <c r="K210" s="22"/>
      <c r="L210" s="22"/>
      <c r="M210" s="22"/>
      <c r="N210" s="22"/>
      <c r="O210" s="22"/>
      <c r="P210" s="23" t="str">
        <f aca="false">IF(OR(A210="",B210="",C210=""),"",IF(COUNT(J210:N210)=0,"",SUM(J210:N210)))</f>
        <v/>
      </c>
      <c r="Q210" s="23" t="str">
        <f aca="false">IF(OR(A210="",B210="",C210=""),"",SUMIFS('Who Engaged'!$I$5:$I$1004,'Who Engaged'!$C$5:$C$1004,C210,'Who Engaged'!$O$5:$O$1004,"Yes")+SUMIFS('Who Engaged'!$J$5:$J$1004,'Who Engaged'!$C$5:$C$1004,C210,'Who Engaged'!$O$5:$O$1004,"Yes")+SUMIFS('Who Engaged'!$K$5:$K$1004,'Who Engaged'!$C$5:$C$1004,C210,'Who Engaged'!$O$5:$O$1004,"Yes")+SUMIFS('Who Engaged'!$L$5:$L$1004,'Who Engaged'!$C$5:$C$1004,C210,'Who Engaged'!$O$5:$O$1004,"Yes"))</f>
        <v/>
      </c>
      <c r="R210" s="23" t="str">
        <f aca="false">IF(OR(OR(A210="",B210="",C210=""),P210=""),"",MAX(0,P210-N(Q210)))</f>
        <v/>
      </c>
      <c r="S210" s="24" t="str">
        <f aca="false">IF(OR(OR(A210="",B210="",C210=""),R210=""),"",IFERROR(R210/(IF(N(H210)&gt;0,H210,IF(N(I210)&gt;0,I210,IF(COUNTIFS($B$16:$B$215,B210,$H$16:$H$215,"&gt;0")+COUNTIFS($B$16:$B$215,B210,$I$16:$I$215,"&gt;0")&gt;0,"",INDEX($B$5:$B$7,MATCH(B210,$A$5:$A$7,0)))))),""))</f>
        <v/>
      </c>
      <c r="T210" s="25" t="str">
        <f aca="false">IF(OR(A210="",B210="",C210=""),"",IF(OR(S210="",COUNTIFS($B$16:$B$215,B210,$S$16:$S$215,"&gt;=0")&lt;2),"No Data Yet",IFERROR(IF(S210/AVERAGEIFS($S$16:$S$215,$B$16:$B$215,B210)&gt;=1.2,"Good",IF(S210/AVERAGEIFS($S$16:$S$215,$B$16:$B$215,B210)&gt;=0.8,"Average","Below Standard")),"Average")))</f>
        <v/>
      </c>
      <c r="U210" s="23" t="str">
        <f aca="false">IF(OR(A210="",B210="",C210=""),"",COUNTIFS('Who Engaged'!$C$5:$C$1004,C210,'Who Engaged'!$P$5:$P$1004,"Yes",'Who Engaged'!$N$5:$N$1004,1))</f>
        <v/>
      </c>
      <c r="V210" s="23" t="str">
        <f aca="false">IF(OR(A210="",B210="",C210=""),"",COUNTIFS('Who Engaged'!$C$5:$C$1004,C210,'Who Engaged'!$P$5:$P$1004,"Yes",'Who Engaged'!$M$5:$M$1004,1))</f>
        <v/>
      </c>
      <c r="W210" s="26" t="str">
        <f aca="false" t="array" ref="W210:W210">IF(OR(A210="",B210="",C210=""),"",_xlfn.TEXTJOIN("; ",TRUE(),IF(('Who Engaged'!$C$5:$C$1004=C210)*('Who Engaged'!$P$5:$P$1004="Yes"),'Who Engaged'!$D$5:$D$1004&amp;" – "&amp;'Who Engaged'!$F$5:$F$1004&amp;IF('Who Engaged'!$M$5:$M$1004=1," (followed)",""),"")))</f>
        <v/>
      </c>
      <c r="X210" s="27"/>
      <c r="Y210" s="27"/>
      <c r="Z210" s="28"/>
      <c r="AA210" s="25" t="str">
        <f aca="false">IF(OR(A210="",B210="",C210=""),"","https://www.alphanodus.com/contact?utm_source="&amp;IF(B210="X","twitter",LOWER(B210))&amp;"&amp;utm_medium=social&amp;utm_campaign="&amp;IF(E210="","general",LOWER(SUBSTITUTE(SUBSTITUTE(E210," / ","-")," ","-")))&amp;"&amp;utm_content="&amp;LOWER(C210))</f>
        <v/>
      </c>
    </row>
    <row r="211" customFormat="false" ht="15" hidden="false" customHeight="false" outlineLevel="0" collapsed="false">
      <c r="A211" s="29"/>
      <c r="B211" s="28"/>
      <c r="C211" s="28"/>
      <c r="D211" s="27"/>
      <c r="E211" s="28"/>
      <c r="F211" s="28"/>
      <c r="G211" s="28"/>
      <c r="H211" s="22"/>
      <c r="I211" s="22"/>
      <c r="J211" s="22"/>
      <c r="K211" s="22"/>
      <c r="L211" s="22"/>
      <c r="M211" s="22"/>
      <c r="N211" s="22"/>
      <c r="O211" s="22"/>
      <c r="P211" s="23" t="str">
        <f aca="false">IF(OR(A211="",B211="",C211=""),"",IF(COUNT(J211:N211)=0,"",SUM(J211:N211)))</f>
        <v/>
      </c>
      <c r="Q211" s="23" t="str">
        <f aca="false">IF(OR(A211="",B211="",C211=""),"",SUMIFS('Who Engaged'!$I$5:$I$1004,'Who Engaged'!$C$5:$C$1004,C211,'Who Engaged'!$O$5:$O$1004,"Yes")+SUMIFS('Who Engaged'!$J$5:$J$1004,'Who Engaged'!$C$5:$C$1004,C211,'Who Engaged'!$O$5:$O$1004,"Yes")+SUMIFS('Who Engaged'!$K$5:$K$1004,'Who Engaged'!$C$5:$C$1004,C211,'Who Engaged'!$O$5:$O$1004,"Yes")+SUMIFS('Who Engaged'!$L$5:$L$1004,'Who Engaged'!$C$5:$C$1004,C211,'Who Engaged'!$O$5:$O$1004,"Yes"))</f>
        <v/>
      </c>
      <c r="R211" s="23" t="str">
        <f aca="false">IF(OR(OR(A211="",B211="",C211=""),P211=""),"",MAX(0,P211-N(Q211)))</f>
        <v/>
      </c>
      <c r="S211" s="24" t="str">
        <f aca="false">IF(OR(OR(A211="",B211="",C211=""),R211=""),"",IFERROR(R211/(IF(N(H211)&gt;0,H211,IF(N(I211)&gt;0,I211,IF(COUNTIFS($B$16:$B$215,B211,$H$16:$H$215,"&gt;0")+COUNTIFS($B$16:$B$215,B211,$I$16:$I$215,"&gt;0")&gt;0,"",INDEX($B$5:$B$7,MATCH(B211,$A$5:$A$7,0)))))),""))</f>
        <v/>
      </c>
      <c r="T211" s="25" t="str">
        <f aca="false">IF(OR(A211="",B211="",C211=""),"",IF(OR(S211="",COUNTIFS($B$16:$B$215,B211,$S$16:$S$215,"&gt;=0")&lt;2),"No Data Yet",IFERROR(IF(S211/AVERAGEIFS($S$16:$S$215,$B$16:$B$215,B211)&gt;=1.2,"Good",IF(S211/AVERAGEIFS($S$16:$S$215,$B$16:$B$215,B211)&gt;=0.8,"Average","Below Standard")),"Average")))</f>
        <v/>
      </c>
      <c r="U211" s="23" t="str">
        <f aca="false">IF(OR(A211="",B211="",C211=""),"",COUNTIFS('Who Engaged'!$C$5:$C$1004,C211,'Who Engaged'!$P$5:$P$1004,"Yes",'Who Engaged'!$N$5:$N$1004,1))</f>
        <v/>
      </c>
      <c r="V211" s="23" t="str">
        <f aca="false">IF(OR(A211="",B211="",C211=""),"",COUNTIFS('Who Engaged'!$C$5:$C$1004,C211,'Who Engaged'!$P$5:$P$1004,"Yes",'Who Engaged'!$M$5:$M$1004,1))</f>
        <v/>
      </c>
      <c r="W211" s="26" t="str">
        <f aca="false" t="array" ref="W211:W211">IF(OR(A211="",B211="",C211=""),"",_xlfn.TEXTJOIN("; ",TRUE(),IF(('Who Engaged'!$C$5:$C$1004=C211)*('Who Engaged'!$P$5:$P$1004="Yes"),'Who Engaged'!$D$5:$D$1004&amp;" – "&amp;'Who Engaged'!$F$5:$F$1004&amp;IF('Who Engaged'!$M$5:$M$1004=1," (followed)",""),"")))</f>
        <v/>
      </c>
      <c r="X211" s="27"/>
      <c r="Y211" s="27"/>
      <c r="Z211" s="28"/>
      <c r="AA211" s="25" t="str">
        <f aca="false">IF(OR(A211="",B211="",C211=""),"","https://www.alphanodus.com/contact?utm_source="&amp;IF(B211="X","twitter",LOWER(B211))&amp;"&amp;utm_medium=social&amp;utm_campaign="&amp;IF(E211="","general",LOWER(SUBSTITUTE(SUBSTITUTE(E211," / ","-")," ","-")))&amp;"&amp;utm_content="&amp;LOWER(C211))</f>
        <v/>
      </c>
    </row>
    <row r="212" customFormat="false" ht="15" hidden="false" customHeight="false" outlineLevel="0" collapsed="false">
      <c r="A212" s="29"/>
      <c r="B212" s="28"/>
      <c r="C212" s="28"/>
      <c r="D212" s="27"/>
      <c r="E212" s="28"/>
      <c r="F212" s="28"/>
      <c r="G212" s="28"/>
      <c r="H212" s="22"/>
      <c r="I212" s="22"/>
      <c r="J212" s="22"/>
      <c r="K212" s="22"/>
      <c r="L212" s="22"/>
      <c r="M212" s="22"/>
      <c r="N212" s="22"/>
      <c r="O212" s="22"/>
      <c r="P212" s="23" t="str">
        <f aca="false">IF(OR(A212="",B212="",C212=""),"",IF(COUNT(J212:N212)=0,"",SUM(J212:N212)))</f>
        <v/>
      </c>
      <c r="Q212" s="23" t="str">
        <f aca="false">IF(OR(A212="",B212="",C212=""),"",SUMIFS('Who Engaged'!$I$5:$I$1004,'Who Engaged'!$C$5:$C$1004,C212,'Who Engaged'!$O$5:$O$1004,"Yes")+SUMIFS('Who Engaged'!$J$5:$J$1004,'Who Engaged'!$C$5:$C$1004,C212,'Who Engaged'!$O$5:$O$1004,"Yes")+SUMIFS('Who Engaged'!$K$5:$K$1004,'Who Engaged'!$C$5:$C$1004,C212,'Who Engaged'!$O$5:$O$1004,"Yes")+SUMIFS('Who Engaged'!$L$5:$L$1004,'Who Engaged'!$C$5:$C$1004,C212,'Who Engaged'!$O$5:$O$1004,"Yes"))</f>
        <v/>
      </c>
      <c r="R212" s="23" t="str">
        <f aca="false">IF(OR(OR(A212="",B212="",C212=""),P212=""),"",MAX(0,P212-N(Q212)))</f>
        <v/>
      </c>
      <c r="S212" s="24" t="str">
        <f aca="false">IF(OR(OR(A212="",B212="",C212=""),R212=""),"",IFERROR(R212/(IF(N(H212)&gt;0,H212,IF(N(I212)&gt;0,I212,IF(COUNTIFS($B$16:$B$215,B212,$H$16:$H$215,"&gt;0")+COUNTIFS($B$16:$B$215,B212,$I$16:$I$215,"&gt;0")&gt;0,"",INDEX($B$5:$B$7,MATCH(B212,$A$5:$A$7,0)))))),""))</f>
        <v/>
      </c>
      <c r="T212" s="25" t="str">
        <f aca="false">IF(OR(A212="",B212="",C212=""),"",IF(OR(S212="",COUNTIFS($B$16:$B$215,B212,$S$16:$S$215,"&gt;=0")&lt;2),"No Data Yet",IFERROR(IF(S212/AVERAGEIFS($S$16:$S$215,$B$16:$B$215,B212)&gt;=1.2,"Good",IF(S212/AVERAGEIFS($S$16:$S$215,$B$16:$B$215,B212)&gt;=0.8,"Average","Below Standard")),"Average")))</f>
        <v/>
      </c>
      <c r="U212" s="23" t="str">
        <f aca="false">IF(OR(A212="",B212="",C212=""),"",COUNTIFS('Who Engaged'!$C$5:$C$1004,C212,'Who Engaged'!$P$5:$P$1004,"Yes",'Who Engaged'!$N$5:$N$1004,1))</f>
        <v/>
      </c>
      <c r="V212" s="23" t="str">
        <f aca="false">IF(OR(A212="",B212="",C212=""),"",COUNTIFS('Who Engaged'!$C$5:$C$1004,C212,'Who Engaged'!$P$5:$P$1004,"Yes",'Who Engaged'!$M$5:$M$1004,1))</f>
        <v/>
      </c>
      <c r="W212" s="26" t="str">
        <f aca="false" t="array" ref="W212:W212">IF(OR(A212="",B212="",C212=""),"",_xlfn.TEXTJOIN("; ",TRUE(),IF(('Who Engaged'!$C$5:$C$1004=C212)*('Who Engaged'!$P$5:$P$1004="Yes"),'Who Engaged'!$D$5:$D$1004&amp;" – "&amp;'Who Engaged'!$F$5:$F$1004&amp;IF('Who Engaged'!$M$5:$M$1004=1," (followed)",""),"")))</f>
        <v/>
      </c>
      <c r="X212" s="27"/>
      <c r="Y212" s="27"/>
      <c r="Z212" s="28"/>
      <c r="AA212" s="25" t="str">
        <f aca="false">IF(OR(A212="",B212="",C212=""),"","https://www.alphanodus.com/contact?utm_source="&amp;IF(B212="X","twitter",LOWER(B212))&amp;"&amp;utm_medium=social&amp;utm_campaign="&amp;IF(E212="","general",LOWER(SUBSTITUTE(SUBSTITUTE(E212," / ","-")," ","-")))&amp;"&amp;utm_content="&amp;LOWER(C212))</f>
        <v/>
      </c>
    </row>
    <row r="213" customFormat="false" ht="15" hidden="false" customHeight="false" outlineLevel="0" collapsed="false">
      <c r="A213" s="29"/>
      <c r="B213" s="28"/>
      <c r="C213" s="28"/>
      <c r="D213" s="27"/>
      <c r="E213" s="28"/>
      <c r="F213" s="28"/>
      <c r="G213" s="28"/>
      <c r="H213" s="22"/>
      <c r="I213" s="22"/>
      <c r="J213" s="22"/>
      <c r="K213" s="22"/>
      <c r="L213" s="22"/>
      <c r="M213" s="22"/>
      <c r="N213" s="22"/>
      <c r="O213" s="22"/>
      <c r="P213" s="23" t="str">
        <f aca="false">IF(OR(A213="",B213="",C213=""),"",IF(COUNT(J213:N213)=0,"",SUM(J213:N213)))</f>
        <v/>
      </c>
      <c r="Q213" s="23" t="str">
        <f aca="false">IF(OR(A213="",B213="",C213=""),"",SUMIFS('Who Engaged'!$I$5:$I$1004,'Who Engaged'!$C$5:$C$1004,C213,'Who Engaged'!$O$5:$O$1004,"Yes")+SUMIFS('Who Engaged'!$J$5:$J$1004,'Who Engaged'!$C$5:$C$1004,C213,'Who Engaged'!$O$5:$O$1004,"Yes")+SUMIFS('Who Engaged'!$K$5:$K$1004,'Who Engaged'!$C$5:$C$1004,C213,'Who Engaged'!$O$5:$O$1004,"Yes")+SUMIFS('Who Engaged'!$L$5:$L$1004,'Who Engaged'!$C$5:$C$1004,C213,'Who Engaged'!$O$5:$O$1004,"Yes"))</f>
        <v/>
      </c>
      <c r="R213" s="23" t="str">
        <f aca="false">IF(OR(OR(A213="",B213="",C213=""),P213=""),"",MAX(0,P213-N(Q213)))</f>
        <v/>
      </c>
      <c r="S213" s="24" t="str">
        <f aca="false">IF(OR(OR(A213="",B213="",C213=""),R213=""),"",IFERROR(R213/(IF(N(H213)&gt;0,H213,IF(N(I213)&gt;0,I213,IF(COUNTIFS($B$16:$B$215,B213,$H$16:$H$215,"&gt;0")+COUNTIFS($B$16:$B$215,B213,$I$16:$I$215,"&gt;0")&gt;0,"",INDEX($B$5:$B$7,MATCH(B213,$A$5:$A$7,0)))))),""))</f>
        <v/>
      </c>
      <c r="T213" s="25" t="str">
        <f aca="false">IF(OR(A213="",B213="",C213=""),"",IF(OR(S213="",COUNTIFS($B$16:$B$215,B213,$S$16:$S$215,"&gt;=0")&lt;2),"No Data Yet",IFERROR(IF(S213/AVERAGEIFS($S$16:$S$215,$B$16:$B$215,B213)&gt;=1.2,"Good",IF(S213/AVERAGEIFS($S$16:$S$215,$B$16:$B$215,B213)&gt;=0.8,"Average","Below Standard")),"Average")))</f>
        <v/>
      </c>
      <c r="U213" s="23" t="str">
        <f aca="false">IF(OR(A213="",B213="",C213=""),"",COUNTIFS('Who Engaged'!$C$5:$C$1004,C213,'Who Engaged'!$P$5:$P$1004,"Yes",'Who Engaged'!$N$5:$N$1004,1))</f>
        <v/>
      </c>
      <c r="V213" s="23" t="str">
        <f aca="false">IF(OR(A213="",B213="",C213=""),"",COUNTIFS('Who Engaged'!$C$5:$C$1004,C213,'Who Engaged'!$P$5:$P$1004,"Yes",'Who Engaged'!$M$5:$M$1004,1))</f>
        <v/>
      </c>
      <c r="W213" s="26" t="str">
        <f aca="false" t="array" ref="W213:W213">IF(OR(A213="",B213="",C213=""),"",_xlfn.TEXTJOIN("; ",TRUE(),IF(('Who Engaged'!$C$5:$C$1004=C213)*('Who Engaged'!$P$5:$P$1004="Yes"),'Who Engaged'!$D$5:$D$1004&amp;" – "&amp;'Who Engaged'!$F$5:$F$1004&amp;IF('Who Engaged'!$M$5:$M$1004=1," (followed)",""),"")))</f>
        <v/>
      </c>
      <c r="X213" s="27"/>
      <c r="Y213" s="27"/>
      <c r="Z213" s="28"/>
      <c r="AA213" s="25" t="str">
        <f aca="false">IF(OR(A213="",B213="",C213=""),"","https://www.alphanodus.com/contact?utm_source="&amp;IF(B213="X","twitter",LOWER(B213))&amp;"&amp;utm_medium=social&amp;utm_campaign="&amp;IF(E213="","general",LOWER(SUBSTITUTE(SUBSTITUTE(E213," / ","-")," ","-")))&amp;"&amp;utm_content="&amp;LOWER(C213))</f>
        <v/>
      </c>
    </row>
    <row r="214" customFormat="false" ht="15" hidden="false" customHeight="false" outlineLevel="0" collapsed="false">
      <c r="A214" s="29"/>
      <c r="B214" s="28"/>
      <c r="C214" s="28"/>
      <c r="D214" s="27"/>
      <c r="E214" s="28"/>
      <c r="F214" s="28"/>
      <c r="G214" s="28"/>
      <c r="H214" s="22"/>
      <c r="I214" s="22"/>
      <c r="J214" s="22"/>
      <c r="K214" s="22"/>
      <c r="L214" s="22"/>
      <c r="M214" s="22"/>
      <c r="N214" s="22"/>
      <c r="O214" s="22"/>
      <c r="P214" s="23" t="str">
        <f aca="false">IF(OR(A214="",B214="",C214=""),"",IF(COUNT(J214:N214)=0,"",SUM(J214:N214)))</f>
        <v/>
      </c>
      <c r="Q214" s="23" t="str">
        <f aca="false">IF(OR(A214="",B214="",C214=""),"",SUMIFS('Who Engaged'!$I$5:$I$1004,'Who Engaged'!$C$5:$C$1004,C214,'Who Engaged'!$O$5:$O$1004,"Yes")+SUMIFS('Who Engaged'!$J$5:$J$1004,'Who Engaged'!$C$5:$C$1004,C214,'Who Engaged'!$O$5:$O$1004,"Yes")+SUMIFS('Who Engaged'!$K$5:$K$1004,'Who Engaged'!$C$5:$C$1004,C214,'Who Engaged'!$O$5:$O$1004,"Yes")+SUMIFS('Who Engaged'!$L$5:$L$1004,'Who Engaged'!$C$5:$C$1004,C214,'Who Engaged'!$O$5:$O$1004,"Yes"))</f>
        <v/>
      </c>
      <c r="R214" s="23" t="str">
        <f aca="false">IF(OR(OR(A214="",B214="",C214=""),P214=""),"",MAX(0,P214-N(Q214)))</f>
        <v/>
      </c>
      <c r="S214" s="24" t="str">
        <f aca="false">IF(OR(OR(A214="",B214="",C214=""),R214=""),"",IFERROR(R214/(IF(N(H214)&gt;0,H214,IF(N(I214)&gt;0,I214,IF(COUNTIFS($B$16:$B$215,B214,$H$16:$H$215,"&gt;0")+COUNTIFS($B$16:$B$215,B214,$I$16:$I$215,"&gt;0")&gt;0,"",INDEX($B$5:$B$7,MATCH(B214,$A$5:$A$7,0)))))),""))</f>
        <v/>
      </c>
      <c r="T214" s="25" t="str">
        <f aca="false">IF(OR(A214="",B214="",C214=""),"",IF(OR(S214="",COUNTIFS($B$16:$B$215,B214,$S$16:$S$215,"&gt;=0")&lt;2),"No Data Yet",IFERROR(IF(S214/AVERAGEIFS($S$16:$S$215,$B$16:$B$215,B214)&gt;=1.2,"Good",IF(S214/AVERAGEIFS($S$16:$S$215,$B$16:$B$215,B214)&gt;=0.8,"Average","Below Standard")),"Average")))</f>
        <v/>
      </c>
      <c r="U214" s="23" t="str">
        <f aca="false">IF(OR(A214="",B214="",C214=""),"",COUNTIFS('Who Engaged'!$C$5:$C$1004,C214,'Who Engaged'!$P$5:$P$1004,"Yes",'Who Engaged'!$N$5:$N$1004,1))</f>
        <v/>
      </c>
      <c r="V214" s="23" t="str">
        <f aca="false">IF(OR(A214="",B214="",C214=""),"",COUNTIFS('Who Engaged'!$C$5:$C$1004,C214,'Who Engaged'!$P$5:$P$1004,"Yes",'Who Engaged'!$M$5:$M$1004,1))</f>
        <v/>
      </c>
      <c r="W214" s="26" t="str">
        <f aca="false" t="array" ref="W214:W214">IF(OR(A214="",B214="",C214=""),"",_xlfn.TEXTJOIN("; ",TRUE(),IF(('Who Engaged'!$C$5:$C$1004=C214)*('Who Engaged'!$P$5:$P$1004="Yes"),'Who Engaged'!$D$5:$D$1004&amp;" – "&amp;'Who Engaged'!$F$5:$F$1004&amp;IF('Who Engaged'!$M$5:$M$1004=1," (followed)",""),"")))</f>
        <v/>
      </c>
      <c r="X214" s="27"/>
      <c r="Y214" s="27"/>
      <c r="Z214" s="28"/>
      <c r="AA214" s="25" t="str">
        <f aca="false">IF(OR(A214="",B214="",C214=""),"","https://www.alphanodus.com/contact?utm_source="&amp;IF(B214="X","twitter",LOWER(B214))&amp;"&amp;utm_medium=social&amp;utm_campaign="&amp;IF(E214="","general",LOWER(SUBSTITUTE(SUBSTITUTE(E214," / ","-")," ","-")))&amp;"&amp;utm_content="&amp;LOWER(C214))</f>
        <v/>
      </c>
    </row>
    <row r="215" customFormat="false" ht="15" hidden="false" customHeight="false" outlineLevel="0" collapsed="false">
      <c r="A215" s="29"/>
      <c r="B215" s="28"/>
      <c r="C215" s="28"/>
      <c r="D215" s="27"/>
      <c r="E215" s="28"/>
      <c r="F215" s="28"/>
      <c r="G215" s="28"/>
      <c r="H215" s="22"/>
      <c r="I215" s="22"/>
      <c r="J215" s="22"/>
      <c r="K215" s="22"/>
      <c r="L215" s="22"/>
      <c r="M215" s="22"/>
      <c r="N215" s="22"/>
      <c r="O215" s="22"/>
      <c r="P215" s="23" t="str">
        <f aca="false">IF(OR(A215="",B215="",C215=""),"",IF(COUNT(J215:N215)=0,"",SUM(J215:N215)))</f>
        <v/>
      </c>
      <c r="Q215" s="23" t="str">
        <f aca="false">IF(OR(A215="",B215="",C215=""),"",SUMIFS('Who Engaged'!$I$5:$I$1004,'Who Engaged'!$C$5:$C$1004,C215,'Who Engaged'!$O$5:$O$1004,"Yes")+SUMIFS('Who Engaged'!$J$5:$J$1004,'Who Engaged'!$C$5:$C$1004,C215,'Who Engaged'!$O$5:$O$1004,"Yes")+SUMIFS('Who Engaged'!$K$5:$K$1004,'Who Engaged'!$C$5:$C$1004,C215,'Who Engaged'!$O$5:$O$1004,"Yes")+SUMIFS('Who Engaged'!$L$5:$L$1004,'Who Engaged'!$C$5:$C$1004,C215,'Who Engaged'!$O$5:$O$1004,"Yes"))</f>
        <v/>
      </c>
      <c r="R215" s="23" t="str">
        <f aca="false">IF(OR(OR(A215="",B215="",C215=""),P215=""),"",MAX(0,P215-N(Q215)))</f>
        <v/>
      </c>
      <c r="S215" s="24" t="str">
        <f aca="false">IF(OR(OR(A215="",B215="",C215=""),R215=""),"",IFERROR(R215/(IF(N(H215)&gt;0,H215,IF(N(I215)&gt;0,I215,IF(COUNTIFS($B$16:$B$215,B215,$H$16:$H$215,"&gt;0")+COUNTIFS($B$16:$B$215,B215,$I$16:$I$215,"&gt;0")&gt;0,"",INDEX($B$5:$B$7,MATCH(B215,$A$5:$A$7,0)))))),""))</f>
        <v/>
      </c>
      <c r="T215" s="25" t="str">
        <f aca="false">IF(OR(A215="",B215="",C215=""),"",IF(OR(S215="",COUNTIFS($B$16:$B$215,B215,$S$16:$S$215,"&gt;=0")&lt;2),"No Data Yet",IFERROR(IF(S215/AVERAGEIFS($S$16:$S$215,$B$16:$B$215,B215)&gt;=1.2,"Good",IF(S215/AVERAGEIFS($S$16:$S$215,$B$16:$B$215,B215)&gt;=0.8,"Average","Below Standard")),"Average")))</f>
        <v/>
      </c>
      <c r="U215" s="23" t="str">
        <f aca="false">IF(OR(A215="",B215="",C215=""),"",COUNTIFS('Who Engaged'!$C$5:$C$1004,C215,'Who Engaged'!$P$5:$P$1004,"Yes",'Who Engaged'!$N$5:$N$1004,1))</f>
        <v/>
      </c>
      <c r="V215" s="23" t="str">
        <f aca="false">IF(OR(A215="",B215="",C215=""),"",COUNTIFS('Who Engaged'!$C$5:$C$1004,C215,'Who Engaged'!$P$5:$P$1004,"Yes",'Who Engaged'!$M$5:$M$1004,1))</f>
        <v/>
      </c>
      <c r="W215" s="26" t="str">
        <f aca="false" t="array" ref="W215:W215">IF(OR(A215="",B215="",C215=""),"",_xlfn.TEXTJOIN("; ",TRUE(),IF(('Who Engaged'!$C$5:$C$1004=C215)*('Who Engaged'!$P$5:$P$1004="Yes"),'Who Engaged'!$D$5:$D$1004&amp;" – "&amp;'Who Engaged'!$F$5:$F$1004&amp;IF('Who Engaged'!$M$5:$M$1004=1," (followed)",""),"")))</f>
        <v/>
      </c>
      <c r="X215" s="27"/>
      <c r="Y215" s="27"/>
      <c r="Z215" s="28"/>
      <c r="AA215" s="25" t="str">
        <f aca="false">IF(OR(A215="",B215="",C215=""),"","https://www.alphanodus.com/contact?utm_source="&amp;IF(B215="X","twitter",LOWER(B215))&amp;"&amp;utm_medium=social&amp;utm_campaign="&amp;IF(E215="","general",LOWER(SUBSTITUTE(SUBSTITUTE(E215," / ","-")," ","-")))&amp;"&amp;utm_content="&amp;LOWER(C215))</f>
        <v/>
      </c>
    </row>
  </sheetData>
  <autoFilter ref="A15:AA215"/>
  <conditionalFormatting sqref="T16:T215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Z16:Z215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conditionalFormatting sqref="C16:C215">
    <cfRule type="expression" priority="10" aboveAverage="0" equalAverage="0" bottom="0" percent="0" rank="0" text="" dxfId="16">
      <formula>AND(C16&lt;&gt;"",COUNTIF($C$16:$C$215,C16)&gt;1)</formula>
    </cfRule>
  </conditionalFormatting>
  <dataValidations count="4">
    <dataValidation allowBlank="true" errorStyle="stop" operator="between" showDropDown="false" showErrorMessage="false" showInputMessage="false" sqref="B16:B215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E16:E215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F16:F215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Z16:Z215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Q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2" min="12" style="0" width="7"/>
    <col collapsed="false" customWidth="true" hidden="false" outlineLevel="0" max="14" min="13" style="0" width="8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30"/>
  </cols>
  <sheetData>
    <row r="1" customFormat="false" ht="19.7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31.5" hidden="false" customHeight="true" outlineLevel="0" collapsed="false">
      <c r="A4" s="3" t="s">
        <v>29</v>
      </c>
      <c r="B4" s="3" t="s">
        <v>2</v>
      </c>
      <c r="C4" s="3" t="s">
        <v>137</v>
      </c>
      <c r="D4" s="3" t="s">
        <v>138</v>
      </c>
      <c r="E4" s="3" t="s">
        <v>139</v>
      </c>
      <c r="F4" s="3" t="s">
        <v>140</v>
      </c>
      <c r="G4" s="3" t="s">
        <v>141</v>
      </c>
      <c r="H4" s="3" t="s">
        <v>142</v>
      </c>
      <c r="I4" s="3" t="s">
        <v>143</v>
      </c>
      <c r="J4" s="3" t="s">
        <v>144</v>
      </c>
      <c r="K4" s="3" t="s">
        <v>145</v>
      </c>
      <c r="L4" s="3" t="s">
        <v>146</v>
      </c>
      <c r="M4" s="3" t="s">
        <v>147</v>
      </c>
      <c r="N4" s="17" t="s">
        <v>148</v>
      </c>
      <c r="O4" s="17" t="s">
        <v>149</v>
      </c>
      <c r="P4" s="17" t="s">
        <v>150</v>
      </c>
      <c r="Q4" s="3" t="s">
        <v>151</v>
      </c>
    </row>
    <row r="5" customFormat="false" ht="15" hidden="false" customHeight="false" outlineLevel="0" collapsed="false">
      <c r="A5" s="30"/>
      <c r="B5" s="31" t="s">
        <v>15</v>
      </c>
      <c r="C5" s="32"/>
      <c r="D5" s="31" t="s">
        <v>152</v>
      </c>
      <c r="E5" s="31" t="s">
        <v>153</v>
      </c>
      <c r="F5" s="32"/>
      <c r="G5" s="32"/>
      <c r="H5" s="32"/>
      <c r="I5" s="32"/>
      <c r="J5" s="32"/>
      <c r="K5" s="32"/>
      <c r="L5" s="32"/>
      <c r="M5" s="31" t="n">
        <v>1</v>
      </c>
      <c r="N5" s="33" t="n">
        <f aca="false">IF(D5="","",IF(SUM(I5:L5)&gt;0,1,0))</f>
        <v>0</v>
      </c>
      <c r="O5" s="34" t="str">
        <f aca="false">IF(D5="","",IF(OR(COUNTIF('Target &amp; Team Lists'!$J$5:$J$204,D5)&gt;0,AND(H5&lt;&gt;"",COUNTIF('Target &amp; Team Lists'!$L$5:$L$204,H5)&gt;0),ISNUMBER(SEARCH("alpha nodus",(E5&amp;" "&amp;F5))),ISNUMBER(SEARCH("alphanodus",(E5&amp;" "&amp;F5)))),"Yes","No"))</f>
        <v>No</v>
      </c>
      <c r="P5" s="34" t="str">
        <f aca="false">IF(D5="","",IF(O5="Yes","No",IF(OR(AND(F5&lt;&gt;"",COUNTIF('Target &amp; Team Lists'!$A$5:$A$504,F5)&gt;0),COUNTIF('Target &amp; Team Lists'!$E$5:$E$504,D5)&gt;0),"Yes",IF(AND(SUMPRODUCT(('Target &amp; Team Lists'!$N$5:$N$60&lt;&gt;"")*ISNUMBER(SEARCH('Target &amp; Team Lists'!$N$5:$N$60,(E5&amp;" "&amp;F5))))&gt;0,SUMPRODUCT(('Target &amp; Team Lists'!$O$5:$O$60&lt;&gt;"")*ISNUMBER(SEARCH('Target &amp; Team Lists'!$O$5:$O$60,(E5&amp;" "&amp;F5))))=0),"Yes","No"))))</f>
        <v>No</v>
      </c>
      <c r="Q5" s="31" t="s">
        <v>154</v>
      </c>
    </row>
    <row r="6" customFormat="false" ht="15" hidden="false" customHeight="false" outlineLevel="0" collapsed="false">
      <c r="A6" s="30"/>
      <c r="B6" s="31" t="s">
        <v>15</v>
      </c>
      <c r="C6" s="32"/>
      <c r="D6" s="31" t="s">
        <v>155</v>
      </c>
      <c r="E6" s="31" t="s">
        <v>156</v>
      </c>
      <c r="F6" s="32"/>
      <c r="G6" s="32"/>
      <c r="H6" s="32"/>
      <c r="I6" s="32"/>
      <c r="J6" s="32"/>
      <c r="K6" s="32"/>
      <c r="L6" s="32"/>
      <c r="M6" s="31" t="n">
        <v>1</v>
      </c>
      <c r="N6" s="33" t="n">
        <f aca="false">IF(D6="","",IF(SUM(I6:L6)&gt;0,1,0))</f>
        <v>0</v>
      </c>
      <c r="O6" s="34" t="str">
        <f aca="false">IF(D6="","",IF(OR(COUNTIF('Target &amp; Team Lists'!$J$5:$J$204,D6)&gt;0,AND(H6&lt;&gt;"",COUNTIF('Target &amp; Team Lists'!$L$5:$L$204,H6)&gt;0),ISNUMBER(SEARCH("alpha nodus",(E6&amp;" "&amp;F6))),ISNUMBER(SEARCH("alphanodus",(E6&amp;" "&amp;F6)))),"Yes","No"))</f>
        <v>No</v>
      </c>
      <c r="P6" s="34" t="str">
        <f aca="false">IF(D6="","",IF(O6="Yes","No",IF(OR(AND(F6&lt;&gt;"",COUNTIF('Target &amp; Team Lists'!$A$5:$A$504,F6)&gt;0),COUNTIF('Target &amp; Team Lists'!$E$5:$E$504,D6)&gt;0),"Yes",IF(AND(SUMPRODUCT(('Target &amp; Team Lists'!$N$5:$N$60&lt;&gt;"")*ISNUMBER(SEARCH('Target &amp; Team Lists'!$N$5:$N$60,(E6&amp;" "&amp;F6))))&gt;0,SUMPRODUCT(('Target &amp; Team Lists'!$O$5:$O$60&lt;&gt;"")*ISNUMBER(SEARCH('Target &amp; Team Lists'!$O$5:$O$60,(E6&amp;" "&amp;F6))))=0),"Yes","No"))))</f>
        <v>No</v>
      </c>
      <c r="Q6" s="31" t="s">
        <v>154</v>
      </c>
    </row>
    <row r="7" customFormat="false" ht="15" hidden="false" customHeight="false" outlineLevel="0" collapsed="false">
      <c r="A7" s="30"/>
      <c r="B7" s="31" t="s">
        <v>15</v>
      </c>
      <c r="C7" s="32"/>
      <c r="D7" s="31" t="s">
        <v>157</v>
      </c>
      <c r="E7" s="31" t="s">
        <v>158</v>
      </c>
      <c r="F7" s="32"/>
      <c r="G7" s="32"/>
      <c r="H7" s="32"/>
      <c r="I7" s="32"/>
      <c r="J7" s="32"/>
      <c r="K7" s="32"/>
      <c r="L7" s="32"/>
      <c r="M7" s="31" t="n">
        <v>1</v>
      </c>
      <c r="N7" s="33" t="n">
        <f aca="false">IF(D7="","",IF(SUM(I7:L7)&gt;0,1,0))</f>
        <v>0</v>
      </c>
      <c r="O7" s="34" t="str">
        <f aca="false">IF(D7="","",IF(OR(COUNTIF('Target &amp; Team Lists'!$J$5:$J$204,D7)&gt;0,AND(H7&lt;&gt;"",COUNTIF('Target &amp; Team Lists'!$L$5:$L$204,H7)&gt;0),ISNUMBER(SEARCH("alpha nodus",(E7&amp;" "&amp;F7))),ISNUMBER(SEARCH("alphanodus",(E7&amp;" "&amp;F7)))),"Yes","No"))</f>
        <v>No</v>
      </c>
      <c r="P7" s="34" t="str">
        <f aca="false">IF(D7="","",IF(O7="Yes","No",IF(OR(AND(F7&lt;&gt;"",COUNTIF('Target &amp; Team Lists'!$A$5:$A$504,F7)&gt;0),COUNTIF('Target &amp; Team Lists'!$E$5:$E$504,D7)&gt;0),"Yes",IF(AND(SUMPRODUCT(('Target &amp; Team Lists'!$N$5:$N$60&lt;&gt;"")*ISNUMBER(SEARCH('Target &amp; Team Lists'!$N$5:$N$60,(E7&amp;" "&amp;F7))))&gt;0,SUMPRODUCT(('Target &amp; Team Lists'!$O$5:$O$60&lt;&gt;"")*ISNUMBER(SEARCH('Target &amp; Team Lists'!$O$5:$O$60,(E7&amp;" "&amp;F7))))=0),"Yes","No"))))</f>
        <v>No</v>
      </c>
      <c r="Q7" s="31" t="s">
        <v>154</v>
      </c>
    </row>
    <row r="8" customFormat="false" ht="15" hidden="false" customHeight="false" outlineLevel="0" collapsed="false">
      <c r="A8" s="30"/>
      <c r="B8" s="31" t="s">
        <v>15</v>
      </c>
      <c r="C8" s="32"/>
      <c r="D8" s="31" t="s">
        <v>159</v>
      </c>
      <c r="E8" s="31" t="s">
        <v>160</v>
      </c>
      <c r="F8" s="32"/>
      <c r="G8" s="32"/>
      <c r="H8" s="32"/>
      <c r="I8" s="32"/>
      <c r="J8" s="32"/>
      <c r="K8" s="32"/>
      <c r="L8" s="32"/>
      <c r="M8" s="31" t="n">
        <v>1</v>
      </c>
      <c r="N8" s="33" t="n">
        <f aca="false">IF(D8="","",IF(SUM(I8:L8)&gt;0,1,0))</f>
        <v>0</v>
      </c>
      <c r="O8" s="34" t="str">
        <f aca="false">IF(D8="","",IF(OR(COUNTIF('Target &amp; Team Lists'!$J$5:$J$204,D8)&gt;0,AND(H8&lt;&gt;"",COUNTIF('Target &amp; Team Lists'!$L$5:$L$204,H8)&gt;0),ISNUMBER(SEARCH("alpha nodus",(E8&amp;" "&amp;F8))),ISNUMBER(SEARCH("alphanodus",(E8&amp;" "&amp;F8)))),"Yes","No"))</f>
        <v>No</v>
      </c>
      <c r="P8" s="34" t="str">
        <f aca="false">IF(D8="","",IF(O8="Yes","No",IF(OR(AND(F8&lt;&gt;"",COUNTIF('Target &amp; Team Lists'!$A$5:$A$504,F8)&gt;0),COUNTIF('Target &amp; Team Lists'!$E$5:$E$504,D8)&gt;0),"Yes",IF(AND(SUMPRODUCT(('Target &amp; Team Lists'!$N$5:$N$60&lt;&gt;"")*ISNUMBER(SEARCH('Target &amp; Team Lists'!$N$5:$N$60,(E8&amp;" "&amp;F8))))&gt;0,SUMPRODUCT(('Target &amp; Team Lists'!$O$5:$O$60&lt;&gt;"")*ISNUMBER(SEARCH('Target &amp; Team Lists'!$O$5:$O$60,(E8&amp;" "&amp;F8))))=0),"Yes","No"))))</f>
        <v>No</v>
      </c>
      <c r="Q8" s="31" t="s">
        <v>154</v>
      </c>
    </row>
    <row r="9" customFormat="false" ht="15" hidden="false" customHeight="false" outlineLevel="0" collapsed="false">
      <c r="A9" s="30"/>
      <c r="B9" s="31" t="s">
        <v>15</v>
      </c>
      <c r="C9" s="32"/>
      <c r="D9" s="31" t="s">
        <v>161</v>
      </c>
      <c r="E9" s="31" t="s">
        <v>162</v>
      </c>
      <c r="F9" s="32"/>
      <c r="G9" s="32"/>
      <c r="H9" s="32"/>
      <c r="I9" s="32"/>
      <c r="J9" s="32"/>
      <c r="K9" s="32"/>
      <c r="L9" s="32"/>
      <c r="M9" s="31" t="n">
        <v>1</v>
      </c>
      <c r="N9" s="33" t="n">
        <f aca="false">IF(D9="","",IF(SUM(I9:L9)&gt;0,1,0))</f>
        <v>0</v>
      </c>
      <c r="O9" s="34" t="str">
        <f aca="false">IF(D9="","",IF(OR(COUNTIF('Target &amp; Team Lists'!$J$5:$J$204,D9)&gt;0,AND(H9&lt;&gt;"",COUNTIF('Target &amp; Team Lists'!$L$5:$L$204,H9)&gt;0),ISNUMBER(SEARCH("alpha nodus",(E9&amp;" "&amp;F9))),ISNUMBER(SEARCH("alphanodus",(E9&amp;" "&amp;F9)))),"Yes","No"))</f>
        <v>No</v>
      </c>
      <c r="P9" s="34" t="str">
        <f aca="false">IF(D9="","",IF(O9="Yes","No",IF(OR(AND(F9&lt;&gt;"",COUNTIF('Target &amp; Team Lists'!$A$5:$A$504,F9)&gt;0),COUNTIF('Target &amp; Team Lists'!$E$5:$E$504,D9)&gt;0),"Yes",IF(AND(SUMPRODUCT(('Target &amp; Team Lists'!$N$5:$N$60&lt;&gt;"")*ISNUMBER(SEARCH('Target &amp; Team Lists'!$N$5:$N$60,(E9&amp;" "&amp;F9))))&gt;0,SUMPRODUCT(('Target &amp; Team Lists'!$O$5:$O$60&lt;&gt;"")*ISNUMBER(SEARCH('Target &amp; Team Lists'!$O$5:$O$60,(E9&amp;" "&amp;F9))))=0),"Yes","No"))))</f>
        <v>No</v>
      </c>
      <c r="Q9" s="31" t="s">
        <v>154</v>
      </c>
    </row>
    <row r="10" customFormat="false" ht="15" hidden="false" customHeight="false" outlineLevel="0" collapsed="false">
      <c r="A10" s="30"/>
      <c r="B10" s="31" t="s">
        <v>15</v>
      </c>
      <c r="C10" s="32"/>
      <c r="D10" s="31" t="s">
        <v>163</v>
      </c>
      <c r="E10" s="31" t="s">
        <v>164</v>
      </c>
      <c r="F10" s="31" t="s">
        <v>165</v>
      </c>
      <c r="G10" s="32"/>
      <c r="H10" s="32"/>
      <c r="I10" s="32"/>
      <c r="J10" s="32"/>
      <c r="K10" s="32"/>
      <c r="L10" s="32"/>
      <c r="M10" s="31" t="n">
        <v>1</v>
      </c>
      <c r="N10" s="33" t="n">
        <f aca="false">IF(D10="","",IF(SUM(I10:L10)&gt;0,1,0))</f>
        <v>0</v>
      </c>
      <c r="O10" s="34" t="str">
        <f aca="false">IF(D10="","",IF(OR(COUNTIF('Target &amp; Team Lists'!$J$5:$J$204,D10)&gt;0,AND(H10&lt;&gt;"",COUNTIF('Target &amp; Team Lists'!$L$5:$L$204,H10)&gt;0),ISNUMBER(SEARCH("alpha nodus",(E10&amp;" "&amp;F10))),ISNUMBER(SEARCH("alphanodus",(E10&amp;" "&amp;F10)))),"Yes","No"))</f>
        <v>No</v>
      </c>
      <c r="P10" s="34" t="str">
        <f aca="false">IF(D10="","",IF(O10="Yes","No",IF(OR(AND(F10&lt;&gt;"",COUNTIF('Target &amp; Team Lists'!$A$5:$A$504,F10)&gt;0),COUNTIF('Target &amp; Team Lists'!$E$5:$E$504,D10)&gt;0),"Yes",IF(AND(SUMPRODUCT(('Target &amp; Team Lists'!$N$5:$N$60&lt;&gt;"")*ISNUMBER(SEARCH('Target &amp; Team Lists'!$N$5:$N$60,(E10&amp;" "&amp;F10))))&gt;0,SUMPRODUCT(('Target &amp; Team Lists'!$O$5:$O$60&lt;&gt;"")*ISNUMBER(SEARCH('Target &amp; Team Lists'!$O$5:$O$60,(E10&amp;" "&amp;F10))))=0),"Yes","No"))))</f>
        <v>No</v>
      </c>
      <c r="Q10" s="31" t="s">
        <v>154</v>
      </c>
    </row>
    <row r="11" customFormat="false" ht="15" hidden="false" customHeight="false" outlineLevel="0" collapsed="false">
      <c r="A11" s="30"/>
      <c r="B11" s="31" t="s">
        <v>15</v>
      </c>
      <c r="C11" s="32"/>
      <c r="D11" s="31" t="s">
        <v>166</v>
      </c>
      <c r="E11" s="31" t="s">
        <v>167</v>
      </c>
      <c r="F11" s="31" t="s">
        <v>168</v>
      </c>
      <c r="G11" s="32"/>
      <c r="H11" s="32"/>
      <c r="I11" s="32"/>
      <c r="J11" s="32"/>
      <c r="K11" s="32"/>
      <c r="L11" s="32"/>
      <c r="M11" s="31" t="n">
        <v>1</v>
      </c>
      <c r="N11" s="33" t="n">
        <f aca="false">IF(D11="","",IF(SUM(I11:L11)&gt;0,1,0))</f>
        <v>0</v>
      </c>
      <c r="O11" s="34" t="str">
        <f aca="false">IF(D11="","",IF(OR(COUNTIF('Target &amp; Team Lists'!$J$5:$J$204,D11)&gt;0,AND(H11&lt;&gt;"",COUNTIF('Target &amp; Team Lists'!$L$5:$L$204,H11)&gt;0),ISNUMBER(SEARCH("alpha nodus",(E11&amp;" "&amp;F11))),ISNUMBER(SEARCH("alphanodus",(E11&amp;" "&amp;F11)))),"Yes","No"))</f>
        <v>No</v>
      </c>
      <c r="P11" s="34" t="str">
        <f aca="false">IF(D11="","",IF(O11="Yes","No",IF(OR(AND(F11&lt;&gt;"",COUNTIF('Target &amp; Team Lists'!$A$5:$A$504,F11)&gt;0),COUNTIF('Target &amp; Team Lists'!$E$5:$E$504,D11)&gt;0),"Yes",IF(AND(SUMPRODUCT(('Target &amp; Team Lists'!$N$5:$N$60&lt;&gt;"")*ISNUMBER(SEARCH('Target &amp; Team Lists'!$N$5:$N$60,(E11&amp;" "&amp;F11))))&gt;0,SUMPRODUCT(('Target &amp; Team Lists'!$O$5:$O$60&lt;&gt;"")*ISNUMBER(SEARCH('Target &amp; Team Lists'!$O$5:$O$60,(E11&amp;" "&amp;F11))))=0),"Yes","No"))))</f>
        <v>No</v>
      </c>
      <c r="Q11" s="31" t="s">
        <v>154</v>
      </c>
    </row>
    <row r="12" customFormat="false" ht="15" hidden="false" customHeight="false" outlineLevel="0" collapsed="false">
      <c r="A12" s="30"/>
      <c r="B12" s="31" t="s">
        <v>15</v>
      </c>
      <c r="C12" s="32"/>
      <c r="D12" s="31" t="s">
        <v>169</v>
      </c>
      <c r="E12" s="31" t="s">
        <v>170</v>
      </c>
      <c r="F12" s="32"/>
      <c r="G12" s="32"/>
      <c r="H12" s="32"/>
      <c r="I12" s="32"/>
      <c r="J12" s="32"/>
      <c r="K12" s="32"/>
      <c r="L12" s="32"/>
      <c r="M12" s="31" t="n">
        <v>1</v>
      </c>
      <c r="N12" s="33" t="n">
        <f aca="false">IF(D12="","",IF(SUM(I12:L12)&gt;0,1,0))</f>
        <v>0</v>
      </c>
      <c r="O12" s="34" t="str">
        <f aca="false">IF(D12="","",IF(OR(COUNTIF('Target &amp; Team Lists'!$J$5:$J$204,D12)&gt;0,AND(H12&lt;&gt;"",COUNTIF('Target &amp; Team Lists'!$L$5:$L$204,H12)&gt;0),ISNUMBER(SEARCH("alpha nodus",(E12&amp;" "&amp;F12))),ISNUMBER(SEARCH("alphanodus",(E12&amp;" "&amp;F12)))),"Yes","No"))</f>
        <v>No</v>
      </c>
      <c r="P12" s="34" t="str">
        <f aca="false">IF(D12="","",IF(O12="Yes","No",IF(OR(AND(F12&lt;&gt;"",COUNTIF('Target &amp; Team Lists'!$A$5:$A$504,F12)&gt;0),COUNTIF('Target &amp; Team Lists'!$E$5:$E$504,D12)&gt;0),"Yes",IF(AND(SUMPRODUCT(('Target &amp; Team Lists'!$N$5:$N$60&lt;&gt;"")*ISNUMBER(SEARCH('Target &amp; Team Lists'!$N$5:$N$60,(E12&amp;" "&amp;F12))))&gt;0,SUMPRODUCT(('Target &amp; Team Lists'!$O$5:$O$60&lt;&gt;"")*ISNUMBER(SEARCH('Target &amp; Team Lists'!$O$5:$O$60,(E12&amp;" "&amp;F12))))=0),"Yes","No"))))</f>
        <v>No</v>
      </c>
      <c r="Q12" s="31" t="s">
        <v>154</v>
      </c>
    </row>
    <row r="13" customFormat="false" ht="15" hidden="false" customHeight="false" outlineLevel="0" collapsed="false">
      <c r="A13" s="30"/>
      <c r="B13" s="31" t="s">
        <v>15</v>
      </c>
      <c r="C13" s="32"/>
      <c r="D13" s="31" t="s">
        <v>171</v>
      </c>
      <c r="E13" s="31" t="s">
        <v>172</v>
      </c>
      <c r="F13" s="32"/>
      <c r="G13" s="32"/>
      <c r="H13" s="32"/>
      <c r="I13" s="32"/>
      <c r="J13" s="32"/>
      <c r="K13" s="32"/>
      <c r="L13" s="32"/>
      <c r="M13" s="31" t="n">
        <v>1</v>
      </c>
      <c r="N13" s="33" t="n">
        <f aca="false">IF(D13="","",IF(SUM(I13:L13)&gt;0,1,0))</f>
        <v>0</v>
      </c>
      <c r="O13" s="34" t="str">
        <f aca="false">IF(D13="","",IF(OR(COUNTIF('Target &amp; Team Lists'!$J$5:$J$204,D13)&gt;0,AND(H13&lt;&gt;"",COUNTIF('Target &amp; Team Lists'!$L$5:$L$204,H13)&gt;0),ISNUMBER(SEARCH("alpha nodus",(E13&amp;" "&amp;F13))),ISNUMBER(SEARCH("alphanodus",(E13&amp;" "&amp;F13)))),"Yes","No"))</f>
        <v>No</v>
      </c>
      <c r="P13" s="34" t="str">
        <f aca="false">IF(D13="","",IF(O13="Yes","No",IF(OR(AND(F13&lt;&gt;"",COUNTIF('Target &amp; Team Lists'!$A$5:$A$504,F13)&gt;0),COUNTIF('Target &amp; Team Lists'!$E$5:$E$504,D13)&gt;0),"Yes",IF(AND(SUMPRODUCT(('Target &amp; Team Lists'!$N$5:$N$60&lt;&gt;"")*ISNUMBER(SEARCH('Target &amp; Team Lists'!$N$5:$N$60,(E13&amp;" "&amp;F13))))&gt;0,SUMPRODUCT(('Target &amp; Team Lists'!$O$5:$O$60&lt;&gt;"")*ISNUMBER(SEARCH('Target &amp; Team Lists'!$O$5:$O$60,(E13&amp;" "&amp;F13))))=0),"Yes","No"))))</f>
        <v>No</v>
      </c>
      <c r="Q13" s="31" t="s">
        <v>154</v>
      </c>
    </row>
    <row r="14" customFormat="false" ht="15" hidden="false" customHeight="false" outlineLevel="0" collapsed="false">
      <c r="A14" s="30"/>
      <c r="B14" s="31" t="s">
        <v>15</v>
      </c>
      <c r="C14" s="32"/>
      <c r="D14" s="31" t="s">
        <v>173</v>
      </c>
      <c r="E14" s="31" t="s">
        <v>174</v>
      </c>
      <c r="F14" s="32"/>
      <c r="G14" s="32"/>
      <c r="H14" s="32"/>
      <c r="I14" s="32"/>
      <c r="J14" s="32"/>
      <c r="K14" s="32"/>
      <c r="L14" s="32"/>
      <c r="M14" s="31" t="n">
        <v>1</v>
      </c>
      <c r="N14" s="33" t="n">
        <f aca="false">IF(D14="","",IF(SUM(I14:L14)&gt;0,1,0))</f>
        <v>0</v>
      </c>
      <c r="O14" s="34" t="str">
        <f aca="false">IF(D14="","",IF(OR(COUNTIF('Target &amp; Team Lists'!$J$5:$J$204,D14)&gt;0,AND(H14&lt;&gt;"",COUNTIF('Target &amp; Team Lists'!$L$5:$L$204,H14)&gt;0),ISNUMBER(SEARCH("alpha nodus",(E14&amp;" "&amp;F14))),ISNUMBER(SEARCH("alphanodus",(E14&amp;" "&amp;F14)))),"Yes","No"))</f>
        <v>No</v>
      </c>
      <c r="P14" s="34" t="str">
        <f aca="false">IF(D14="","",IF(O14="Yes","No",IF(OR(AND(F14&lt;&gt;"",COUNTIF('Target &amp; Team Lists'!$A$5:$A$504,F14)&gt;0),COUNTIF('Target &amp; Team Lists'!$E$5:$E$504,D14)&gt;0),"Yes",IF(AND(SUMPRODUCT(('Target &amp; Team Lists'!$N$5:$N$60&lt;&gt;"")*ISNUMBER(SEARCH('Target &amp; Team Lists'!$N$5:$N$60,(E14&amp;" "&amp;F14))))&gt;0,SUMPRODUCT(('Target &amp; Team Lists'!$O$5:$O$60&lt;&gt;"")*ISNUMBER(SEARCH('Target &amp; Team Lists'!$O$5:$O$60,(E14&amp;" "&amp;F14))))=0),"Yes","No"))))</f>
        <v>No</v>
      </c>
      <c r="Q14" s="31" t="s">
        <v>154</v>
      </c>
    </row>
    <row r="15" customFormat="false" ht="15" hidden="false" customHeight="false" outlineLevel="0" collapsed="false">
      <c r="A15" s="30"/>
      <c r="B15" s="31" t="s">
        <v>15</v>
      </c>
      <c r="C15" s="32"/>
      <c r="D15" s="31" t="s">
        <v>175</v>
      </c>
      <c r="E15" s="31" t="s">
        <v>176</v>
      </c>
      <c r="F15" s="32"/>
      <c r="G15" s="32"/>
      <c r="H15" s="32"/>
      <c r="I15" s="32"/>
      <c r="J15" s="32"/>
      <c r="K15" s="32"/>
      <c r="L15" s="32"/>
      <c r="M15" s="31" t="n">
        <v>1</v>
      </c>
      <c r="N15" s="33" t="n">
        <f aca="false">IF(D15="","",IF(SUM(I15:L15)&gt;0,1,0))</f>
        <v>0</v>
      </c>
      <c r="O15" s="34" t="str">
        <f aca="false">IF(D15="","",IF(OR(COUNTIF('Target &amp; Team Lists'!$J$5:$J$204,D15)&gt;0,AND(H15&lt;&gt;"",COUNTIF('Target &amp; Team Lists'!$L$5:$L$204,H15)&gt;0),ISNUMBER(SEARCH("alpha nodus",(E15&amp;" "&amp;F15))),ISNUMBER(SEARCH("alphanodus",(E15&amp;" "&amp;F15)))),"Yes","No"))</f>
        <v>No</v>
      </c>
      <c r="P15" s="34" t="str">
        <f aca="false">IF(D15="","",IF(O15="Yes","No",IF(OR(AND(F15&lt;&gt;"",COUNTIF('Target &amp; Team Lists'!$A$5:$A$504,F15)&gt;0),COUNTIF('Target &amp; Team Lists'!$E$5:$E$504,D15)&gt;0),"Yes",IF(AND(SUMPRODUCT(('Target &amp; Team Lists'!$N$5:$N$60&lt;&gt;"")*ISNUMBER(SEARCH('Target &amp; Team Lists'!$N$5:$N$60,(E15&amp;" "&amp;F15))))&gt;0,SUMPRODUCT(('Target &amp; Team Lists'!$O$5:$O$60&lt;&gt;"")*ISNUMBER(SEARCH('Target &amp; Team Lists'!$O$5:$O$60,(E15&amp;" "&amp;F15))))=0),"Yes","No"))))</f>
        <v>No</v>
      </c>
      <c r="Q15" s="31" t="s">
        <v>154</v>
      </c>
    </row>
    <row r="16" customFormat="false" ht="15" hidden="false" customHeight="false" outlineLevel="0" collapsed="false">
      <c r="A16" s="30"/>
      <c r="B16" s="31" t="s">
        <v>15</v>
      </c>
      <c r="C16" s="32"/>
      <c r="D16" s="31" t="s">
        <v>177</v>
      </c>
      <c r="E16" s="31" t="s">
        <v>178</v>
      </c>
      <c r="F16" s="32"/>
      <c r="G16" s="32"/>
      <c r="H16" s="32"/>
      <c r="I16" s="32"/>
      <c r="J16" s="32"/>
      <c r="K16" s="32"/>
      <c r="L16" s="32"/>
      <c r="M16" s="31" t="n">
        <v>1</v>
      </c>
      <c r="N16" s="33" t="n">
        <f aca="false">IF(D16="","",IF(SUM(I16:L16)&gt;0,1,0))</f>
        <v>0</v>
      </c>
      <c r="O16" s="34" t="str">
        <f aca="false">IF(D16="","",IF(OR(COUNTIF('Target &amp; Team Lists'!$J$5:$J$204,D16)&gt;0,AND(H16&lt;&gt;"",COUNTIF('Target &amp; Team Lists'!$L$5:$L$204,H16)&gt;0),ISNUMBER(SEARCH("alpha nodus",(E16&amp;" "&amp;F16))),ISNUMBER(SEARCH("alphanodus",(E16&amp;" "&amp;F16)))),"Yes","No"))</f>
        <v>No</v>
      </c>
      <c r="P16" s="34" t="str">
        <f aca="false">IF(D16="","",IF(O16="Yes","No",IF(OR(AND(F16&lt;&gt;"",COUNTIF('Target &amp; Team Lists'!$A$5:$A$504,F16)&gt;0),COUNTIF('Target &amp; Team Lists'!$E$5:$E$504,D16)&gt;0),"Yes",IF(AND(SUMPRODUCT(('Target &amp; Team Lists'!$N$5:$N$60&lt;&gt;"")*ISNUMBER(SEARCH('Target &amp; Team Lists'!$N$5:$N$60,(E16&amp;" "&amp;F16))))&gt;0,SUMPRODUCT(('Target &amp; Team Lists'!$O$5:$O$60&lt;&gt;"")*ISNUMBER(SEARCH('Target &amp; Team Lists'!$O$5:$O$60,(E16&amp;" "&amp;F16))))=0),"Yes","No"))))</f>
        <v>No</v>
      </c>
      <c r="Q16" s="31" t="s">
        <v>154</v>
      </c>
    </row>
    <row r="17" customFormat="false" ht="15" hidden="false" customHeight="false" outlineLevel="0" collapsed="false">
      <c r="A17" s="30"/>
      <c r="B17" s="31" t="s">
        <v>15</v>
      </c>
      <c r="C17" s="32"/>
      <c r="D17" s="31" t="s">
        <v>179</v>
      </c>
      <c r="E17" s="31" t="s">
        <v>180</v>
      </c>
      <c r="F17" s="31" t="s">
        <v>181</v>
      </c>
      <c r="G17" s="32"/>
      <c r="H17" s="32"/>
      <c r="I17" s="32"/>
      <c r="J17" s="32"/>
      <c r="K17" s="32"/>
      <c r="L17" s="32"/>
      <c r="M17" s="31" t="n">
        <v>1</v>
      </c>
      <c r="N17" s="33" t="n">
        <f aca="false">IF(D17="","",IF(SUM(I17:L17)&gt;0,1,0))</f>
        <v>0</v>
      </c>
      <c r="O17" s="34" t="str">
        <f aca="false">IF(D17="","",IF(OR(COUNTIF('Target &amp; Team Lists'!$J$5:$J$204,D17)&gt;0,AND(H17&lt;&gt;"",COUNTIF('Target &amp; Team Lists'!$L$5:$L$204,H17)&gt;0),ISNUMBER(SEARCH("alpha nodus",(E17&amp;" "&amp;F17))),ISNUMBER(SEARCH("alphanodus",(E17&amp;" "&amp;F17)))),"Yes","No"))</f>
        <v>No</v>
      </c>
      <c r="P17" s="34" t="str">
        <f aca="false">IF(D17="","",IF(O17="Yes","No",IF(OR(AND(F17&lt;&gt;"",COUNTIF('Target &amp; Team Lists'!$A$5:$A$504,F17)&gt;0),COUNTIF('Target &amp; Team Lists'!$E$5:$E$504,D17)&gt;0),"Yes",IF(AND(SUMPRODUCT(('Target &amp; Team Lists'!$N$5:$N$60&lt;&gt;"")*ISNUMBER(SEARCH('Target &amp; Team Lists'!$N$5:$N$60,(E17&amp;" "&amp;F17))))&gt;0,SUMPRODUCT(('Target &amp; Team Lists'!$O$5:$O$60&lt;&gt;"")*ISNUMBER(SEARCH('Target &amp; Team Lists'!$O$5:$O$60,(E17&amp;" "&amp;F17))))=0),"Yes","No"))))</f>
        <v>No</v>
      </c>
      <c r="Q17" s="31" t="s">
        <v>154</v>
      </c>
    </row>
    <row r="18" customFormat="false" ht="15" hidden="false" customHeight="false" outlineLevel="0" collapsed="false">
      <c r="A18" s="30"/>
      <c r="B18" s="31" t="s">
        <v>15</v>
      </c>
      <c r="C18" s="32"/>
      <c r="D18" s="31" t="s">
        <v>182</v>
      </c>
      <c r="E18" s="31" t="s">
        <v>183</v>
      </c>
      <c r="F18" s="31" t="s">
        <v>184</v>
      </c>
      <c r="G18" s="32"/>
      <c r="H18" s="32"/>
      <c r="I18" s="32"/>
      <c r="J18" s="32"/>
      <c r="K18" s="32"/>
      <c r="L18" s="32"/>
      <c r="M18" s="31" t="n">
        <v>1</v>
      </c>
      <c r="N18" s="33" t="n">
        <f aca="false">IF(D18="","",IF(SUM(I18:L18)&gt;0,1,0))</f>
        <v>0</v>
      </c>
      <c r="O18" s="34" t="str">
        <f aca="false">IF(D18="","",IF(OR(COUNTIF('Target &amp; Team Lists'!$J$5:$J$204,D18)&gt;0,AND(H18&lt;&gt;"",COUNTIF('Target &amp; Team Lists'!$L$5:$L$204,H18)&gt;0),ISNUMBER(SEARCH("alpha nodus",(E18&amp;" "&amp;F18))),ISNUMBER(SEARCH("alphanodus",(E18&amp;" "&amp;F18)))),"Yes","No"))</f>
        <v>No</v>
      </c>
      <c r="P18" s="34" t="str">
        <f aca="false">IF(D18="","",IF(O18="Yes","No",IF(OR(AND(F18&lt;&gt;"",COUNTIF('Target &amp; Team Lists'!$A$5:$A$504,F18)&gt;0),COUNTIF('Target &amp; Team Lists'!$E$5:$E$504,D18)&gt;0),"Yes",IF(AND(SUMPRODUCT(('Target &amp; Team Lists'!$N$5:$N$60&lt;&gt;"")*ISNUMBER(SEARCH('Target &amp; Team Lists'!$N$5:$N$60,(E18&amp;" "&amp;F18))))&gt;0,SUMPRODUCT(('Target &amp; Team Lists'!$O$5:$O$60&lt;&gt;"")*ISNUMBER(SEARCH('Target &amp; Team Lists'!$O$5:$O$60,(E18&amp;" "&amp;F18))))=0),"Yes","No"))))</f>
        <v>No</v>
      </c>
      <c r="Q18" s="31" t="s">
        <v>154</v>
      </c>
    </row>
    <row r="19" customFormat="false" ht="15" hidden="false" customHeight="false" outlineLevel="0" collapsed="false">
      <c r="A19" s="30"/>
      <c r="B19" s="31" t="s">
        <v>15</v>
      </c>
      <c r="C19" s="32"/>
      <c r="D19" s="31" t="s">
        <v>185</v>
      </c>
      <c r="E19" s="31" t="s">
        <v>186</v>
      </c>
      <c r="F19" s="32"/>
      <c r="G19" s="32"/>
      <c r="H19" s="32"/>
      <c r="I19" s="32"/>
      <c r="J19" s="32"/>
      <c r="K19" s="32"/>
      <c r="L19" s="32"/>
      <c r="M19" s="31" t="n">
        <v>1</v>
      </c>
      <c r="N19" s="33" t="n">
        <f aca="false">IF(D19="","",IF(SUM(I19:L19)&gt;0,1,0))</f>
        <v>0</v>
      </c>
      <c r="O19" s="34" t="str">
        <f aca="false">IF(D19="","",IF(OR(COUNTIF('Target &amp; Team Lists'!$J$5:$J$204,D19)&gt;0,AND(H19&lt;&gt;"",COUNTIF('Target &amp; Team Lists'!$L$5:$L$204,H19)&gt;0),ISNUMBER(SEARCH("alpha nodus",(E19&amp;" "&amp;F19))),ISNUMBER(SEARCH("alphanodus",(E19&amp;" "&amp;F19)))),"Yes","No"))</f>
        <v>No</v>
      </c>
      <c r="P19" s="34" t="str">
        <f aca="false">IF(D19="","",IF(O19="Yes","No",IF(OR(AND(F19&lt;&gt;"",COUNTIF('Target &amp; Team Lists'!$A$5:$A$504,F19)&gt;0),COUNTIF('Target &amp; Team Lists'!$E$5:$E$504,D19)&gt;0),"Yes",IF(AND(SUMPRODUCT(('Target &amp; Team Lists'!$N$5:$N$60&lt;&gt;"")*ISNUMBER(SEARCH('Target &amp; Team Lists'!$N$5:$N$60,(E19&amp;" "&amp;F19))))&gt;0,SUMPRODUCT(('Target &amp; Team Lists'!$O$5:$O$60&lt;&gt;"")*ISNUMBER(SEARCH('Target &amp; Team Lists'!$O$5:$O$60,(E19&amp;" "&amp;F19))))=0),"Yes","No"))))</f>
        <v>No</v>
      </c>
      <c r="Q19" s="31" t="s">
        <v>154</v>
      </c>
    </row>
    <row r="20" customFormat="false" ht="15" hidden="false" customHeight="false" outlineLevel="0" collapsed="false">
      <c r="A20" s="30"/>
      <c r="B20" s="31" t="s">
        <v>15</v>
      </c>
      <c r="C20" s="32"/>
      <c r="D20" s="31" t="s">
        <v>187</v>
      </c>
      <c r="E20" s="31" t="s">
        <v>188</v>
      </c>
      <c r="F20" s="32"/>
      <c r="G20" s="32"/>
      <c r="H20" s="32"/>
      <c r="I20" s="32"/>
      <c r="J20" s="32"/>
      <c r="K20" s="32"/>
      <c r="L20" s="32"/>
      <c r="M20" s="31" t="n">
        <v>1</v>
      </c>
      <c r="N20" s="33" t="n">
        <f aca="false">IF(D20="","",IF(SUM(I20:L20)&gt;0,1,0))</f>
        <v>0</v>
      </c>
      <c r="O20" s="34" t="str">
        <f aca="false">IF(D20="","",IF(OR(COUNTIF('Target &amp; Team Lists'!$J$5:$J$204,D20)&gt;0,AND(H20&lt;&gt;"",COUNTIF('Target &amp; Team Lists'!$L$5:$L$204,H20)&gt;0),ISNUMBER(SEARCH("alpha nodus",(E20&amp;" "&amp;F20))),ISNUMBER(SEARCH("alphanodus",(E20&amp;" "&amp;F20)))),"Yes","No"))</f>
        <v>No</v>
      </c>
      <c r="P20" s="34" t="str">
        <f aca="false">IF(D20="","",IF(O20="Yes","No",IF(OR(AND(F20&lt;&gt;"",COUNTIF('Target &amp; Team Lists'!$A$5:$A$504,F20)&gt;0),COUNTIF('Target &amp; Team Lists'!$E$5:$E$504,D20)&gt;0),"Yes",IF(AND(SUMPRODUCT(('Target &amp; Team Lists'!$N$5:$N$60&lt;&gt;"")*ISNUMBER(SEARCH('Target &amp; Team Lists'!$N$5:$N$60,(E20&amp;" "&amp;F20))))&gt;0,SUMPRODUCT(('Target &amp; Team Lists'!$O$5:$O$60&lt;&gt;"")*ISNUMBER(SEARCH('Target &amp; Team Lists'!$O$5:$O$60,(E20&amp;" "&amp;F20))))=0),"Yes","No"))))</f>
        <v>No</v>
      </c>
      <c r="Q20" s="31" t="s">
        <v>154</v>
      </c>
    </row>
    <row r="21" customFormat="false" ht="15" hidden="false" customHeight="false" outlineLevel="0" collapsed="false">
      <c r="A21" s="30"/>
      <c r="B21" s="31" t="s">
        <v>15</v>
      </c>
      <c r="C21" s="32"/>
      <c r="D21" s="31" t="s">
        <v>189</v>
      </c>
      <c r="E21" s="31" t="s">
        <v>190</v>
      </c>
      <c r="F21" s="32"/>
      <c r="G21" s="32"/>
      <c r="H21" s="32"/>
      <c r="I21" s="32"/>
      <c r="J21" s="32"/>
      <c r="K21" s="32"/>
      <c r="L21" s="32"/>
      <c r="M21" s="31" t="n">
        <v>1</v>
      </c>
      <c r="N21" s="33" t="n">
        <f aca="false">IF(D21="","",IF(SUM(I21:L21)&gt;0,1,0))</f>
        <v>0</v>
      </c>
      <c r="O21" s="34" t="str">
        <f aca="false">IF(D21="","",IF(OR(COUNTIF('Target &amp; Team Lists'!$J$5:$J$204,D21)&gt;0,AND(H21&lt;&gt;"",COUNTIF('Target &amp; Team Lists'!$L$5:$L$204,H21)&gt;0),ISNUMBER(SEARCH("alpha nodus",(E21&amp;" "&amp;F21))),ISNUMBER(SEARCH("alphanodus",(E21&amp;" "&amp;F21)))),"Yes","No"))</f>
        <v>No</v>
      </c>
      <c r="P21" s="34" t="str">
        <f aca="false">IF(D21="","",IF(O21="Yes","No",IF(OR(AND(F21&lt;&gt;"",COUNTIF('Target &amp; Team Lists'!$A$5:$A$504,F21)&gt;0),COUNTIF('Target &amp; Team Lists'!$E$5:$E$504,D21)&gt;0),"Yes",IF(AND(SUMPRODUCT(('Target &amp; Team Lists'!$N$5:$N$60&lt;&gt;"")*ISNUMBER(SEARCH('Target &amp; Team Lists'!$N$5:$N$60,(E21&amp;" "&amp;F21))))&gt;0,SUMPRODUCT(('Target &amp; Team Lists'!$O$5:$O$60&lt;&gt;"")*ISNUMBER(SEARCH('Target &amp; Team Lists'!$O$5:$O$60,(E21&amp;" "&amp;F21))))=0),"Yes","No"))))</f>
        <v>No</v>
      </c>
      <c r="Q21" s="31" t="s">
        <v>154</v>
      </c>
    </row>
    <row r="22" customFormat="false" ht="15" hidden="false" customHeight="false" outlineLevel="0" collapsed="false">
      <c r="A22" s="30"/>
      <c r="B22" s="31" t="s">
        <v>15</v>
      </c>
      <c r="C22" s="32"/>
      <c r="D22" s="31" t="s">
        <v>191</v>
      </c>
      <c r="E22" s="31" t="s">
        <v>192</v>
      </c>
      <c r="F22" s="31" t="s">
        <v>193</v>
      </c>
      <c r="G22" s="32"/>
      <c r="H22" s="32"/>
      <c r="I22" s="32"/>
      <c r="J22" s="32"/>
      <c r="K22" s="32"/>
      <c r="L22" s="32"/>
      <c r="M22" s="31" t="n">
        <v>1</v>
      </c>
      <c r="N22" s="33" t="n">
        <f aca="false">IF(D22="","",IF(SUM(I22:L22)&gt;0,1,0))</f>
        <v>0</v>
      </c>
      <c r="O22" s="34" t="str">
        <f aca="false">IF(D22="","",IF(OR(COUNTIF('Target &amp; Team Lists'!$J$5:$J$204,D22)&gt;0,AND(H22&lt;&gt;"",COUNTIF('Target &amp; Team Lists'!$L$5:$L$204,H22)&gt;0),ISNUMBER(SEARCH("alpha nodus",(E22&amp;" "&amp;F22))),ISNUMBER(SEARCH("alphanodus",(E22&amp;" "&amp;F22)))),"Yes","No"))</f>
        <v>No</v>
      </c>
      <c r="P22" s="34" t="str">
        <f aca="false">IF(D22="","",IF(O22="Yes","No",IF(OR(AND(F22&lt;&gt;"",COUNTIF('Target &amp; Team Lists'!$A$5:$A$504,F22)&gt;0),COUNTIF('Target &amp; Team Lists'!$E$5:$E$504,D22)&gt;0),"Yes",IF(AND(SUMPRODUCT(('Target &amp; Team Lists'!$N$5:$N$60&lt;&gt;"")*ISNUMBER(SEARCH('Target &amp; Team Lists'!$N$5:$N$60,(E22&amp;" "&amp;F22))))&gt;0,SUMPRODUCT(('Target &amp; Team Lists'!$O$5:$O$60&lt;&gt;"")*ISNUMBER(SEARCH('Target &amp; Team Lists'!$O$5:$O$60,(E22&amp;" "&amp;F22))))=0),"Yes","No"))))</f>
        <v>No</v>
      </c>
      <c r="Q22" s="31" t="s">
        <v>154</v>
      </c>
    </row>
    <row r="23" customFormat="false" ht="15" hidden="false" customHeight="false" outlineLevel="0" collapsed="false">
      <c r="A23" s="30"/>
      <c r="B23" s="31" t="s">
        <v>15</v>
      </c>
      <c r="C23" s="32"/>
      <c r="D23" s="31" t="s">
        <v>194</v>
      </c>
      <c r="E23" s="31" t="s">
        <v>195</v>
      </c>
      <c r="F23" s="32"/>
      <c r="G23" s="32"/>
      <c r="H23" s="32"/>
      <c r="I23" s="32"/>
      <c r="J23" s="32"/>
      <c r="K23" s="32"/>
      <c r="L23" s="32"/>
      <c r="M23" s="31" t="n">
        <v>1</v>
      </c>
      <c r="N23" s="33" t="n">
        <f aca="false">IF(D23="","",IF(SUM(I23:L23)&gt;0,1,0))</f>
        <v>0</v>
      </c>
      <c r="O23" s="34" t="str">
        <f aca="false">IF(D23="","",IF(OR(COUNTIF('Target &amp; Team Lists'!$J$5:$J$204,D23)&gt;0,AND(H23&lt;&gt;"",COUNTIF('Target &amp; Team Lists'!$L$5:$L$204,H23)&gt;0),ISNUMBER(SEARCH("alpha nodus",(E23&amp;" "&amp;F23))),ISNUMBER(SEARCH("alphanodus",(E23&amp;" "&amp;F23)))),"Yes","No"))</f>
        <v>No</v>
      </c>
      <c r="P23" s="34" t="str">
        <f aca="false">IF(D23="","",IF(O23="Yes","No",IF(OR(AND(F23&lt;&gt;"",COUNTIF('Target &amp; Team Lists'!$A$5:$A$504,F23)&gt;0),COUNTIF('Target &amp; Team Lists'!$E$5:$E$504,D23)&gt;0),"Yes",IF(AND(SUMPRODUCT(('Target &amp; Team Lists'!$N$5:$N$60&lt;&gt;"")*ISNUMBER(SEARCH('Target &amp; Team Lists'!$N$5:$N$60,(E23&amp;" "&amp;F23))))&gt;0,SUMPRODUCT(('Target &amp; Team Lists'!$O$5:$O$60&lt;&gt;"")*ISNUMBER(SEARCH('Target &amp; Team Lists'!$O$5:$O$60,(E23&amp;" "&amp;F23))))=0),"Yes","No"))))</f>
        <v>No</v>
      </c>
      <c r="Q23" s="31" t="s">
        <v>154</v>
      </c>
    </row>
    <row r="24" customFormat="false" ht="15" hidden="false" customHeight="false" outlineLevel="0" collapsed="false">
      <c r="A24" s="30"/>
      <c r="B24" s="31" t="s">
        <v>15</v>
      </c>
      <c r="C24" s="32"/>
      <c r="D24" s="31" t="s">
        <v>196</v>
      </c>
      <c r="E24" s="31" t="s">
        <v>197</v>
      </c>
      <c r="F24" s="32"/>
      <c r="G24" s="32"/>
      <c r="H24" s="32"/>
      <c r="I24" s="32"/>
      <c r="J24" s="32"/>
      <c r="K24" s="32"/>
      <c r="L24" s="32"/>
      <c r="M24" s="31" t="n">
        <v>1</v>
      </c>
      <c r="N24" s="33" t="n">
        <f aca="false">IF(D24="","",IF(SUM(I24:L24)&gt;0,1,0))</f>
        <v>0</v>
      </c>
      <c r="O24" s="34" t="str">
        <f aca="false">IF(D24="","",IF(OR(COUNTIF('Target &amp; Team Lists'!$J$5:$J$204,D24)&gt;0,AND(H24&lt;&gt;"",COUNTIF('Target &amp; Team Lists'!$L$5:$L$204,H24)&gt;0),ISNUMBER(SEARCH("alpha nodus",(E24&amp;" "&amp;F24))),ISNUMBER(SEARCH("alphanodus",(E24&amp;" "&amp;F24)))),"Yes","No"))</f>
        <v>No</v>
      </c>
      <c r="P24" s="34" t="str">
        <f aca="false">IF(D24="","",IF(O24="Yes","No",IF(OR(AND(F24&lt;&gt;"",COUNTIF('Target &amp; Team Lists'!$A$5:$A$504,F24)&gt;0),COUNTIF('Target &amp; Team Lists'!$E$5:$E$504,D24)&gt;0),"Yes",IF(AND(SUMPRODUCT(('Target &amp; Team Lists'!$N$5:$N$60&lt;&gt;"")*ISNUMBER(SEARCH('Target &amp; Team Lists'!$N$5:$N$60,(E24&amp;" "&amp;F24))))&gt;0,SUMPRODUCT(('Target &amp; Team Lists'!$O$5:$O$60&lt;&gt;"")*ISNUMBER(SEARCH('Target &amp; Team Lists'!$O$5:$O$60,(E24&amp;" "&amp;F24))))=0),"Yes","No"))))</f>
        <v>No</v>
      </c>
      <c r="Q24" s="31" t="s">
        <v>154</v>
      </c>
    </row>
    <row r="25" customFormat="false" ht="15" hidden="false" customHeight="false" outlineLevel="0" collapsed="false">
      <c r="A25" s="30"/>
      <c r="B25" s="31" t="s">
        <v>15</v>
      </c>
      <c r="C25" s="32"/>
      <c r="D25" s="31" t="s">
        <v>198</v>
      </c>
      <c r="E25" s="31" t="s">
        <v>199</v>
      </c>
      <c r="F25" s="32"/>
      <c r="G25" s="32"/>
      <c r="H25" s="32"/>
      <c r="I25" s="32"/>
      <c r="J25" s="32"/>
      <c r="K25" s="32"/>
      <c r="L25" s="32"/>
      <c r="M25" s="31" t="n">
        <v>1</v>
      </c>
      <c r="N25" s="33" t="n">
        <f aca="false">IF(D25="","",IF(SUM(I25:L25)&gt;0,1,0))</f>
        <v>0</v>
      </c>
      <c r="O25" s="34" t="str">
        <f aca="false">IF(D25="","",IF(OR(COUNTIF('Target &amp; Team Lists'!$J$5:$J$204,D25)&gt;0,AND(H25&lt;&gt;"",COUNTIF('Target &amp; Team Lists'!$L$5:$L$204,H25)&gt;0),ISNUMBER(SEARCH("alpha nodus",(E25&amp;" "&amp;F25))),ISNUMBER(SEARCH("alphanodus",(E25&amp;" "&amp;F25)))),"Yes","No"))</f>
        <v>No</v>
      </c>
      <c r="P25" s="34" t="str">
        <f aca="false">IF(D25="","",IF(O25="Yes","No",IF(OR(AND(F25&lt;&gt;"",COUNTIF('Target &amp; Team Lists'!$A$5:$A$504,F25)&gt;0),COUNTIF('Target &amp; Team Lists'!$E$5:$E$504,D25)&gt;0),"Yes",IF(AND(SUMPRODUCT(('Target &amp; Team Lists'!$N$5:$N$60&lt;&gt;"")*ISNUMBER(SEARCH('Target &amp; Team Lists'!$N$5:$N$60,(E25&amp;" "&amp;F25))))&gt;0,SUMPRODUCT(('Target &amp; Team Lists'!$O$5:$O$60&lt;&gt;"")*ISNUMBER(SEARCH('Target &amp; Team Lists'!$O$5:$O$60,(E25&amp;" "&amp;F25))))=0),"Yes","No"))))</f>
        <v>No</v>
      </c>
      <c r="Q25" s="31" t="s">
        <v>154</v>
      </c>
    </row>
    <row r="26" customFormat="false" ht="15" hidden="false" customHeight="false" outlineLevel="0" collapsed="false">
      <c r="A26" s="30"/>
      <c r="B26" s="31" t="s">
        <v>15</v>
      </c>
      <c r="C26" s="32"/>
      <c r="D26" s="31" t="s">
        <v>200</v>
      </c>
      <c r="E26" s="31" t="s">
        <v>201</v>
      </c>
      <c r="F26" s="31" t="s">
        <v>202</v>
      </c>
      <c r="G26" s="32"/>
      <c r="H26" s="32"/>
      <c r="I26" s="32"/>
      <c r="J26" s="32"/>
      <c r="K26" s="32"/>
      <c r="L26" s="32"/>
      <c r="M26" s="31" t="n">
        <v>1</v>
      </c>
      <c r="N26" s="33" t="n">
        <f aca="false">IF(D26="","",IF(SUM(I26:L26)&gt;0,1,0))</f>
        <v>0</v>
      </c>
      <c r="O26" s="34" t="str">
        <f aca="false">IF(D26="","",IF(OR(COUNTIF('Target &amp; Team Lists'!$J$5:$J$204,D26)&gt;0,AND(H26&lt;&gt;"",COUNTIF('Target &amp; Team Lists'!$L$5:$L$204,H26)&gt;0),ISNUMBER(SEARCH("alpha nodus",(E26&amp;" "&amp;F26))),ISNUMBER(SEARCH("alphanodus",(E26&amp;" "&amp;F26)))),"Yes","No"))</f>
        <v>No</v>
      </c>
      <c r="P26" s="34" t="str">
        <f aca="false">IF(D26="","",IF(O26="Yes","No",IF(OR(AND(F26&lt;&gt;"",COUNTIF('Target &amp; Team Lists'!$A$5:$A$504,F26)&gt;0),COUNTIF('Target &amp; Team Lists'!$E$5:$E$504,D26)&gt;0),"Yes",IF(AND(SUMPRODUCT(('Target &amp; Team Lists'!$N$5:$N$60&lt;&gt;"")*ISNUMBER(SEARCH('Target &amp; Team Lists'!$N$5:$N$60,(E26&amp;" "&amp;F26))))&gt;0,SUMPRODUCT(('Target &amp; Team Lists'!$O$5:$O$60&lt;&gt;"")*ISNUMBER(SEARCH('Target &amp; Team Lists'!$O$5:$O$60,(E26&amp;" "&amp;F26))))=0),"Yes","No"))))</f>
        <v>No</v>
      </c>
      <c r="Q26" s="31" t="s">
        <v>154</v>
      </c>
    </row>
    <row r="27" customFormat="false" ht="15" hidden="false" customHeight="false" outlineLevel="0" collapsed="false">
      <c r="A27" s="30"/>
      <c r="B27" s="31" t="s">
        <v>15</v>
      </c>
      <c r="C27" s="32"/>
      <c r="D27" s="31" t="s">
        <v>203</v>
      </c>
      <c r="E27" s="31" t="s">
        <v>204</v>
      </c>
      <c r="F27" s="32"/>
      <c r="G27" s="32"/>
      <c r="H27" s="32"/>
      <c r="I27" s="32"/>
      <c r="J27" s="32"/>
      <c r="K27" s="32"/>
      <c r="L27" s="32"/>
      <c r="M27" s="31" t="n">
        <v>1</v>
      </c>
      <c r="N27" s="33" t="n">
        <f aca="false">IF(D27="","",IF(SUM(I27:L27)&gt;0,1,0))</f>
        <v>0</v>
      </c>
      <c r="O27" s="34" t="str">
        <f aca="false">IF(D27="","",IF(OR(COUNTIF('Target &amp; Team Lists'!$J$5:$J$204,D27)&gt;0,AND(H27&lt;&gt;"",COUNTIF('Target &amp; Team Lists'!$L$5:$L$204,H27)&gt;0),ISNUMBER(SEARCH("alpha nodus",(E27&amp;" "&amp;F27))),ISNUMBER(SEARCH("alphanodus",(E27&amp;" "&amp;F27)))),"Yes","No"))</f>
        <v>No</v>
      </c>
      <c r="P27" s="34" t="str">
        <f aca="false">IF(D27="","",IF(O27="Yes","No",IF(OR(AND(F27&lt;&gt;"",COUNTIF('Target &amp; Team Lists'!$A$5:$A$504,F27)&gt;0),COUNTIF('Target &amp; Team Lists'!$E$5:$E$504,D27)&gt;0),"Yes",IF(AND(SUMPRODUCT(('Target &amp; Team Lists'!$N$5:$N$60&lt;&gt;"")*ISNUMBER(SEARCH('Target &amp; Team Lists'!$N$5:$N$60,(E27&amp;" "&amp;F27))))&gt;0,SUMPRODUCT(('Target &amp; Team Lists'!$O$5:$O$60&lt;&gt;"")*ISNUMBER(SEARCH('Target &amp; Team Lists'!$O$5:$O$60,(E27&amp;" "&amp;F27))))=0),"Yes","No"))))</f>
        <v>No</v>
      </c>
      <c r="Q27" s="31" t="s">
        <v>154</v>
      </c>
    </row>
    <row r="28" customFormat="false" ht="15" hidden="false" customHeight="false" outlineLevel="0" collapsed="false">
      <c r="A28" s="30"/>
      <c r="B28" s="31" t="s">
        <v>15</v>
      </c>
      <c r="C28" s="32"/>
      <c r="D28" s="31" t="s">
        <v>205</v>
      </c>
      <c r="E28" s="31" t="s">
        <v>206</v>
      </c>
      <c r="F28" s="32"/>
      <c r="G28" s="32"/>
      <c r="H28" s="32"/>
      <c r="I28" s="32"/>
      <c r="J28" s="32"/>
      <c r="K28" s="32"/>
      <c r="L28" s="32"/>
      <c r="M28" s="31" t="n">
        <v>1</v>
      </c>
      <c r="N28" s="33" t="n">
        <f aca="false">IF(D28="","",IF(SUM(I28:L28)&gt;0,1,0))</f>
        <v>0</v>
      </c>
      <c r="O28" s="34" t="str">
        <f aca="false">IF(D28="","",IF(OR(COUNTIF('Target &amp; Team Lists'!$J$5:$J$204,D28)&gt;0,AND(H28&lt;&gt;"",COUNTIF('Target &amp; Team Lists'!$L$5:$L$204,H28)&gt;0),ISNUMBER(SEARCH("alpha nodus",(E28&amp;" "&amp;F28))),ISNUMBER(SEARCH("alphanodus",(E28&amp;" "&amp;F28)))),"Yes","No"))</f>
        <v>No</v>
      </c>
      <c r="P28" s="34" t="str">
        <f aca="false">IF(D28="","",IF(O28="Yes","No",IF(OR(AND(F28&lt;&gt;"",COUNTIF('Target &amp; Team Lists'!$A$5:$A$504,F28)&gt;0),COUNTIF('Target &amp; Team Lists'!$E$5:$E$504,D28)&gt;0),"Yes",IF(AND(SUMPRODUCT(('Target &amp; Team Lists'!$N$5:$N$60&lt;&gt;"")*ISNUMBER(SEARCH('Target &amp; Team Lists'!$N$5:$N$60,(E28&amp;" "&amp;F28))))&gt;0,SUMPRODUCT(('Target &amp; Team Lists'!$O$5:$O$60&lt;&gt;"")*ISNUMBER(SEARCH('Target &amp; Team Lists'!$O$5:$O$60,(E28&amp;" "&amp;F28))))=0),"Yes","No"))))</f>
        <v>No</v>
      </c>
      <c r="Q28" s="31" t="s">
        <v>154</v>
      </c>
    </row>
    <row r="29" customFormat="false" ht="15" hidden="false" customHeight="false" outlineLevel="0" collapsed="false">
      <c r="A29" s="30"/>
      <c r="B29" s="31" t="s">
        <v>15</v>
      </c>
      <c r="C29" s="32"/>
      <c r="D29" s="31" t="s">
        <v>207</v>
      </c>
      <c r="E29" s="31" t="s">
        <v>208</v>
      </c>
      <c r="F29" s="32"/>
      <c r="G29" s="32"/>
      <c r="H29" s="32"/>
      <c r="I29" s="32"/>
      <c r="J29" s="32"/>
      <c r="K29" s="32"/>
      <c r="L29" s="32"/>
      <c r="M29" s="31" t="n">
        <v>1</v>
      </c>
      <c r="N29" s="33" t="n">
        <f aca="false">IF(D29="","",IF(SUM(I29:L29)&gt;0,1,0))</f>
        <v>0</v>
      </c>
      <c r="O29" s="34" t="str">
        <f aca="false">IF(D29="","",IF(OR(COUNTIF('Target &amp; Team Lists'!$J$5:$J$204,D29)&gt;0,AND(H29&lt;&gt;"",COUNTIF('Target &amp; Team Lists'!$L$5:$L$204,H29)&gt;0),ISNUMBER(SEARCH("alpha nodus",(E29&amp;" "&amp;F29))),ISNUMBER(SEARCH("alphanodus",(E29&amp;" "&amp;F29)))),"Yes","No"))</f>
        <v>No</v>
      </c>
      <c r="P29" s="34" t="str">
        <f aca="false">IF(D29="","",IF(O29="Yes","No",IF(OR(AND(F29&lt;&gt;"",COUNTIF('Target &amp; Team Lists'!$A$5:$A$504,F29)&gt;0),COUNTIF('Target &amp; Team Lists'!$E$5:$E$504,D29)&gt;0),"Yes",IF(AND(SUMPRODUCT(('Target &amp; Team Lists'!$N$5:$N$60&lt;&gt;"")*ISNUMBER(SEARCH('Target &amp; Team Lists'!$N$5:$N$60,(E29&amp;" "&amp;F29))))&gt;0,SUMPRODUCT(('Target &amp; Team Lists'!$O$5:$O$60&lt;&gt;"")*ISNUMBER(SEARCH('Target &amp; Team Lists'!$O$5:$O$60,(E29&amp;" "&amp;F29))))=0),"Yes","No"))))</f>
        <v>No</v>
      </c>
      <c r="Q29" s="31" t="s">
        <v>154</v>
      </c>
    </row>
    <row r="30" customFormat="false" ht="15" hidden="false" customHeight="false" outlineLevel="0" collapsed="false">
      <c r="A30" s="30"/>
      <c r="B30" s="31" t="s">
        <v>17</v>
      </c>
      <c r="C30" s="32"/>
      <c r="D30" s="31" t="s">
        <v>209</v>
      </c>
      <c r="E30" s="32"/>
      <c r="F30" s="32"/>
      <c r="G30" s="32"/>
      <c r="H30" s="31" t="s">
        <v>210</v>
      </c>
      <c r="I30" s="32"/>
      <c r="J30" s="32"/>
      <c r="K30" s="32"/>
      <c r="L30" s="32"/>
      <c r="M30" s="31" t="n">
        <v>1</v>
      </c>
      <c r="N30" s="33" t="n">
        <f aca="false">IF(D30="","",IF(SUM(I30:L30)&gt;0,1,0))</f>
        <v>0</v>
      </c>
      <c r="O30" s="34" t="str">
        <f aca="false">IF(D30="","",IF(OR(COUNTIF('Target &amp; Team Lists'!$J$5:$J$204,D30)&gt;0,AND(H30&lt;&gt;"",COUNTIF('Target &amp; Team Lists'!$L$5:$L$204,H30)&gt;0),ISNUMBER(SEARCH("alpha nodus",(E30&amp;" "&amp;F30))),ISNUMBER(SEARCH("alphanodus",(E30&amp;" "&amp;F30)))),"Yes","No"))</f>
        <v>No</v>
      </c>
      <c r="P30" s="34" t="str">
        <f aca="false">IF(D30="","",IF(O30="Yes","No",IF(OR(AND(F30&lt;&gt;"",COUNTIF('Target &amp; Team Lists'!$A$5:$A$504,F30)&gt;0),COUNTIF('Target &amp; Team Lists'!$E$5:$E$504,D30)&gt;0),"Yes",IF(AND(SUMPRODUCT(('Target &amp; Team Lists'!$N$5:$N$60&lt;&gt;"")*ISNUMBER(SEARCH('Target &amp; Team Lists'!$N$5:$N$60,(E30&amp;" "&amp;F30))))&gt;0,SUMPRODUCT(('Target &amp; Team Lists'!$O$5:$O$60&lt;&gt;"")*ISNUMBER(SEARCH('Target &amp; Team Lists'!$O$5:$O$60,(E30&amp;" "&amp;F30))))=0),"Yes","No"))))</f>
        <v>No</v>
      </c>
      <c r="Q30" s="31" t="s">
        <v>211</v>
      </c>
    </row>
    <row r="31" customFormat="false" ht="15" hidden="false" customHeight="false" outlineLevel="0" collapsed="false">
      <c r="A31" s="30"/>
      <c r="B31" s="31" t="s">
        <v>17</v>
      </c>
      <c r="C31" s="32"/>
      <c r="D31" s="31" t="s">
        <v>212</v>
      </c>
      <c r="E31" s="32"/>
      <c r="F31" s="31" t="s">
        <v>213</v>
      </c>
      <c r="G31" s="32"/>
      <c r="H31" s="31" t="s">
        <v>214</v>
      </c>
      <c r="I31" s="32"/>
      <c r="J31" s="32"/>
      <c r="K31" s="32"/>
      <c r="L31" s="32"/>
      <c r="M31" s="31" t="n">
        <v>1</v>
      </c>
      <c r="N31" s="33" t="n">
        <f aca="false">IF(D31="","",IF(SUM(I31:L31)&gt;0,1,0))</f>
        <v>0</v>
      </c>
      <c r="O31" s="34" t="str">
        <f aca="false">IF(D31="","",IF(OR(COUNTIF('Target &amp; Team Lists'!$J$5:$J$204,D31)&gt;0,AND(H31&lt;&gt;"",COUNTIF('Target &amp; Team Lists'!$L$5:$L$204,H31)&gt;0),ISNUMBER(SEARCH("alpha nodus",(E31&amp;" "&amp;F31))),ISNUMBER(SEARCH("alphanodus",(E31&amp;" "&amp;F31)))),"Yes","No"))</f>
        <v>No</v>
      </c>
      <c r="P31" s="34" t="str">
        <f aca="false">IF(D31="","",IF(O31="Yes","No",IF(OR(AND(F31&lt;&gt;"",COUNTIF('Target &amp; Team Lists'!$A$5:$A$504,F31)&gt;0),COUNTIF('Target &amp; Team Lists'!$E$5:$E$504,D31)&gt;0),"Yes",IF(AND(SUMPRODUCT(('Target &amp; Team Lists'!$N$5:$N$60&lt;&gt;"")*ISNUMBER(SEARCH('Target &amp; Team Lists'!$N$5:$N$60,(E31&amp;" "&amp;F31))))&gt;0,SUMPRODUCT(('Target &amp; Team Lists'!$O$5:$O$60&lt;&gt;"")*ISNUMBER(SEARCH('Target &amp; Team Lists'!$O$5:$O$60,(E31&amp;" "&amp;F31))))=0),"Yes","No"))))</f>
        <v>Yes</v>
      </c>
      <c r="Q31" s="31" t="s">
        <v>215</v>
      </c>
    </row>
    <row r="32" customFormat="false" ht="15" hidden="false" customHeight="false" outlineLevel="0" collapsed="false">
      <c r="A32" s="30"/>
      <c r="B32" s="31" t="s">
        <v>17</v>
      </c>
      <c r="C32" s="32"/>
      <c r="D32" s="31" t="s">
        <v>216</v>
      </c>
      <c r="E32" s="32"/>
      <c r="F32" s="31" t="s">
        <v>217</v>
      </c>
      <c r="G32" s="32"/>
      <c r="H32" s="31" t="s">
        <v>218</v>
      </c>
      <c r="I32" s="32"/>
      <c r="J32" s="32"/>
      <c r="K32" s="32"/>
      <c r="L32" s="32"/>
      <c r="M32" s="31" t="n">
        <v>1</v>
      </c>
      <c r="N32" s="33" t="n">
        <f aca="false">IF(D32="","",IF(SUM(I32:L32)&gt;0,1,0))</f>
        <v>0</v>
      </c>
      <c r="O32" s="34" t="str">
        <f aca="false">IF(D32="","",IF(OR(COUNTIF('Target &amp; Team Lists'!$J$5:$J$204,D32)&gt;0,AND(H32&lt;&gt;"",COUNTIF('Target &amp; Team Lists'!$L$5:$L$204,H32)&gt;0),ISNUMBER(SEARCH("alpha nodus",(E32&amp;" "&amp;F32))),ISNUMBER(SEARCH("alphanodus",(E32&amp;" "&amp;F32)))),"Yes","No"))</f>
        <v>No</v>
      </c>
      <c r="P32" s="34" t="str">
        <f aca="false">IF(D32="","",IF(O32="Yes","No",IF(OR(AND(F32&lt;&gt;"",COUNTIF('Target &amp; Team Lists'!$A$5:$A$504,F32)&gt;0),COUNTIF('Target &amp; Team Lists'!$E$5:$E$504,D32)&gt;0),"Yes",IF(AND(SUMPRODUCT(('Target &amp; Team Lists'!$N$5:$N$60&lt;&gt;"")*ISNUMBER(SEARCH('Target &amp; Team Lists'!$N$5:$N$60,(E32&amp;" "&amp;F32))))&gt;0,SUMPRODUCT(('Target &amp; Team Lists'!$O$5:$O$60&lt;&gt;"")*ISNUMBER(SEARCH('Target &amp; Team Lists'!$O$5:$O$60,(E32&amp;" "&amp;F32))))=0),"Yes","No"))))</f>
        <v>No</v>
      </c>
      <c r="Q32" s="31" t="s">
        <v>219</v>
      </c>
    </row>
    <row r="33" customFormat="false" ht="15" hidden="false" customHeight="false" outlineLevel="0" collapsed="false">
      <c r="A33" s="30"/>
      <c r="B33" s="31" t="s">
        <v>17</v>
      </c>
      <c r="C33" s="32"/>
      <c r="D33" s="31" t="s">
        <v>220</v>
      </c>
      <c r="E33" s="32"/>
      <c r="F33" s="32"/>
      <c r="G33" s="32"/>
      <c r="H33" s="31" t="s">
        <v>221</v>
      </c>
      <c r="I33" s="32"/>
      <c r="J33" s="32"/>
      <c r="K33" s="32"/>
      <c r="L33" s="32"/>
      <c r="M33" s="31" t="n">
        <v>1</v>
      </c>
      <c r="N33" s="33" t="n">
        <f aca="false">IF(D33="","",IF(SUM(I33:L33)&gt;0,1,0))</f>
        <v>0</v>
      </c>
      <c r="O33" s="34" t="str">
        <f aca="false">IF(D33="","",IF(OR(COUNTIF('Target &amp; Team Lists'!$J$5:$J$204,D33)&gt;0,AND(H33&lt;&gt;"",COUNTIF('Target &amp; Team Lists'!$L$5:$L$204,H33)&gt;0),ISNUMBER(SEARCH("alpha nodus",(E33&amp;" "&amp;F33))),ISNUMBER(SEARCH("alphanodus",(E33&amp;" "&amp;F33)))),"Yes","No"))</f>
        <v>No</v>
      </c>
      <c r="P33" s="34" t="str">
        <f aca="false">IF(D33="","",IF(O33="Yes","No",IF(OR(AND(F33&lt;&gt;"",COUNTIF('Target &amp; Team Lists'!$A$5:$A$504,F33)&gt;0),COUNTIF('Target &amp; Team Lists'!$E$5:$E$504,D33)&gt;0),"Yes",IF(AND(SUMPRODUCT(('Target &amp; Team Lists'!$N$5:$N$60&lt;&gt;"")*ISNUMBER(SEARCH('Target &amp; Team Lists'!$N$5:$N$60,(E33&amp;" "&amp;F33))))&gt;0,SUMPRODUCT(('Target &amp; Team Lists'!$O$5:$O$60&lt;&gt;"")*ISNUMBER(SEARCH('Target &amp; Team Lists'!$O$5:$O$60,(E33&amp;" "&amp;F33))))=0),"Yes","No"))))</f>
        <v>No</v>
      </c>
      <c r="Q33" s="31" t="s">
        <v>222</v>
      </c>
    </row>
    <row r="34" customFormat="false" ht="15" hidden="false" customHeight="false" outlineLevel="0" collapsed="false">
      <c r="A34" s="30"/>
      <c r="B34" s="31" t="s">
        <v>17</v>
      </c>
      <c r="C34" s="32"/>
      <c r="D34" s="31" t="s">
        <v>223</v>
      </c>
      <c r="E34" s="32"/>
      <c r="F34" s="32"/>
      <c r="G34" s="32"/>
      <c r="H34" s="31" t="s">
        <v>224</v>
      </c>
      <c r="I34" s="32"/>
      <c r="J34" s="32"/>
      <c r="K34" s="32"/>
      <c r="L34" s="32"/>
      <c r="M34" s="31" t="n">
        <v>1</v>
      </c>
      <c r="N34" s="33" t="n">
        <f aca="false">IF(D34="","",IF(SUM(I34:L34)&gt;0,1,0))</f>
        <v>0</v>
      </c>
      <c r="O34" s="34" t="str">
        <f aca="false">IF(D34="","",IF(OR(COUNTIF('Target &amp; Team Lists'!$J$5:$J$204,D34)&gt;0,AND(H34&lt;&gt;"",COUNTIF('Target &amp; Team Lists'!$L$5:$L$204,H34)&gt;0),ISNUMBER(SEARCH("alpha nodus",(E34&amp;" "&amp;F34))),ISNUMBER(SEARCH("alphanodus",(E34&amp;" "&amp;F34)))),"Yes","No"))</f>
        <v>No</v>
      </c>
      <c r="P34" s="34" t="str">
        <f aca="false">IF(D34="","",IF(O34="Yes","No",IF(OR(AND(F34&lt;&gt;"",COUNTIF('Target &amp; Team Lists'!$A$5:$A$504,F34)&gt;0),COUNTIF('Target &amp; Team Lists'!$E$5:$E$504,D34)&gt;0),"Yes",IF(AND(SUMPRODUCT(('Target &amp; Team Lists'!$N$5:$N$60&lt;&gt;"")*ISNUMBER(SEARCH('Target &amp; Team Lists'!$N$5:$N$60,(E34&amp;" "&amp;F34))))&gt;0,SUMPRODUCT(('Target &amp; Team Lists'!$O$5:$O$60&lt;&gt;"")*ISNUMBER(SEARCH('Target &amp; Team Lists'!$O$5:$O$60,(E34&amp;" "&amp;F34))))=0),"Yes","No"))))</f>
        <v>No</v>
      </c>
      <c r="Q34" s="31" t="s">
        <v>225</v>
      </c>
    </row>
    <row r="35" customFormat="false" ht="15" hidden="false" customHeight="false" outlineLevel="0" collapsed="false">
      <c r="A35" s="30"/>
      <c r="B35" s="31" t="s">
        <v>17</v>
      </c>
      <c r="C35" s="32"/>
      <c r="D35" s="31" t="s">
        <v>226</v>
      </c>
      <c r="E35" s="32"/>
      <c r="F35" s="32"/>
      <c r="G35" s="32"/>
      <c r="H35" s="31" t="s">
        <v>227</v>
      </c>
      <c r="I35" s="32"/>
      <c r="J35" s="32"/>
      <c r="K35" s="32"/>
      <c r="L35" s="32"/>
      <c r="M35" s="31" t="n">
        <v>1</v>
      </c>
      <c r="N35" s="33" t="n">
        <f aca="false">IF(D35="","",IF(SUM(I35:L35)&gt;0,1,0))</f>
        <v>0</v>
      </c>
      <c r="O35" s="34" t="str">
        <f aca="false">IF(D35="","",IF(OR(COUNTIF('Target &amp; Team Lists'!$J$5:$J$204,D35)&gt;0,AND(H35&lt;&gt;"",COUNTIF('Target &amp; Team Lists'!$L$5:$L$204,H35)&gt;0),ISNUMBER(SEARCH("alpha nodus",(E35&amp;" "&amp;F35))),ISNUMBER(SEARCH("alphanodus",(E35&amp;" "&amp;F35)))),"Yes","No"))</f>
        <v>No</v>
      </c>
      <c r="P35" s="34" t="str">
        <f aca="false">IF(D35="","",IF(O35="Yes","No",IF(OR(AND(F35&lt;&gt;"",COUNTIF('Target &amp; Team Lists'!$A$5:$A$504,F35)&gt;0),COUNTIF('Target &amp; Team Lists'!$E$5:$E$504,D35)&gt;0),"Yes",IF(AND(SUMPRODUCT(('Target &amp; Team Lists'!$N$5:$N$60&lt;&gt;"")*ISNUMBER(SEARCH('Target &amp; Team Lists'!$N$5:$N$60,(E35&amp;" "&amp;F35))))&gt;0,SUMPRODUCT(('Target &amp; Team Lists'!$O$5:$O$60&lt;&gt;"")*ISNUMBER(SEARCH('Target &amp; Team Lists'!$O$5:$O$60,(E35&amp;" "&amp;F35))))=0),"Yes","No"))))</f>
        <v>No</v>
      </c>
      <c r="Q35" s="31" t="s">
        <v>228</v>
      </c>
    </row>
    <row r="36" customFormat="false" ht="15" hidden="false" customHeight="false" outlineLevel="0" collapsed="false">
      <c r="A36" s="30"/>
      <c r="B36" s="31" t="s">
        <v>17</v>
      </c>
      <c r="C36" s="32"/>
      <c r="D36" s="31" t="s">
        <v>229</v>
      </c>
      <c r="E36" s="32"/>
      <c r="F36" s="32"/>
      <c r="G36" s="32"/>
      <c r="H36" s="31" t="s">
        <v>230</v>
      </c>
      <c r="I36" s="32"/>
      <c r="J36" s="32"/>
      <c r="K36" s="32"/>
      <c r="L36" s="32"/>
      <c r="M36" s="31" t="n">
        <v>1</v>
      </c>
      <c r="N36" s="33" t="n">
        <f aca="false">IF(D36="","",IF(SUM(I36:L36)&gt;0,1,0))</f>
        <v>0</v>
      </c>
      <c r="O36" s="34" t="str">
        <f aca="false">IF(D36="","",IF(OR(COUNTIF('Target &amp; Team Lists'!$J$5:$J$204,D36)&gt;0,AND(H36&lt;&gt;"",COUNTIF('Target &amp; Team Lists'!$L$5:$L$204,H36)&gt;0),ISNUMBER(SEARCH("alpha nodus",(E36&amp;" "&amp;F36))),ISNUMBER(SEARCH("alphanodus",(E36&amp;" "&amp;F36)))),"Yes","No"))</f>
        <v>No</v>
      </c>
      <c r="P36" s="34" t="str">
        <f aca="false">IF(D36="","",IF(O36="Yes","No",IF(OR(AND(F36&lt;&gt;"",COUNTIF('Target &amp; Team Lists'!$A$5:$A$504,F36)&gt;0),COUNTIF('Target &amp; Team Lists'!$E$5:$E$504,D36)&gt;0),"Yes",IF(AND(SUMPRODUCT(('Target &amp; Team Lists'!$N$5:$N$60&lt;&gt;"")*ISNUMBER(SEARCH('Target &amp; Team Lists'!$N$5:$N$60,(E36&amp;" "&amp;F36))))&gt;0,SUMPRODUCT(('Target &amp; Team Lists'!$O$5:$O$60&lt;&gt;"")*ISNUMBER(SEARCH('Target &amp; Team Lists'!$O$5:$O$60,(E36&amp;" "&amp;F36))))=0),"Yes","No"))))</f>
        <v>No</v>
      </c>
      <c r="Q36" s="31" t="s">
        <v>231</v>
      </c>
    </row>
    <row r="37" customFormat="false" ht="15" hidden="false" customHeight="false" outlineLevel="0" collapsed="false">
      <c r="A37" s="30"/>
      <c r="B37" s="31" t="s">
        <v>17</v>
      </c>
      <c r="C37" s="32"/>
      <c r="D37" s="31" t="s">
        <v>232</v>
      </c>
      <c r="E37" s="32"/>
      <c r="F37" s="32"/>
      <c r="G37" s="32"/>
      <c r="H37" s="31" t="s">
        <v>233</v>
      </c>
      <c r="I37" s="32"/>
      <c r="J37" s="32"/>
      <c r="K37" s="32"/>
      <c r="L37" s="32"/>
      <c r="M37" s="31" t="n">
        <v>1</v>
      </c>
      <c r="N37" s="33" t="n">
        <f aca="false">IF(D37="","",IF(SUM(I37:L37)&gt;0,1,0))</f>
        <v>0</v>
      </c>
      <c r="O37" s="34" t="str">
        <f aca="false">IF(D37="","",IF(OR(COUNTIF('Target &amp; Team Lists'!$J$5:$J$204,D37)&gt;0,AND(H37&lt;&gt;"",COUNTIF('Target &amp; Team Lists'!$L$5:$L$204,H37)&gt;0),ISNUMBER(SEARCH("alpha nodus",(E37&amp;" "&amp;F37))),ISNUMBER(SEARCH("alphanodus",(E37&amp;" "&amp;F37)))),"Yes","No"))</f>
        <v>No</v>
      </c>
      <c r="P37" s="34" t="str">
        <f aca="false">IF(D37="","",IF(O37="Yes","No",IF(OR(AND(F37&lt;&gt;"",COUNTIF('Target &amp; Team Lists'!$A$5:$A$504,F37)&gt;0),COUNTIF('Target &amp; Team Lists'!$E$5:$E$504,D37)&gt;0),"Yes",IF(AND(SUMPRODUCT(('Target &amp; Team Lists'!$N$5:$N$60&lt;&gt;"")*ISNUMBER(SEARCH('Target &amp; Team Lists'!$N$5:$N$60,(E37&amp;" "&amp;F37))))&gt;0,SUMPRODUCT(('Target &amp; Team Lists'!$O$5:$O$60&lt;&gt;"")*ISNUMBER(SEARCH('Target &amp; Team Lists'!$O$5:$O$60,(E37&amp;" "&amp;F37))))=0),"Yes","No"))))</f>
        <v>No</v>
      </c>
      <c r="Q37" s="31" t="s">
        <v>234</v>
      </c>
    </row>
    <row r="38" customFormat="false" ht="15" hidden="false" customHeight="false" outlineLevel="0" collapsed="false">
      <c r="A38" s="30"/>
      <c r="B38" s="31" t="s">
        <v>17</v>
      </c>
      <c r="C38" s="32"/>
      <c r="D38" s="31" t="s">
        <v>235</v>
      </c>
      <c r="E38" s="32"/>
      <c r="F38" s="32"/>
      <c r="G38" s="32"/>
      <c r="H38" s="31" t="s">
        <v>236</v>
      </c>
      <c r="I38" s="32"/>
      <c r="J38" s="32"/>
      <c r="K38" s="32"/>
      <c r="L38" s="32"/>
      <c r="M38" s="31" t="n">
        <v>1</v>
      </c>
      <c r="N38" s="33" t="n">
        <f aca="false">IF(D38="","",IF(SUM(I38:L38)&gt;0,1,0))</f>
        <v>0</v>
      </c>
      <c r="O38" s="34" t="str">
        <f aca="false">IF(D38="","",IF(OR(COUNTIF('Target &amp; Team Lists'!$J$5:$J$204,D38)&gt;0,AND(H38&lt;&gt;"",COUNTIF('Target &amp; Team Lists'!$L$5:$L$204,H38)&gt;0),ISNUMBER(SEARCH("alpha nodus",(E38&amp;" "&amp;F38))),ISNUMBER(SEARCH("alphanodus",(E38&amp;" "&amp;F38)))),"Yes","No"))</f>
        <v>No</v>
      </c>
      <c r="P38" s="34" t="str">
        <f aca="false">IF(D38="","",IF(O38="Yes","No",IF(OR(AND(F38&lt;&gt;"",COUNTIF('Target &amp; Team Lists'!$A$5:$A$504,F38)&gt;0),COUNTIF('Target &amp; Team Lists'!$E$5:$E$504,D38)&gt;0),"Yes",IF(AND(SUMPRODUCT(('Target &amp; Team Lists'!$N$5:$N$60&lt;&gt;"")*ISNUMBER(SEARCH('Target &amp; Team Lists'!$N$5:$N$60,(E38&amp;" "&amp;F38))))&gt;0,SUMPRODUCT(('Target &amp; Team Lists'!$O$5:$O$60&lt;&gt;"")*ISNUMBER(SEARCH('Target &amp; Team Lists'!$O$5:$O$60,(E38&amp;" "&amp;F38))))=0),"Yes","No"))))</f>
        <v>No</v>
      </c>
      <c r="Q38" s="31" t="s">
        <v>237</v>
      </c>
    </row>
    <row r="39" customFormat="false" ht="15" hidden="false" customHeight="false" outlineLevel="0" collapsed="false">
      <c r="A39" s="30"/>
      <c r="B39" s="31" t="s">
        <v>17</v>
      </c>
      <c r="C39" s="32"/>
      <c r="D39" s="31" t="s">
        <v>238</v>
      </c>
      <c r="E39" s="32"/>
      <c r="F39" s="32"/>
      <c r="G39" s="32"/>
      <c r="H39" s="31" t="s">
        <v>239</v>
      </c>
      <c r="I39" s="32"/>
      <c r="J39" s="32"/>
      <c r="K39" s="32"/>
      <c r="L39" s="32"/>
      <c r="M39" s="31" t="n">
        <v>1</v>
      </c>
      <c r="N39" s="33" t="n">
        <f aca="false">IF(D39="","",IF(SUM(I39:L39)&gt;0,1,0))</f>
        <v>0</v>
      </c>
      <c r="O39" s="34" t="str">
        <f aca="false">IF(D39="","",IF(OR(COUNTIF('Target &amp; Team Lists'!$J$5:$J$204,D39)&gt;0,AND(H39&lt;&gt;"",COUNTIF('Target &amp; Team Lists'!$L$5:$L$204,H39)&gt;0),ISNUMBER(SEARCH("alpha nodus",(E39&amp;" "&amp;F39))),ISNUMBER(SEARCH("alphanodus",(E39&amp;" "&amp;F39)))),"Yes","No"))</f>
        <v>No</v>
      </c>
      <c r="P39" s="34" t="str">
        <f aca="false">IF(D39="","",IF(O39="Yes","No",IF(OR(AND(F39&lt;&gt;"",COUNTIF('Target &amp; Team Lists'!$A$5:$A$504,F39)&gt;0),COUNTIF('Target &amp; Team Lists'!$E$5:$E$504,D39)&gt;0),"Yes",IF(AND(SUMPRODUCT(('Target &amp; Team Lists'!$N$5:$N$60&lt;&gt;"")*ISNUMBER(SEARCH('Target &amp; Team Lists'!$N$5:$N$60,(E39&amp;" "&amp;F39))))&gt;0,SUMPRODUCT(('Target &amp; Team Lists'!$O$5:$O$60&lt;&gt;"")*ISNUMBER(SEARCH('Target &amp; Team Lists'!$O$5:$O$60,(E39&amp;" "&amp;F39))))=0),"Yes","No"))))</f>
        <v>No</v>
      </c>
      <c r="Q39" s="31" t="s">
        <v>240</v>
      </c>
    </row>
    <row r="40" customFormat="false" ht="15" hidden="false" customHeight="false" outlineLevel="0" collapsed="false">
      <c r="A40" s="30"/>
      <c r="B40" s="31" t="s">
        <v>17</v>
      </c>
      <c r="C40" s="32"/>
      <c r="D40" s="31" t="s">
        <v>241</v>
      </c>
      <c r="E40" s="32"/>
      <c r="F40" s="32"/>
      <c r="G40" s="32"/>
      <c r="H40" s="31" t="s">
        <v>242</v>
      </c>
      <c r="I40" s="32"/>
      <c r="J40" s="32"/>
      <c r="K40" s="32"/>
      <c r="L40" s="32"/>
      <c r="M40" s="31" t="n">
        <v>1</v>
      </c>
      <c r="N40" s="33" t="n">
        <f aca="false">IF(D40="","",IF(SUM(I40:L40)&gt;0,1,0))</f>
        <v>0</v>
      </c>
      <c r="O40" s="34" t="str">
        <f aca="false">IF(D40="","",IF(OR(COUNTIF('Target &amp; Team Lists'!$J$5:$J$204,D40)&gt;0,AND(H40&lt;&gt;"",COUNTIF('Target &amp; Team Lists'!$L$5:$L$204,H40)&gt;0),ISNUMBER(SEARCH("alpha nodus",(E40&amp;" "&amp;F40))),ISNUMBER(SEARCH("alphanodus",(E40&amp;" "&amp;F40)))),"Yes","No"))</f>
        <v>No</v>
      </c>
      <c r="P40" s="34" t="str">
        <f aca="false">IF(D40="","",IF(O40="Yes","No",IF(OR(AND(F40&lt;&gt;"",COUNTIF('Target &amp; Team Lists'!$A$5:$A$504,F40)&gt;0),COUNTIF('Target &amp; Team Lists'!$E$5:$E$504,D40)&gt;0),"Yes",IF(AND(SUMPRODUCT(('Target &amp; Team Lists'!$N$5:$N$60&lt;&gt;"")*ISNUMBER(SEARCH('Target &amp; Team Lists'!$N$5:$N$60,(E40&amp;" "&amp;F40))))&gt;0,SUMPRODUCT(('Target &amp; Team Lists'!$O$5:$O$60&lt;&gt;"")*ISNUMBER(SEARCH('Target &amp; Team Lists'!$O$5:$O$60,(E40&amp;" "&amp;F40))))=0),"Yes","No"))))</f>
        <v>No</v>
      </c>
      <c r="Q40" s="31" t="s">
        <v>243</v>
      </c>
    </row>
    <row r="41" customFormat="false" ht="15" hidden="false" customHeight="false" outlineLevel="0" collapsed="false">
      <c r="A41" s="30"/>
      <c r="B41" s="31" t="s">
        <v>17</v>
      </c>
      <c r="C41" s="32"/>
      <c r="D41" s="31" t="s">
        <v>244</v>
      </c>
      <c r="E41" s="32"/>
      <c r="F41" s="31" t="s">
        <v>244</v>
      </c>
      <c r="G41" s="32"/>
      <c r="H41" s="31" t="s">
        <v>245</v>
      </c>
      <c r="I41" s="32"/>
      <c r="J41" s="32"/>
      <c r="K41" s="32"/>
      <c r="L41" s="32"/>
      <c r="M41" s="31" t="n">
        <v>1</v>
      </c>
      <c r="N41" s="33" t="n">
        <f aca="false">IF(D41="","",IF(SUM(I41:L41)&gt;0,1,0))</f>
        <v>0</v>
      </c>
      <c r="O41" s="34" t="str">
        <f aca="false">IF(D41="","",IF(OR(COUNTIF('Target &amp; Team Lists'!$J$5:$J$204,D41)&gt;0,AND(H41&lt;&gt;"",COUNTIF('Target &amp; Team Lists'!$L$5:$L$204,H41)&gt;0),ISNUMBER(SEARCH("alpha nodus",(E41&amp;" "&amp;F41))),ISNUMBER(SEARCH("alphanodus",(E41&amp;" "&amp;F41)))),"Yes","No"))</f>
        <v>No</v>
      </c>
      <c r="P41" s="34" t="str">
        <f aca="false">IF(D41="","",IF(O41="Yes","No",IF(OR(AND(F41&lt;&gt;"",COUNTIF('Target &amp; Team Lists'!$A$5:$A$504,F41)&gt;0),COUNTIF('Target &amp; Team Lists'!$E$5:$E$504,D41)&gt;0),"Yes",IF(AND(SUMPRODUCT(('Target &amp; Team Lists'!$N$5:$N$60&lt;&gt;"")*ISNUMBER(SEARCH('Target &amp; Team Lists'!$N$5:$N$60,(E41&amp;" "&amp;F41))))&gt;0,SUMPRODUCT(('Target &amp; Team Lists'!$O$5:$O$60&lt;&gt;"")*ISNUMBER(SEARCH('Target &amp; Team Lists'!$O$5:$O$60,(E41&amp;" "&amp;F41))))=0),"Yes","No"))))</f>
        <v>No</v>
      </c>
      <c r="Q41" s="31" t="s">
        <v>246</v>
      </c>
    </row>
    <row r="42" customFormat="false" ht="15" hidden="false" customHeight="false" outlineLevel="0" collapsed="false">
      <c r="A42" s="30"/>
      <c r="B42" s="31" t="s">
        <v>17</v>
      </c>
      <c r="C42" s="32"/>
      <c r="D42" s="31" t="s">
        <v>247</v>
      </c>
      <c r="E42" s="32"/>
      <c r="F42" s="32"/>
      <c r="G42" s="32"/>
      <c r="H42" s="31" t="s">
        <v>248</v>
      </c>
      <c r="I42" s="32"/>
      <c r="J42" s="32"/>
      <c r="K42" s="32"/>
      <c r="L42" s="32"/>
      <c r="M42" s="31" t="n">
        <v>1</v>
      </c>
      <c r="N42" s="33" t="n">
        <f aca="false">IF(D42="","",IF(SUM(I42:L42)&gt;0,1,0))</f>
        <v>0</v>
      </c>
      <c r="O42" s="34" t="str">
        <f aca="false">IF(D42="","",IF(OR(COUNTIF('Target &amp; Team Lists'!$J$5:$J$204,D42)&gt;0,AND(H42&lt;&gt;"",COUNTIF('Target &amp; Team Lists'!$L$5:$L$204,H42)&gt;0),ISNUMBER(SEARCH("alpha nodus",(E42&amp;" "&amp;F42))),ISNUMBER(SEARCH("alphanodus",(E42&amp;" "&amp;F42)))),"Yes","No"))</f>
        <v>No</v>
      </c>
      <c r="P42" s="34" t="str">
        <f aca="false">IF(D42="","",IF(O42="Yes","No",IF(OR(AND(F42&lt;&gt;"",COUNTIF('Target &amp; Team Lists'!$A$5:$A$504,F42)&gt;0),COUNTIF('Target &amp; Team Lists'!$E$5:$E$504,D42)&gt;0),"Yes",IF(AND(SUMPRODUCT(('Target &amp; Team Lists'!$N$5:$N$60&lt;&gt;"")*ISNUMBER(SEARCH('Target &amp; Team Lists'!$N$5:$N$60,(E42&amp;" "&amp;F42))))&gt;0,SUMPRODUCT(('Target &amp; Team Lists'!$O$5:$O$60&lt;&gt;"")*ISNUMBER(SEARCH('Target &amp; Team Lists'!$O$5:$O$60,(E42&amp;" "&amp;F42))))=0),"Yes","No"))))</f>
        <v>No</v>
      </c>
      <c r="Q42" s="31" t="s">
        <v>249</v>
      </c>
    </row>
    <row r="43" customFormat="false" ht="15" hidden="false" customHeight="false" outlineLevel="0" collapsed="false">
      <c r="A43" s="30"/>
      <c r="B43" s="31" t="s">
        <v>17</v>
      </c>
      <c r="C43" s="32"/>
      <c r="D43" s="31" t="s">
        <v>250</v>
      </c>
      <c r="E43" s="32"/>
      <c r="F43" s="32"/>
      <c r="G43" s="32"/>
      <c r="H43" s="31" t="s">
        <v>251</v>
      </c>
      <c r="I43" s="32"/>
      <c r="J43" s="32"/>
      <c r="K43" s="32"/>
      <c r="L43" s="32"/>
      <c r="M43" s="31" t="n">
        <v>1</v>
      </c>
      <c r="N43" s="33" t="n">
        <f aca="false">IF(D43="","",IF(SUM(I43:L43)&gt;0,1,0))</f>
        <v>0</v>
      </c>
      <c r="O43" s="34" t="str">
        <f aca="false">IF(D43="","",IF(OR(COUNTIF('Target &amp; Team Lists'!$J$5:$J$204,D43)&gt;0,AND(H43&lt;&gt;"",COUNTIF('Target &amp; Team Lists'!$L$5:$L$204,H43)&gt;0),ISNUMBER(SEARCH("alpha nodus",(E43&amp;" "&amp;F43))),ISNUMBER(SEARCH("alphanodus",(E43&amp;" "&amp;F43)))),"Yes","No"))</f>
        <v>Yes</v>
      </c>
      <c r="P43" s="34" t="str">
        <f aca="false">IF(D43="","",IF(O43="Yes","No",IF(OR(AND(F43&lt;&gt;"",COUNTIF('Target &amp; Team Lists'!$A$5:$A$504,F43)&gt;0),COUNTIF('Target &amp; Team Lists'!$E$5:$E$504,D43)&gt;0),"Yes",IF(AND(SUMPRODUCT(('Target &amp; Team Lists'!$N$5:$N$60&lt;&gt;"")*ISNUMBER(SEARCH('Target &amp; Team Lists'!$N$5:$N$60,(E43&amp;" "&amp;F43))))&gt;0,SUMPRODUCT(('Target &amp; Team Lists'!$O$5:$O$60&lt;&gt;"")*ISNUMBER(SEARCH('Target &amp; Team Lists'!$O$5:$O$60,(E43&amp;" "&amp;F43))))=0),"Yes","No"))))</f>
        <v>No</v>
      </c>
      <c r="Q43" s="31" t="s">
        <v>252</v>
      </c>
    </row>
    <row r="44" customFormat="false" ht="15" hidden="false" customHeight="false" outlineLevel="0" collapsed="false">
      <c r="A44" s="30"/>
      <c r="B44" s="31" t="s">
        <v>17</v>
      </c>
      <c r="C44" s="32"/>
      <c r="D44" s="31" t="s">
        <v>253</v>
      </c>
      <c r="E44" s="32"/>
      <c r="F44" s="32"/>
      <c r="G44" s="32"/>
      <c r="H44" s="31" t="s">
        <v>254</v>
      </c>
      <c r="I44" s="32"/>
      <c r="J44" s="32"/>
      <c r="K44" s="32"/>
      <c r="L44" s="32"/>
      <c r="M44" s="31" t="n">
        <v>1</v>
      </c>
      <c r="N44" s="33" t="n">
        <f aca="false">IF(D44="","",IF(SUM(I44:L44)&gt;0,1,0))</f>
        <v>0</v>
      </c>
      <c r="O44" s="34" t="str">
        <f aca="false">IF(D44="","",IF(OR(COUNTIF('Target &amp; Team Lists'!$J$5:$J$204,D44)&gt;0,AND(H44&lt;&gt;"",COUNTIF('Target &amp; Team Lists'!$L$5:$L$204,H44)&gt;0),ISNUMBER(SEARCH("alpha nodus",(E44&amp;" "&amp;F44))),ISNUMBER(SEARCH("alphanodus",(E44&amp;" "&amp;F44)))),"Yes","No"))</f>
        <v>No</v>
      </c>
      <c r="P44" s="34" t="str">
        <f aca="false">IF(D44="","",IF(O44="Yes","No",IF(OR(AND(F44&lt;&gt;"",COUNTIF('Target &amp; Team Lists'!$A$5:$A$504,F44)&gt;0),COUNTIF('Target &amp; Team Lists'!$E$5:$E$504,D44)&gt;0),"Yes",IF(AND(SUMPRODUCT(('Target &amp; Team Lists'!$N$5:$N$60&lt;&gt;"")*ISNUMBER(SEARCH('Target &amp; Team Lists'!$N$5:$N$60,(E44&amp;" "&amp;F44))))&gt;0,SUMPRODUCT(('Target &amp; Team Lists'!$O$5:$O$60&lt;&gt;"")*ISNUMBER(SEARCH('Target &amp; Team Lists'!$O$5:$O$60,(E44&amp;" "&amp;F44))))=0),"Yes","No"))))</f>
        <v>No</v>
      </c>
      <c r="Q44" s="31" t="s">
        <v>255</v>
      </c>
    </row>
    <row r="45" customFormat="false" ht="15" hidden="false" customHeight="false" outlineLevel="0" collapsed="false">
      <c r="A45" s="30"/>
      <c r="B45" s="31" t="s">
        <v>17</v>
      </c>
      <c r="C45" s="32"/>
      <c r="D45" s="31" t="s">
        <v>256</v>
      </c>
      <c r="E45" s="32"/>
      <c r="F45" s="32"/>
      <c r="G45" s="32"/>
      <c r="H45" s="31" t="s">
        <v>257</v>
      </c>
      <c r="I45" s="32"/>
      <c r="J45" s="32"/>
      <c r="K45" s="32"/>
      <c r="L45" s="32"/>
      <c r="M45" s="31" t="n">
        <v>1</v>
      </c>
      <c r="N45" s="33" t="n">
        <f aca="false">IF(D45="","",IF(SUM(I45:L45)&gt;0,1,0))</f>
        <v>0</v>
      </c>
      <c r="O45" s="34" t="str">
        <f aca="false">IF(D45="","",IF(OR(COUNTIF('Target &amp; Team Lists'!$J$5:$J$204,D45)&gt;0,AND(H45&lt;&gt;"",COUNTIF('Target &amp; Team Lists'!$L$5:$L$204,H45)&gt;0),ISNUMBER(SEARCH("alpha nodus",(E45&amp;" "&amp;F45))),ISNUMBER(SEARCH("alphanodus",(E45&amp;" "&amp;F45)))),"Yes","No"))</f>
        <v>No</v>
      </c>
      <c r="P45" s="34" t="str">
        <f aca="false">IF(D45="","",IF(O45="Yes","No",IF(OR(AND(F45&lt;&gt;"",COUNTIF('Target &amp; Team Lists'!$A$5:$A$504,F45)&gt;0),COUNTIF('Target &amp; Team Lists'!$E$5:$E$504,D45)&gt;0),"Yes",IF(AND(SUMPRODUCT(('Target &amp; Team Lists'!$N$5:$N$60&lt;&gt;"")*ISNUMBER(SEARCH('Target &amp; Team Lists'!$N$5:$N$60,(E45&amp;" "&amp;F45))))&gt;0,SUMPRODUCT(('Target &amp; Team Lists'!$O$5:$O$60&lt;&gt;"")*ISNUMBER(SEARCH('Target &amp; Team Lists'!$O$5:$O$60,(E45&amp;" "&amp;F45))))=0),"Yes","No"))))</f>
        <v>No</v>
      </c>
      <c r="Q45" s="31" t="s">
        <v>258</v>
      </c>
    </row>
    <row r="46" customFormat="false" ht="15" hidden="false" customHeight="false" outlineLevel="0" collapsed="false">
      <c r="A46" s="30"/>
      <c r="B46" s="31" t="s">
        <v>17</v>
      </c>
      <c r="C46" s="32"/>
      <c r="D46" s="31" t="s">
        <v>259</v>
      </c>
      <c r="E46" s="32"/>
      <c r="F46" s="32"/>
      <c r="G46" s="32"/>
      <c r="H46" s="31" t="s">
        <v>260</v>
      </c>
      <c r="I46" s="32"/>
      <c r="J46" s="32"/>
      <c r="K46" s="32"/>
      <c r="L46" s="32"/>
      <c r="M46" s="31" t="n">
        <v>1</v>
      </c>
      <c r="N46" s="33" t="n">
        <f aca="false">IF(D46="","",IF(SUM(I46:L46)&gt;0,1,0))</f>
        <v>0</v>
      </c>
      <c r="O46" s="34" t="str">
        <f aca="false">IF(D46="","",IF(OR(COUNTIF('Target &amp; Team Lists'!$J$5:$J$204,D46)&gt;0,AND(H46&lt;&gt;"",COUNTIF('Target &amp; Team Lists'!$L$5:$L$204,H46)&gt;0),ISNUMBER(SEARCH("alpha nodus",(E46&amp;" "&amp;F46))),ISNUMBER(SEARCH("alphanodus",(E46&amp;" "&amp;F46)))),"Yes","No"))</f>
        <v>No</v>
      </c>
      <c r="P46" s="34" t="str">
        <f aca="false">IF(D46="","",IF(O46="Yes","No",IF(OR(AND(F46&lt;&gt;"",COUNTIF('Target &amp; Team Lists'!$A$5:$A$504,F46)&gt;0),COUNTIF('Target &amp; Team Lists'!$E$5:$E$504,D46)&gt;0),"Yes",IF(AND(SUMPRODUCT(('Target &amp; Team Lists'!$N$5:$N$60&lt;&gt;"")*ISNUMBER(SEARCH('Target &amp; Team Lists'!$N$5:$N$60,(E46&amp;" "&amp;F46))))&gt;0,SUMPRODUCT(('Target &amp; Team Lists'!$O$5:$O$60&lt;&gt;"")*ISNUMBER(SEARCH('Target &amp; Team Lists'!$O$5:$O$60,(E46&amp;" "&amp;F46))))=0),"Yes","No"))))</f>
        <v>No</v>
      </c>
      <c r="Q46" s="31" t="s">
        <v>261</v>
      </c>
    </row>
    <row r="47" customFormat="false" ht="15" hidden="false" customHeight="false" outlineLevel="0" collapsed="false">
      <c r="A47" s="30"/>
      <c r="B47" s="31" t="s">
        <v>17</v>
      </c>
      <c r="C47" s="32"/>
      <c r="D47" s="31" t="s">
        <v>262</v>
      </c>
      <c r="E47" s="32"/>
      <c r="F47" s="32"/>
      <c r="G47" s="32"/>
      <c r="H47" s="31" t="s">
        <v>263</v>
      </c>
      <c r="I47" s="32"/>
      <c r="J47" s="32"/>
      <c r="K47" s="32"/>
      <c r="L47" s="32"/>
      <c r="M47" s="31" t="n">
        <v>1</v>
      </c>
      <c r="N47" s="33" t="n">
        <f aca="false">IF(D47="","",IF(SUM(I47:L47)&gt;0,1,0))</f>
        <v>0</v>
      </c>
      <c r="O47" s="34" t="str">
        <f aca="false">IF(D47="","",IF(OR(COUNTIF('Target &amp; Team Lists'!$J$5:$J$204,D47)&gt;0,AND(H47&lt;&gt;"",COUNTIF('Target &amp; Team Lists'!$L$5:$L$204,H47)&gt;0),ISNUMBER(SEARCH("alpha nodus",(E47&amp;" "&amp;F47))),ISNUMBER(SEARCH("alphanodus",(E47&amp;" "&amp;F47)))),"Yes","No"))</f>
        <v>No</v>
      </c>
      <c r="P47" s="34" t="str">
        <f aca="false">IF(D47="","",IF(O47="Yes","No",IF(OR(AND(F47&lt;&gt;"",COUNTIF('Target &amp; Team Lists'!$A$5:$A$504,F47)&gt;0),COUNTIF('Target &amp; Team Lists'!$E$5:$E$504,D47)&gt;0),"Yes",IF(AND(SUMPRODUCT(('Target &amp; Team Lists'!$N$5:$N$60&lt;&gt;"")*ISNUMBER(SEARCH('Target &amp; Team Lists'!$N$5:$N$60,(E47&amp;" "&amp;F47))))&gt;0,SUMPRODUCT(('Target &amp; Team Lists'!$O$5:$O$60&lt;&gt;"")*ISNUMBER(SEARCH('Target &amp; Team Lists'!$O$5:$O$60,(E47&amp;" "&amp;F47))))=0),"Yes","No"))))</f>
        <v>No</v>
      </c>
      <c r="Q47" s="31" t="s">
        <v>264</v>
      </c>
    </row>
    <row r="48" customFormat="false" ht="15" hidden="false" customHeight="false" outlineLevel="0" collapsed="false">
      <c r="A48" s="30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3" t="str">
        <f aca="false">IF(D48="","",IF(SUM(I48:L48)&gt;0,1,0))</f>
        <v/>
      </c>
      <c r="O48" s="34" t="str">
        <f aca="false">IF(D48="","",IF(OR(COUNTIF('Target &amp; Team Lists'!$J$5:$J$204,D48)&gt;0,AND(H48&lt;&gt;"",COUNTIF('Target &amp; Team Lists'!$L$5:$L$204,H48)&gt;0),ISNUMBER(SEARCH("alpha nodus",(E48&amp;" "&amp;F48))),ISNUMBER(SEARCH("alphanodus",(E48&amp;" "&amp;F48)))),"Yes","No"))</f>
        <v/>
      </c>
      <c r="P48" s="34" t="str">
        <f aca="false">IF(D48="","",IF(O48="Yes","No",IF(OR(AND(F48&lt;&gt;"",COUNTIF('Target &amp; Team Lists'!$A$5:$A$504,F48)&gt;0),COUNTIF('Target &amp; Team Lists'!$E$5:$E$504,D48)&gt;0),"Yes",IF(AND(SUMPRODUCT(('Target &amp; Team Lists'!$N$5:$N$60&lt;&gt;"")*ISNUMBER(SEARCH('Target &amp; Team Lists'!$N$5:$N$60,(E48&amp;" "&amp;F48))))&gt;0,SUMPRODUCT(('Target &amp; Team Lists'!$O$5:$O$60&lt;&gt;"")*ISNUMBER(SEARCH('Target &amp; Team Lists'!$O$5:$O$60,(E48&amp;" "&amp;F48))))=0),"Yes","No"))))</f>
        <v/>
      </c>
      <c r="Q48" s="32"/>
    </row>
    <row r="49" customFormat="false" ht="15" hidden="false" customHeight="false" outlineLevel="0" collapsed="false">
      <c r="A49" s="30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3" t="str">
        <f aca="false">IF(D49="","",IF(SUM(I49:L49)&gt;0,1,0))</f>
        <v/>
      </c>
      <c r="O49" s="34" t="str">
        <f aca="false">IF(D49="","",IF(OR(COUNTIF('Target &amp; Team Lists'!$J$5:$J$204,D49)&gt;0,AND(H49&lt;&gt;"",COUNTIF('Target &amp; Team Lists'!$L$5:$L$204,H49)&gt;0),ISNUMBER(SEARCH("alpha nodus",(E49&amp;" "&amp;F49))),ISNUMBER(SEARCH("alphanodus",(E49&amp;" "&amp;F49)))),"Yes","No"))</f>
        <v/>
      </c>
      <c r="P49" s="34" t="str">
        <f aca="false">IF(D49="","",IF(O49="Yes","No",IF(OR(AND(F49&lt;&gt;"",COUNTIF('Target &amp; Team Lists'!$A$5:$A$504,F49)&gt;0),COUNTIF('Target &amp; Team Lists'!$E$5:$E$504,D49)&gt;0),"Yes",IF(AND(SUMPRODUCT(('Target &amp; Team Lists'!$N$5:$N$60&lt;&gt;"")*ISNUMBER(SEARCH('Target &amp; Team Lists'!$N$5:$N$60,(E49&amp;" "&amp;F49))))&gt;0,SUMPRODUCT(('Target &amp; Team Lists'!$O$5:$O$60&lt;&gt;"")*ISNUMBER(SEARCH('Target &amp; Team Lists'!$O$5:$O$60,(E49&amp;" "&amp;F49))))=0),"Yes","No"))))</f>
        <v/>
      </c>
      <c r="Q49" s="32"/>
    </row>
    <row r="50" customFormat="false" ht="15" hidden="false" customHeight="false" outlineLevel="0" collapsed="false">
      <c r="A50" s="30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3" t="str">
        <f aca="false">IF(D50="","",IF(SUM(I50:L50)&gt;0,1,0))</f>
        <v/>
      </c>
      <c r="O50" s="34" t="str">
        <f aca="false">IF(D50="","",IF(OR(COUNTIF('Target &amp; Team Lists'!$J$5:$J$204,D50)&gt;0,AND(H50&lt;&gt;"",COUNTIF('Target &amp; Team Lists'!$L$5:$L$204,H50)&gt;0),ISNUMBER(SEARCH("alpha nodus",(E50&amp;" "&amp;F50))),ISNUMBER(SEARCH("alphanodus",(E50&amp;" "&amp;F50)))),"Yes","No"))</f>
        <v/>
      </c>
      <c r="P50" s="34" t="str">
        <f aca="false">IF(D50="","",IF(O50="Yes","No",IF(OR(AND(F50&lt;&gt;"",COUNTIF('Target &amp; Team Lists'!$A$5:$A$504,F50)&gt;0),COUNTIF('Target &amp; Team Lists'!$E$5:$E$504,D50)&gt;0),"Yes",IF(AND(SUMPRODUCT(('Target &amp; Team Lists'!$N$5:$N$60&lt;&gt;"")*ISNUMBER(SEARCH('Target &amp; Team Lists'!$N$5:$N$60,(E50&amp;" "&amp;F50))))&gt;0,SUMPRODUCT(('Target &amp; Team Lists'!$O$5:$O$60&lt;&gt;"")*ISNUMBER(SEARCH('Target &amp; Team Lists'!$O$5:$O$60,(E50&amp;" "&amp;F50))))=0),"Yes","No"))))</f>
        <v/>
      </c>
      <c r="Q50" s="32"/>
    </row>
    <row r="51" customFormat="false" ht="15" hidden="false" customHeight="false" outlineLevel="0" collapsed="false">
      <c r="A51" s="30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3" t="str">
        <f aca="false">IF(D51="","",IF(SUM(I51:L51)&gt;0,1,0))</f>
        <v/>
      </c>
      <c r="O51" s="34" t="str">
        <f aca="false">IF(D51="","",IF(OR(COUNTIF('Target &amp; Team Lists'!$J$5:$J$204,D51)&gt;0,AND(H51&lt;&gt;"",COUNTIF('Target &amp; Team Lists'!$L$5:$L$204,H51)&gt;0),ISNUMBER(SEARCH("alpha nodus",(E51&amp;" "&amp;F51))),ISNUMBER(SEARCH("alphanodus",(E51&amp;" "&amp;F51)))),"Yes","No"))</f>
        <v/>
      </c>
      <c r="P51" s="34" t="str">
        <f aca="false">IF(D51="","",IF(O51="Yes","No",IF(OR(AND(F51&lt;&gt;"",COUNTIF('Target &amp; Team Lists'!$A$5:$A$504,F51)&gt;0),COUNTIF('Target &amp; Team Lists'!$E$5:$E$504,D51)&gt;0),"Yes",IF(AND(SUMPRODUCT(('Target &amp; Team Lists'!$N$5:$N$60&lt;&gt;"")*ISNUMBER(SEARCH('Target &amp; Team Lists'!$N$5:$N$60,(E51&amp;" "&amp;F51))))&gt;0,SUMPRODUCT(('Target &amp; Team Lists'!$O$5:$O$60&lt;&gt;"")*ISNUMBER(SEARCH('Target &amp; Team Lists'!$O$5:$O$60,(E51&amp;" "&amp;F51))))=0),"Yes","No"))))</f>
        <v/>
      </c>
      <c r="Q51" s="32"/>
    </row>
    <row r="52" customFormat="false" ht="15" hidden="false" customHeight="false" outlineLevel="0" collapsed="false">
      <c r="A52" s="30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 t="str">
        <f aca="false">IF(D52="","",IF(SUM(I52:L52)&gt;0,1,0))</f>
        <v/>
      </c>
      <c r="O52" s="34" t="str">
        <f aca="false">IF(D52="","",IF(OR(COUNTIF('Target &amp; Team Lists'!$J$5:$J$204,D52)&gt;0,AND(H52&lt;&gt;"",COUNTIF('Target &amp; Team Lists'!$L$5:$L$204,H52)&gt;0),ISNUMBER(SEARCH("alpha nodus",(E52&amp;" "&amp;F52))),ISNUMBER(SEARCH("alphanodus",(E52&amp;" "&amp;F52)))),"Yes","No"))</f>
        <v/>
      </c>
      <c r="P52" s="34" t="str">
        <f aca="false">IF(D52="","",IF(O52="Yes","No",IF(OR(AND(F52&lt;&gt;"",COUNTIF('Target &amp; Team Lists'!$A$5:$A$504,F52)&gt;0),COUNTIF('Target &amp; Team Lists'!$E$5:$E$504,D52)&gt;0),"Yes",IF(AND(SUMPRODUCT(('Target &amp; Team Lists'!$N$5:$N$60&lt;&gt;"")*ISNUMBER(SEARCH('Target &amp; Team Lists'!$N$5:$N$60,(E52&amp;" "&amp;F52))))&gt;0,SUMPRODUCT(('Target &amp; Team Lists'!$O$5:$O$60&lt;&gt;"")*ISNUMBER(SEARCH('Target &amp; Team Lists'!$O$5:$O$60,(E52&amp;" "&amp;F52))))=0),"Yes","No"))))</f>
        <v/>
      </c>
      <c r="Q52" s="32"/>
    </row>
    <row r="53" customFormat="false" ht="15" hidden="false" customHeight="false" outlineLevel="0" collapsed="false">
      <c r="A53" s="30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3" t="str">
        <f aca="false">IF(D53="","",IF(SUM(I53:L53)&gt;0,1,0))</f>
        <v/>
      </c>
      <c r="O53" s="34" t="str">
        <f aca="false">IF(D53="","",IF(OR(COUNTIF('Target &amp; Team Lists'!$J$5:$J$204,D53)&gt;0,AND(H53&lt;&gt;"",COUNTIF('Target &amp; Team Lists'!$L$5:$L$204,H53)&gt;0),ISNUMBER(SEARCH("alpha nodus",(E53&amp;" "&amp;F53))),ISNUMBER(SEARCH("alphanodus",(E53&amp;" "&amp;F53)))),"Yes","No"))</f>
        <v/>
      </c>
      <c r="P53" s="34" t="str">
        <f aca="false">IF(D53="","",IF(O53="Yes","No",IF(OR(AND(F53&lt;&gt;"",COUNTIF('Target &amp; Team Lists'!$A$5:$A$504,F53)&gt;0),COUNTIF('Target &amp; Team Lists'!$E$5:$E$504,D53)&gt;0),"Yes",IF(AND(SUMPRODUCT(('Target &amp; Team Lists'!$N$5:$N$60&lt;&gt;"")*ISNUMBER(SEARCH('Target &amp; Team Lists'!$N$5:$N$60,(E53&amp;" "&amp;F53))))&gt;0,SUMPRODUCT(('Target &amp; Team Lists'!$O$5:$O$60&lt;&gt;"")*ISNUMBER(SEARCH('Target &amp; Team Lists'!$O$5:$O$60,(E53&amp;" "&amp;F53))))=0),"Yes","No"))))</f>
        <v/>
      </c>
      <c r="Q53" s="32"/>
    </row>
    <row r="54" customFormat="false" ht="15" hidden="false" customHeight="false" outlineLevel="0" collapsed="false">
      <c r="A54" s="30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3" t="str">
        <f aca="false">IF(D54="","",IF(SUM(I54:L54)&gt;0,1,0))</f>
        <v/>
      </c>
      <c r="O54" s="34" t="str">
        <f aca="false">IF(D54="","",IF(OR(COUNTIF('Target &amp; Team Lists'!$J$5:$J$204,D54)&gt;0,AND(H54&lt;&gt;"",COUNTIF('Target &amp; Team Lists'!$L$5:$L$204,H54)&gt;0),ISNUMBER(SEARCH("alpha nodus",(E54&amp;" "&amp;F54))),ISNUMBER(SEARCH("alphanodus",(E54&amp;" "&amp;F54)))),"Yes","No"))</f>
        <v/>
      </c>
      <c r="P54" s="34" t="str">
        <f aca="false">IF(D54="","",IF(O54="Yes","No",IF(OR(AND(F54&lt;&gt;"",COUNTIF('Target &amp; Team Lists'!$A$5:$A$504,F54)&gt;0),COUNTIF('Target &amp; Team Lists'!$E$5:$E$504,D54)&gt;0),"Yes",IF(AND(SUMPRODUCT(('Target &amp; Team Lists'!$N$5:$N$60&lt;&gt;"")*ISNUMBER(SEARCH('Target &amp; Team Lists'!$N$5:$N$60,(E54&amp;" "&amp;F54))))&gt;0,SUMPRODUCT(('Target &amp; Team Lists'!$O$5:$O$60&lt;&gt;"")*ISNUMBER(SEARCH('Target &amp; Team Lists'!$O$5:$O$60,(E54&amp;" "&amp;F54))))=0),"Yes","No"))))</f>
        <v/>
      </c>
      <c r="Q54" s="32"/>
    </row>
    <row r="55" customFormat="false" ht="15" hidden="false" customHeight="false" outlineLevel="0" collapsed="false">
      <c r="A55" s="30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3" t="str">
        <f aca="false">IF(D55="","",IF(SUM(I55:L55)&gt;0,1,0))</f>
        <v/>
      </c>
      <c r="O55" s="34" t="str">
        <f aca="false">IF(D55="","",IF(OR(COUNTIF('Target &amp; Team Lists'!$J$5:$J$204,D55)&gt;0,AND(H55&lt;&gt;"",COUNTIF('Target &amp; Team Lists'!$L$5:$L$204,H55)&gt;0),ISNUMBER(SEARCH("alpha nodus",(E55&amp;" "&amp;F55))),ISNUMBER(SEARCH("alphanodus",(E55&amp;" "&amp;F55)))),"Yes","No"))</f>
        <v/>
      </c>
      <c r="P55" s="34" t="str">
        <f aca="false">IF(D55="","",IF(O55="Yes","No",IF(OR(AND(F55&lt;&gt;"",COUNTIF('Target &amp; Team Lists'!$A$5:$A$504,F55)&gt;0),COUNTIF('Target &amp; Team Lists'!$E$5:$E$504,D55)&gt;0),"Yes",IF(AND(SUMPRODUCT(('Target &amp; Team Lists'!$N$5:$N$60&lt;&gt;"")*ISNUMBER(SEARCH('Target &amp; Team Lists'!$N$5:$N$60,(E55&amp;" "&amp;F55))))&gt;0,SUMPRODUCT(('Target &amp; Team Lists'!$O$5:$O$60&lt;&gt;"")*ISNUMBER(SEARCH('Target &amp; Team Lists'!$O$5:$O$60,(E55&amp;" "&amp;F55))))=0),"Yes","No"))))</f>
        <v/>
      </c>
      <c r="Q55" s="32"/>
    </row>
    <row r="56" customFormat="false" ht="15" hidden="false" customHeight="false" outlineLevel="0" collapsed="false">
      <c r="A56" s="30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3" t="str">
        <f aca="false">IF(D56="","",IF(SUM(I56:L56)&gt;0,1,0))</f>
        <v/>
      </c>
      <c r="O56" s="34" t="str">
        <f aca="false">IF(D56="","",IF(OR(COUNTIF('Target &amp; Team Lists'!$J$5:$J$204,D56)&gt;0,AND(H56&lt;&gt;"",COUNTIF('Target &amp; Team Lists'!$L$5:$L$204,H56)&gt;0),ISNUMBER(SEARCH("alpha nodus",(E56&amp;" "&amp;F56))),ISNUMBER(SEARCH("alphanodus",(E56&amp;" "&amp;F56)))),"Yes","No"))</f>
        <v/>
      </c>
      <c r="P56" s="34" t="str">
        <f aca="false">IF(D56="","",IF(O56="Yes","No",IF(OR(AND(F56&lt;&gt;"",COUNTIF('Target &amp; Team Lists'!$A$5:$A$504,F56)&gt;0),COUNTIF('Target &amp; Team Lists'!$E$5:$E$504,D56)&gt;0),"Yes",IF(AND(SUMPRODUCT(('Target &amp; Team Lists'!$N$5:$N$60&lt;&gt;"")*ISNUMBER(SEARCH('Target &amp; Team Lists'!$N$5:$N$60,(E56&amp;" "&amp;F56))))&gt;0,SUMPRODUCT(('Target &amp; Team Lists'!$O$5:$O$60&lt;&gt;"")*ISNUMBER(SEARCH('Target &amp; Team Lists'!$O$5:$O$60,(E56&amp;" "&amp;F56))))=0),"Yes","No"))))</f>
        <v/>
      </c>
      <c r="Q56" s="32"/>
    </row>
    <row r="57" customFormat="false" ht="15" hidden="false" customHeight="false" outlineLevel="0" collapsed="false">
      <c r="A57" s="30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3" t="str">
        <f aca="false">IF(D57="","",IF(SUM(I57:L57)&gt;0,1,0))</f>
        <v/>
      </c>
      <c r="O57" s="34" t="str">
        <f aca="false">IF(D57="","",IF(OR(COUNTIF('Target &amp; Team Lists'!$J$5:$J$204,D57)&gt;0,AND(H57&lt;&gt;"",COUNTIF('Target &amp; Team Lists'!$L$5:$L$204,H57)&gt;0),ISNUMBER(SEARCH("alpha nodus",(E57&amp;" "&amp;F57))),ISNUMBER(SEARCH("alphanodus",(E57&amp;" "&amp;F57)))),"Yes","No"))</f>
        <v/>
      </c>
      <c r="P57" s="34" t="str">
        <f aca="false">IF(D57="","",IF(O57="Yes","No",IF(OR(AND(F57&lt;&gt;"",COUNTIF('Target &amp; Team Lists'!$A$5:$A$504,F57)&gt;0),COUNTIF('Target &amp; Team Lists'!$E$5:$E$504,D57)&gt;0),"Yes",IF(AND(SUMPRODUCT(('Target &amp; Team Lists'!$N$5:$N$60&lt;&gt;"")*ISNUMBER(SEARCH('Target &amp; Team Lists'!$N$5:$N$60,(E57&amp;" "&amp;F57))))&gt;0,SUMPRODUCT(('Target &amp; Team Lists'!$O$5:$O$60&lt;&gt;"")*ISNUMBER(SEARCH('Target &amp; Team Lists'!$O$5:$O$60,(E57&amp;" "&amp;F57))))=0),"Yes","No"))))</f>
        <v/>
      </c>
      <c r="Q57" s="32"/>
    </row>
    <row r="58" customFormat="false" ht="15" hidden="false" customHeight="false" outlineLevel="0" collapsed="false">
      <c r="A58" s="30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3" t="str">
        <f aca="false">IF(D58="","",IF(SUM(I58:L58)&gt;0,1,0))</f>
        <v/>
      </c>
      <c r="O58" s="34" t="str">
        <f aca="false">IF(D58="","",IF(OR(COUNTIF('Target &amp; Team Lists'!$J$5:$J$204,D58)&gt;0,AND(H58&lt;&gt;"",COUNTIF('Target &amp; Team Lists'!$L$5:$L$204,H58)&gt;0),ISNUMBER(SEARCH("alpha nodus",(E58&amp;" "&amp;F58))),ISNUMBER(SEARCH("alphanodus",(E58&amp;" "&amp;F58)))),"Yes","No"))</f>
        <v/>
      </c>
      <c r="P58" s="34" t="str">
        <f aca="false">IF(D58="","",IF(O58="Yes","No",IF(OR(AND(F58&lt;&gt;"",COUNTIF('Target &amp; Team Lists'!$A$5:$A$504,F58)&gt;0),COUNTIF('Target &amp; Team Lists'!$E$5:$E$504,D58)&gt;0),"Yes",IF(AND(SUMPRODUCT(('Target &amp; Team Lists'!$N$5:$N$60&lt;&gt;"")*ISNUMBER(SEARCH('Target &amp; Team Lists'!$N$5:$N$60,(E58&amp;" "&amp;F58))))&gt;0,SUMPRODUCT(('Target &amp; Team Lists'!$O$5:$O$60&lt;&gt;"")*ISNUMBER(SEARCH('Target &amp; Team Lists'!$O$5:$O$60,(E58&amp;" "&amp;F58))))=0),"Yes","No"))))</f>
        <v/>
      </c>
      <c r="Q58" s="32"/>
    </row>
    <row r="59" customFormat="false" ht="15" hidden="false" customHeight="false" outlineLevel="0" collapsed="false">
      <c r="A59" s="30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3" t="str">
        <f aca="false">IF(D59="","",IF(SUM(I59:L59)&gt;0,1,0))</f>
        <v/>
      </c>
      <c r="O59" s="34" t="str">
        <f aca="false">IF(D59="","",IF(OR(COUNTIF('Target &amp; Team Lists'!$J$5:$J$204,D59)&gt;0,AND(H59&lt;&gt;"",COUNTIF('Target &amp; Team Lists'!$L$5:$L$204,H59)&gt;0),ISNUMBER(SEARCH("alpha nodus",(E59&amp;" "&amp;F59))),ISNUMBER(SEARCH("alphanodus",(E59&amp;" "&amp;F59)))),"Yes","No"))</f>
        <v/>
      </c>
      <c r="P59" s="34" t="str">
        <f aca="false">IF(D59="","",IF(O59="Yes","No",IF(OR(AND(F59&lt;&gt;"",COUNTIF('Target &amp; Team Lists'!$A$5:$A$504,F59)&gt;0),COUNTIF('Target &amp; Team Lists'!$E$5:$E$504,D59)&gt;0),"Yes",IF(AND(SUMPRODUCT(('Target &amp; Team Lists'!$N$5:$N$60&lt;&gt;"")*ISNUMBER(SEARCH('Target &amp; Team Lists'!$N$5:$N$60,(E59&amp;" "&amp;F59))))&gt;0,SUMPRODUCT(('Target &amp; Team Lists'!$O$5:$O$60&lt;&gt;"")*ISNUMBER(SEARCH('Target &amp; Team Lists'!$O$5:$O$60,(E59&amp;" "&amp;F59))))=0),"Yes","No"))))</f>
        <v/>
      </c>
      <c r="Q59" s="32"/>
    </row>
    <row r="60" customFormat="false" ht="15" hidden="false" customHeight="false" outlineLevel="0" collapsed="false">
      <c r="A60" s="30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3" t="str">
        <f aca="false">IF(D60="","",IF(SUM(I60:L60)&gt;0,1,0))</f>
        <v/>
      </c>
      <c r="O60" s="34" t="str">
        <f aca="false">IF(D60="","",IF(OR(COUNTIF('Target &amp; Team Lists'!$J$5:$J$204,D60)&gt;0,AND(H60&lt;&gt;"",COUNTIF('Target &amp; Team Lists'!$L$5:$L$204,H60)&gt;0),ISNUMBER(SEARCH("alpha nodus",(E60&amp;" "&amp;F60))),ISNUMBER(SEARCH("alphanodus",(E60&amp;" "&amp;F60)))),"Yes","No"))</f>
        <v/>
      </c>
      <c r="P60" s="34" t="str">
        <f aca="false">IF(D60="","",IF(O60="Yes","No",IF(OR(AND(F60&lt;&gt;"",COUNTIF('Target &amp; Team Lists'!$A$5:$A$504,F60)&gt;0),COUNTIF('Target &amp; Team Lists'!$E$5:$E$504,D60)&gt;0),"Yes",IF(AND(SUMPRODUCT(('Target &amp; Team Lists'!$N$5:$N$60&lt;&gt;"")*ISNUMBER(SEARCH('Target &amp; Team Lists'!$N$5:$N$60,(E60&amp;" "&amp;F60))))&gt;0,SUMPRODUCT(('Target &amp; Team Lists'!$O$5:$O$60&lt;&gt;"")*ISNUMBER(SEARCH('Target &amp; Team Lists'!$O$5:$O$60,(E60&amp;" "&amp;F60))))=0),"Yes","No"))))</f>
        <v/>
      </c>
      <c r="Q60" s="32"/>
    </row>
    <row r="61" customFormat="false" ht="15" hidden="false" customHeight="false" outlineLevel="0" collapsed="false">
      <c r="A61" s="30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3" t="str">
        <f aca="false">IF(D61="","",IF(SUM(I61:L61)&gt;0,1,0))</f>
        <v/>
      </c>
      <c r="O61" s="34" t="str">
        <f aca="false">IF(D61="","",IF(OR(COUNTIF('Target &amp; Team Lists'!$J$5:$J$204,D61)&gt;0,AND(H61&lt;&gt;"",COUNTIF('Target &amp; Team Lists'!$L$5:$L$204,H61)&gt;0),ISNUMBER(SEARCH("alpha nodus",(E61&amp;" "&amp;F61))),ISNUMBER(SEARCH("alphanodus",(E61&amp;" "&amp;F61)))),"Yes","No"))</f>
        <v/>
      </c>
      <c r="P61" s="34" t="str">
        <f aca="false">IF(D61="","",IF(O61="Yes","No",IF(OR(AND(F61&lt;&gt;"",COUNTIF('Target &amp; Team Lists'!$A$5:$A$504,F61)&gt;0),COUNTIF('Target &amp; Team Lists'!$E$5:$E$504,D61)&gt;0),"Yes",IF(AND(SUMPRODUCT(('Target &amp; Team Lists'!$N$5:$N$60&lt;&gt;"")*ISNUMBER(SEARCH('Target &amp; Team Lists'!$N$5:$N$60,(E61&amp;" "&amp;F61))))&gt;0,SUMPRODUCT(('Target &amp; Team Lists'!$O$5:$O$60&lt;&gt;"")*ISNUMBER(SEARCH('Target &amp; Team Lists'!$O$5:$O$60,(E61&amp;" "&amp;F61))))=0),"Yes","No"))))</f>
        <v/>
      </c>
      <c r="Q61" s="32"/>
    </row>
    <row r="62" customFormat="false" ht="15" hidden="false" customHeight="false" outlineLevel="0" collapsed="false">
      <c r="A62" s="30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3" t="str">
        <f aca="false">IF(D62="","",IF(SUM(I62:L62)&gt;0,1,0))</f>
        <v/>
      </c>
      <c r="O62" s="34" t="str">
        <f aca="false">IF(D62="","",IF(OR(COUNTIF('Target &amp; Team Lists'!$J$5:$J$204,D62)&gt;0,AND(H62&lt;&gt;"",COUNTIF('Target &amp; Team Lists'!$L$5:$L$204,H62)&gt;0),ISNUMBER(SEARCH("alpha nodus",(E62&amp;" "&amp;F62))),ISNUMBER(SEARCH("alphanodus",(E62&amp;" "&amp;F62)))),"Yes","No"))</f>
        <v/>
      </c>
      <c r="P62" s="34" t="str">
        <f aca="false">IF(D62="","",IF(O62="Yes","No",IF(OR(AND(F62&lt;&gt;"",COUNTIF('Target &amp; Team Lists'!$A$5:$A$504,F62)&gt;0),COUNTIF('Target &amp; Team Lists'!$E$5:$E$504,D62)&gt;0),"Yes",IF(AND(SUMPRODUCT(('Target &amp; Team Lists'!$N$5:$N$60&lt;&gt;"")*ISNUMBER(SEARCH('Target &amp; Team Lists'!$N$5:$N$60,(E62&amp;" "&amp;F62))))&gt;0,SUMPRODUCT(('Target &amp; Team Lists'!$O$5:$O$60&lt;&gt;"")*ISNUMBER(SEARCH('Target &amp; Team Lists'!$O$5:$O$60,(E62&amp;" "&amp;F62))))=0),"Yes","No"))))</f>
        <v/>
      </c>
      <c r="Q62" s="32"/>
    </row>
    <row r="63" customFormat="false" ht="15" hidden="false" customHeight="false" outlineLevel="0" collapsed="false">
      <c r="A63" s="30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3" t="str">
        <f aca="false">IF(D63="","",IF(SUM(I63:L63)&gt;0,1,0))</f>
        <v/>
      </c>
      <c r="O63" s="34" t="str">
        <f aca="false">IF(D63="","",IF(OR(COUNTIF('Target &amp; Team Lists'!$J$5:$J$204,D63)&gt;0,AND(H63&lt;&gt;"",COUNTIF('Target &amp; Team Lists'!$L$5:$L$204,H63)&gt;0),ISNUMBER(SEARCH("alpha nodus",(E63&amp;" "&amp;F63))),ISNUMBER(SEARCH("alphanodus",(E63&amp;" "&amp;F63)))),"Yes","No"))</f>
        <v/>
      </c>
      <c r="P63" s="34" t="str">
        <f aca="false">IF(D63="","",IF(O63="Yes","No",IF(OR(AND(F63&lt;&gt;"",COUNTIF('Target &amp; Team Lists'!$A$5:$A$504,F63)&gt;0),COUNTIF('Target &amp; Team Lists'!$E$5:$E$504,D63)&gt;0),"Yes",IF(AND(SUMPRODUCT(('Target &amp; Team Lists'!$N$5:$N$60&lt;&gt;"")*ISNUMBER(SEARCH('Target &amp; Team Lists'!$N$5:$N$60,(E63&amp;" "&amp;F63))))&gt;0,SUMPRODUCT(('Target &amp; Team Lists'!$O$5:$O$60&lt;&gt;"")*ISNUMBER(SEARCH('Target &amp; Team Lists'!$O$5:$O$60,(E63&amp;" "&amp;F63))))=0),"Yes","No"))))</f>
        <v/>
      </c>
      <c r="Q63" s="32"/>
    </row>
    <row r="64" customFormat="false" ht="15" hidden="false" customHeight="false" outlineLevel="0" collapsed="false">
      <c r="A64" s="30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3" t="str">
        <f aca="false">IF(D64="","",IF(SUM(I64:L64)&gt;0,1,0))</f>
        <v/>
      </c>
      <c r="O64" s="34" t="str">
        <f aca="false">IF(D64="","",IF(OR(COUNTIF('Target &amp; Team Lists'!$J$5:$J$204,D64)&gt;0,AND(H64&lt;&gt;"",COUNTIF('Target &amp; Team Lists'!$L$5:$L$204,H64)&gt;0),ISNUMBER(SEARCH("alpha nodus",(E64&amp;" "&amp;F64))),ISNUMBER(SEARCH("alphanodus",(E64&amp;" "&amp;F64)))),"Yes","No"))</f>
        <v/>
      </c>
      <c r="P64" s="34" t="str">
        <f aca="false">IF(D64="","",IF(O64="Yes","No",IF(OR(AND(F64&lt;&gt;"",COUNTIF('Target &amp; Team Lists'!$A$5:$A$504,F64)&gt;0),COUNTIF('Target &amp; Team Lists'!$E$5:$E$504,D64)&gt;0),"Yes",IF(AND(SUMPRODUCT(('Target &amp; Team Lists'!$N$5:$N$60&lt;&gt;"")*ISNUMBER(SEARCH('Target &amp; Team Lists'!$N$5:$N$60,(E64&amp;" "&amp;F64))))&gt;0,SUMPRODUCT(('Target &amp; Team Lists'!$O$5:$O$60&lt;&gt;"")*ISNUMBER(SEARCH('Target &amp; Team Lists'!$O$5:$O$60,(E64&amp;" "&amp;F64))))=0),"Yes","No"))))</f>
        <v/>
      </c>
      <c r="Q64" s="32"/>
    </row>
    <row r="65" customFormat="false" ht="15" hidden="false" customHeight="false" outlineLevel="0" collapsed="false">
      <c r="A65" s="30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3" t="str">
        <f aca="false">IF(D65="","",IF(SUM(I65:L65)&gt;0,1,0))</f>
        <v/>
      </c>
      <c r="O65" s="34" t="str">
        <f aca="false">IF(D65="","",IF(OR(COUNTIF('Target &amp; Team Lists'!$J$5:$J$204,D65)&gt;0,AND(H65&lt;&gt;"",COUNTIF('Target &amp; Team Lists'!$L$5:$L$204,H65)&gt;0),ISNUMBER(SEARCH("alpha nodus",(E65&amp;" "&amp;F65))),ISNUMBER(SEARCH("alphanodus",(E65&amp;" "&amp;F65)))),"Yes","No"))</f>
        <v/>
      </c>
      <c r="P65" s="34" t="str">
        <f aca="false">IF(D65="","",IF(O65="Yes","No",IF(OR(AND(F65&lt;&gt;"",COUNTIF('Target &amp; Team Lists'!$A$5:$A$504,F65)&gt;0),COUNTIF('Target &amp; Team Lists'!$E$5:$E$504,D65)&gt;0),"Yes",IF(AND(SUMPRODUCT(('Target &amp; Team Lists'!$N$5:$N$60&lt;&gt;"")*ISNUMBER(SEARCH('Target &amp; Team Lists'!$N$5:$N$60,(E65&amp;" "&amp;F65))))&gt;0,SUMPRODUCT(('Target &amp; Team Lists'!$O$5:$O$60&lt;&gt;"")*ISNUMBER(SEARCH('Target &amp; Team Lists'!$O$5:$O$60,(E65&amp;" "&amp;F65))))=0),"Yes","No"))))</f>
        <v/>
      </c>
      <c r="Q65" s="32"/>
    </row>
    <row r="66" customFormat="false" ht="15" hidden="false" customHeight="false" outlineLevel="0" collapsed="false">
      <c r="A66" s="30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3" t="str">
        <f aca="false">IF(D66="","",IF(SUM(I66:L66)&gt;0,1,0))</f>
        <v/>
      </c>
      <c r="O66" s="34" t="str">
        <f aca="false">IF(D66="","",IF(OR(COUNTIF('Target &amp; Team Lists'!$J$5:$J$204,D66)&gt;0,AND(H66&lt;&gt;"",COUNTIF('Target &amp; Team Lists'!$L$5:$L$204,H66)&gt;0),ISNUMBER(SEARCH("alpha nodus",(E66&amp;" "&amp;F66))),ISNUMBER(SEARCH("alphanodus",(E66&amp;" "&amp;F66)))),"Yes","No"))</f>
        <v/>
      </c>
      <c r="P66" s="34" t="str">
        <f aca="false">IF(D66="","",IF(O66="Yes","No",IF(OR(AND(F66&lt;&gt;"",COUNTIF('Target &amp; Team Lists'!$A$5:$A$504,F66)&gt;0),COUNTIF('Target &amp; Team Lists'!$E$5:$E$504,D66)&gt;0),"Yes",IF(AND(SUMPRODUCT(('Target &amp; Team Lists'!$N$5:$N$60&lt;&gt;"")*ISNUMBER(SEARCH('Target &amp; Team Lists'!$N$5:$N$60,(E66&amp;" "&amp;F66))))&gt;0,SUMPRODUCT(('Target &amp; Team Lists'!$O$5:$O$60&lt;&gt;"")*ISNUMBER(SEARCH('Target &amp; Team Lists'!$O$5:$O$60,(E66&amp;" "&amp;F66))))=0),"Yes","No"))))</f>
        <v/>
      </c>
      <c r="Q66" s="32"/>
    </row>
    <row r="67" customFormat="false" ht="15" hidden="false" customHeight="false" outlineLevel="0" collapsed="false">
      <c r="A67" s="30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3" t="str">
        <f aca="false">IF(D67="","",IF(SUM(I67:L67)&gt;0,1,0))</f>
        <v/>
      </c>
      <c r="O67" s="34" t="str">
        <f aca="false">IF(D67="","",IF(OR(COUNTIF('Target &amp; Team Lists'!$J$5:$J$204,D67)&gt;0,AND(H67&lt;&gt;"",COUNTIF('Target &amp; Team Lists'!$L$5:$L$204,H67)&gt;0),ISNUMBER(SEARCH("alpha nodus",(E67&amp;" "&amp;F67))),ISNUMBER(SEARCH("alphanodus",(E67&amp;" "&amp;F67)))),"Yes","No"))</f>
        <v/>
      </c>
      <c r="P67" s="34" t="str">
        <f aca="false">IF(D67="","",IF(O67="Yes","No",IF(OR(AND(F67&lt;&gt;"",COUNTIF('Target &amp; Team Lists'!$A$5:$A$504,F67)&gt;0),COUNTIF('Target &amp; Team Lists'!$E$5:$E$504,D67)&gt;0),"Yes",IF(AND(SUMPRODUCT(('Target &amp; Team Lists'!$N$5:$N$60&lt;&gt;"")*ISNUMBER(SEARCH('Target &amp; Team Lists'!$N$5:$N$60,(E67&amp;" "&amp;F67))))&gt;0,SUMPRODUCT(('Target &amp; Team Lists'!$O$5:$O$60&lt;&gt;"")*ISNUMBER(SEARCH('Target &amp; Team Lists'!$O$5:$O$60,(E67&amp;" "&amp;F67))))=0),"Yes","No"))))</f>
        <v/>
      </c>
      <c r="Q67" s="32"/>
    </row>
    <row r="68" customFormat="false" ht="15" hidden="false" customHeight="false" outlineLevel="0" collapsed="false">
      <c r="A68" s="30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3" t="str">
        <f aca="false">IF(D68="","",IF(SUM(I68:L68)&gt;0,1,0))</f>
        <v/>
      </c>
      <c r="O68" s="34" t="str">
        <f aca="false">IF(D68="","",IF(OR(COUNTIF('Target &amp; Team Lists'!$J$5:$J$204,D68)&gt;0,AND(H68&lt;&gt;"",COUNTIF('Target &amp; Team Lists'!$L$5:$L$204,H68)&gt;0),ISNUMBER(SEARCH("alpha nodus",(E68&amp;" "&amp;F68))),ISNUMBER(SEARCH("alphanodus",(E68&amp;" "&amp;F68)))),"Yes","No"))</f>
        <v/>
      </c>
      <c r="P68" s="34" t="str">
        <f aca="false">IF(D68="","",IF(O68="Yes","No",IF(OR(AND(F68&lt;&gt;"",COUNTIF('Target &amp; Team Lists'!$A$5:$A$504,F68)&gt;0),COUNTIF('Target &amp; Team Lists'!$E$5:$E$504,D68)&gt;0),"Yes",IF(AND(SUMPRODUCT(('Target &amp; Team Lists'!$N$5:$N$60&lt;&gt;"")*ISNUMBER(SEARCH('Target &amp; Team Lists'!$N$5:$N$60,(E68&amp;" "&amp;F68))))&gt;0,SUMPRODUCT(('Target &amp; Team Lists'!$O$5:$O$60&lt;&gt;"")*ISNUMBER(SEARCH('Target &amp; Team Lists'!$O$5:$O$60,(E68&amp;" "&amp;F68))))=0),"Yes","No"))))</f>
        <v/>
      </c>
      <c r="Q68" s="32"/>
    </row>
    <row r="69" customFormat="false" ht="15" hidden="false" customHeight="false" outlineLevel="0" collapsed="false">
      <c r="A69" s="30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3" t="str">
        <f aca="false">IF(D69="","",IF(SUM(I69:L69)&gt;0,1,0))</f>
        <v/>
      </c>
      <c r="O69" s="34" t="str">
        <f aca="false">IF(D69="","",IF(OR(COUNTIF('Target &amp; Team Lists'!$J$5:$J$204,D69)&gt;0,AND(H69&lt;&gt;"",COUNTIF('Target &amp; Team Lists'!$L$5:$L$204,H69)&gt;0),ISNUMBER(SEARCH("alpha nodus",(E69&amp;" "&amp;F69))),ISNUMBER(SEARCH("alphanodus",(E69&amp;" "&amp;F69)))),"Yes","No"))</f>
        <v/>
      </c>
      <c r="P69" s="34" t="str">
        <f aca="false">IF(D69="","",IF(O69="Yes","No",IF(OR(AND(F69&lt;&gt;"",COUNTIF('Target &amp; Team Lists'!$A$5:$A$504,F69)&gt;0),COUNTIF('Target &amp; Team Lists'!$E$5:$E$504,D69)&gt;0),"Yes",IF(AND(SUMPRODUCT(('Target &amp; Team Lists'!$N$5:$N$60&lt;&gt;"")*ISNUMBER(SEARCH('Target &amp; Team Lists'!$N$5:$N$60,(E69&amp;" "&amp;F69))))&gt;0,SUMPRODUCT(('Target &amp; Team Lists'!$O$5:$O$60&lt;&gt;"")*ISNUMBER(SEARCH('Target &amp; Team Lists'!$O$5:$O$60,(E69&amp;" "&amp;F69))))=0),"Yes","No"))))</f>
        <v/>
      </c>
      <c r="Q69" s="32"/>
    </row>
    <row r="70" customFormat="false" ht="15" hidden="false" customHeight="false" outlineLevel="0" collapsed="false">
      <c r="A70" s="30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3" t="str">
        <f aca="false">IF(D70="","",IF(SUM(I70:L70)&gt;0,1,0))</f>
        <v/>
      </c>
      <c r="O70" s="34" t="str">
        <f aca="false">IF(D70="","",IF(OR(COUNTIF('Target &amp; Team Lists'!$J$5:$J$204,D70)&gt;0,AND(H70&lt;&gt;"",COUNTIF('Target &amp; Team Lists'!$L$5:$L$204,H70)&gt;0),ISNUMBER(SEARCH("alpha nodus",(E70&amp;" "&amp;F70))),ISNUMBER(SEARCH("alphanodus",(E70&amp;" "&amp;F70)))),"Yes","No"))</f>
        <v/>
      </c>
      <c r="P70" s="34" t="str">
        <f aca="false">IF(D70="","",IF(O70="Yes","No",IF(OR(AND(F70&lt;&gt;"",COUNTIF('Target &amp; Team Lists'!$A$5:$A$504,F70)&gt;0),COUNTIF('Target &amp; Team Lists'!$E$5:$E$504,D70)&gt;0),"Yes",IF(AND(SUMPRODUCT(('Target &amp; Team Lists'!$N$5:$N$60&lt;&gt;"")*ISNUMBER(SEARCH('Target &amp; Team Lists'!$N$5:$N$60,(E70&amp;" "&amp;F70))))&gt;0,SUMPRODUCT(('Target &amp; Team Lists'!$O$5:$O$60&lt;&gt;"")*ISNUMBER(SEARCH('Target &amp; Team Lists'!$O$5:$O$60,(E70&amp;" "&amp;F70))))=0),"Yes","No"))))</f>
        <v/>
      </c>
      <c r="Q70" s="32"/>
    </row>
    <row r="71" customFormat="false" ht="15" hidden="false" customHeight="false" outlineLevel="0" collapsed="false">
      <c r="A71" s="30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3" t="str">
        <f aca="false">IF(D71="","",IF(SUM(I71:L71)&gt;0,1,0))</f>
        <v/>
      </c>
      <c r="O71" s="34" t="str">
        <f aca="false">IF(D71="","",IF(OR(COUNTIF('Target &amp; Team Lists'!$J$5:$J$204,D71)&gt;0,AND(H71&lt;&gt;"",COUNTIF('Target &amp; Team Lists'!$L$5:$L$204,H71)&gt;0),ISNUMBER(SEARCH("alpha nodus",(E71&amp;" "&amp;F71))),ISNUMBER(SEARCH("alphanodus",(E71&amp;" "&amp;F71)))),"Yes","No"))</f>
        <v/>
      </c>
      <c r="P71" s="34" t="str">
        <f aca="false">IF(D71="","",IF(O71="Yes","No",IF(OR(AND(F71&lt;&gt;"",COUNTIF('Target &amp; Team Lists'!$A$5:$A$504,F71)&gt;0),COUNTIF('Target &amp; Team Lists'!$E$5:$E$504,D71)&gt;0),"Yes",IF(AND(SUMPRODUCT(('Target &amp; Team Lists'!$N$5:$N$60&lt;&gt;"")*ISNUMBER(SEARCH('Target &amp; Team Lists'!$N$5:$N$60,(E71&amp;" "&amp;F71))))&gt;0,SUMPRODUCT(('Target &amp; Team Lists'!$O$5:$O$60&lt;&gt;"")*ISNUMBER(SEARCH('Target &amp; Team Lists'!$O$5:$O$60,(E71&amp;" "&amp;F71))))=0),"Yes","No"))))</f>
        <v/>
      </c>
      <c r="Q71" s="32"/>
    </row>
    <row r="72" customFormat="false" ht="15" hidden="false" customHeight="false" outlineLevel="0" collapsed="false">
      <c r="A72" s="30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3" t="str">
        <f aca="false">IF(D72="","",IF(SUM(I72:L72)&gt;0,1,0))</f>
        <v/>
      </c>
      <c r="O72" s="34" t="str">
        <f aca="false">IF(D72="","",IF(OR(COUNTIF('Target &amp; Team Lists'!$J$5:$J$204,D72)&gt;0,AND(H72&lt;&gt;"",COUNTIF('Target &amp; Team Lists'!$L$5:$L$204,H72)&gt;0),ISNUMBER(SEARCH("alpha nodus",(E72&amp;" "&amp;F72))),ISNUMBER(SEARCH("alphanodus",(E72&amp;" "&amp;F72)))),"Yes","No"))</f>
        <v/>
      </c>
      <c r="P72" s="34" t="str">
        <f aca="false">IF(D72="","",IF(O72="Yes","No",IF(OR(AND(F72&lt;&gt;"",COUNTIF('Target &amp; Team Lists'!$A$5:$A$504,F72)&gt;0),COUNTIF('Target &amp; Team Lists'!$E$5:$E$504,D72)&gt;0),"Yes",IF(AND(SUMPRODUCT(('Target &amp; Team Lists'!$N$5:$N$60&lt;&gt;"")*ISNUMBER(SEARCH('Target &amp; Team Lists'!$N$5:$N$60,(E72&amp;" "&amp;F72))))&gt;0,SUMPRODUCT(('Target &amp; Team Lists'!$O$5:$O$60&lt;&gt;"")*ISNUMBER(SEARCH('Target &amp; Team Lists'!$O$5:$O$60,(E72&amp;" "&amp;F72))))=0),"Yes","No"))))</f>
        <v/>
      </c>
      <c r="Q72" s="32"/>
    </row>
    <row r="73" customFormat="false" ht="15" hidden="false" customHeight="false" outlineLevel="0" collapsed="false">
      <c r="A73" s="30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3" t="str">
        <f aca="false">IF(D73="","",IF(SUM(I73:L73)&gt;0,1,0))</f>
        <v/>
      </c>
      <c r="O73" s="34" t="str">
        <f aca="false">IF(D73="","",IF(OR(COUNTIF('Target &amp; Team Lists'!$J$5:$J$204,D73)&gt;0,AND(H73&lt;&gt;"",COUNTIF('Target &amp; Team Lists'!$L$5:$L$204,H73)&gt;0),ISNUMBER(SEARCH("alpha nodus",(E73&amp;" "&amp;F73))),ISNUMBER(SEARCH("alphanodus",(E73&amp;" "&amp;F73)))),"Yes","No"))</f>
        <v/>
      </c>
      <c r="P73" s="34" t="str">
        <f aca="false">IF(D73="","",IF(O73="Yes","No",IF(OR(AND(F73&lt;&gt;"",COUNTIF('Target &amp; Team Lists'!$A$5:$A$504,F73)&gt;0),COUNTIF('Target &amp; Team Lists'!$E$5:$E$504,D73)&gt;0),"Yes",IF(AND(SUMPRODUCT(('Target &amp; Team Lists'!$N$5:$N$60&lt;&gt;"")*ISNUMBER(SEARCH('Target &amp; Team Lists'!$N$5:$N$60,(E73&amp;" "&amp;F73))))&gt;0,SUMPRODUCT(('Target &amp; Team Lists'!$O$5:$O$60&lt;&gt;"")*ISNUMBER(SEARCH('Target &amp; Team Lists'!$O$5:$O$60,(E73&amp;" "&amp;F73))))=0),"Yes","No"))))</f>
        <v/>
      </c>
      <c r="Q73" s="32"/>
    </row>
    <row r="74" customFormat="false" ht="15" hidden="false" customHeight="false" outlineLevel="0" collapsed="false">
      <c r="A74" s="30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3" t="str">
        <f aca="false">IF(D74="","",IF(SUM(I74:L74)&gt;0,1,0))</f>
        <v/>
      </c>
      <c r="O74" s="34" t="str">
        <f aca="false">IF(D74="","",IF(OR(COUNTIF('Target &amp; Team Lists'!$J$5:$J$204,D74)&gt;0,AND(H74&lt;&gt;"",COUNTIF('Target &amp; Team Lists'!$L$5:$L$204,H74)&gt;0),ISNUMBER(SEARCH("alpha nodus",(E74&amp;" "&amp;F74))),ISNUMBER(SEARCH("alphanodus",(E74&amp;" "&amp;F74)))),"Yes","No"))</f>
        <v/>
      </c>
      <c r="P74" s="34" t="str">
        <f aca="false">IF(D74="","",IF(O74="Yes","No",IF(OR(AND(F74&lt;&gt;"",COUNTIF('Target &amp; Team Lists'!$A$5:$A$504,F74)&gt;0),COUNTIF('Target &amp; Team Lists'!$E$5:$E$504,D74)&gt;0),"Yes",IF(AND(SUMPRODUCT(('Target &amp; Team Lists'!$N$5:$N$60&lt;&gt;"")*ISNUMBER(SEARCH('Target &amp; Team Lists'!$N$5:$N$60,(E74&amp;" "&amp;F74))))&gt;0,SUMPRODUCT(('Target &amp; Team Lists'!$O$5:$O$60&lt;&gt;"")*ISNUMBER(SEARCH('Target &amp; Team Lists'!$O$5:$O$60,(E74&amp;" "&amp;F74))))=0),"Yes","No"))))</f>
        <v/>
      </c>
      <c r="Q74" s="32"/>
    </row>
    <row r="75" customFormat="false" ht="15" hidden="false" customHeight="false" outlineLevel="0" collapsed="false">
      <c r="A75" s="30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3" t="str">
        <f aca="false">IF(D75="","",IF(SUM(I75:L75)&gt;0,1,0))</f>
        <v/>
      </c>
      <c r="O75" s="34" t="str">
        <f aca="false">IF(D75="","",IF(OR(COUNTIF('Target &amp; Team Lists'!$J$5:$J$204,D75)&gt;0,AND(H75&lt;&gt;"",COUNTIF('Target &amp; Team Lists'!$L$5:$L$204,H75)&gt;0),ISNUMBER(SEARCH("alpha nodus",(E75&amp;" "&amp;F75))),ISNUMBER(SEARCH("alphanodus",(E75&amp;" "&amp;F75)))),"Yes","No"))</f>
        <v/>
      </c>
      <c r="P75" s="34" t="str">
        <f aca="false">IF(D75="","",IF(O75="Yes","No",IF(OR(AND(F75&lt;&gt;"",COUNTIF('Target &amp; Team Lists'!$A$5:$A$504,F75)&gt;0),COUNTIF('Target &amp; Team Lists'!$E$5:$E$504,D75)&gt;0),"Yes",IF(AND(SUMPRODUCT(('Target &amp; Team Lists'!$N$5:$N$60&lt;&gt;"")*ISNUMBER(SEARCH('Target &amp; Team Lists'!$N$5:$N$60,(E75&amp;" "&amp;F75))))&gt;0,SUMPRODUCT(('Target &amp; Team Lists'!$O$5:$O$60&lt;&gt;"")*ISNUMBER(SEARCH('Target &amp; Team Lists'!$O$5:$O$60,(E75&amp;" "&amp;F75))))=0),"Yes","No"))))</f>
        <v/>
      </c>
      <c r="Q75" s="32"/>
    </row>
    <row r="76" customFormat="false" ht="15" hidden="false" customHeight="false" outlineLevel="0" collapsed="false">
      <c r="A76" s="30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3" t="str">
        <f aca="false">IF(D76="","",IF(SUM(I76:L76)&gt;0,1,0))</f>
        <v/>
      </c>
      <c r="O76" s="34" t="str">
        <f aca="false">IF(D76="","",IF(OR(COUNTIF('Target &amp; Team Lists'!$J$5:$J$204,D76)&gt;0,AND(H76&lt;&gt;"",COUNTIF('Target &amp; Team Lists'!$L$5:$L$204,H76)&gt;0),ISNUMBER(SEARCH("alpha nodus",(E76&amp;" "&amp;F76))),ISNUMBER(SEARCH("alphanodus",(E76&amp;" "&amp;F76)))),"Yes","No"))</f>
        <v/>
      </c>
      <c r="P76" s="34" t="str">
        <f aca="false">IF(D76="","",IF(O76="Yes","No",IF(OR(AND(F76&lt;&gt;"",COUNTIF('Target &amp; Team Lists'!$A$5:$A$504,F76)&gt;0),COUNTIF('Target &amp; Team Lists'!$E$5:$E$504,D76)&gt;0),"Yes",IF(AND(SUMPRODUCT(('Target &amp; Team Lists'!$N$5:$N$60&lt;&gt;"")*ISNUMBER(SEARCH('Target &amp; Team Lists'!$N$5:$N$60,(E76&amp;" "&amp;F76))))&gt;0,SUMPRODUCT(('Target &amp; Team Lists'!$O$5:$O$60&lt;&gt;"")*ISNUMBER(SEARCH('Target &amp; Team Lists'!$O$5:$O$60,(E76&amp;" "&amp;F76))))=0),"Yes","No"))))</f>
        <v/>
      </c>
      <c r="Q76" s="32"/>
    </row>
    <row r="77" customFormat="false" ht="15" hidden="false" customHeight="false" outlineLevel="0" collapsed="false">
      <c r="A77" s="30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3" t="str">
        <f aca="false">IF(D77="","",IF(SUM(I77:L77)&gt;0,1,0))</f>
        <v/>
      </c>
      <c r="O77" s="34" t="str">
        <f aca="false">IF(D77="","",IF(OR(COUNTIF('Target &amp; Team Lists'!$J$5:$J$204,D77)&gt;0,AND(H77&lt;&gt;"",COUNTIF('Target &amp; Team Lists'!$L$5:$L$204,H77)&gt;0),ISNUMBER(SEARCH("alpha nodus",(E77&amp;" "&amp;F77))),ISNUMBER(SEARCH("alphanodus",(E77&amp;" "&amp;F77)))),"Yes","No"))</f>
        <v/>
      </c>
      <c r="P77" s="34" t="str">
        <f aca="false">IF(D77="","",IF(O77="Yes","No",IF(OR(AND(F77&lt;&gt;"",COUNTIF('Target &amp; Team Lists'!$A$5:$A$504,F77)&gt;0),COUNTIF('Target &amp; Team Lists'!$E$5:$E$504,D77)&gt;0),"Yes",IF(AND(SUMPRODUCT(('Target &amp; Team Lists'!$N$5:$N$60&lt;&gt;"")*ISNUMBER(SEARCH('Target &amp; Team Lists'!$N$5:$N$60,(E77&amp;" "&amp;F77))))&gt;0,SUMPRODUCT(('Target &amp; Team Lists'!$O$5:$O$60&lt;&gt;"")*ISNUMBER(SEARCH('Target &amp; Team Lists'!$O$5:$O$60,(E77&amp;" "&amp;F77))))=0),"Yes","No"))))</f>
        <v/>
      </c>
      <c r="Q77" s="32"/>
    </row>
    <row r="78" customFormat="false" ht="15" hidden="false" customHeight="false" outlineLevel="0" collapsed="false">
      <c r="A78" s="30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3" t="str">
        <f aca="false">IF(D78="","",IF(SUM(I78:L78)&gt;0,1,0))</f>
        <v/>
      </c>
      <c r="O78" s="34" t="str">
        <f aca="false">IF(D78="","",IF(OR(COUNTIF('Target &amp; Team Lists'!$J$5:$J$204,D78)&gt;0,AND(H78&lt;&gt;"",COUNTIF('Target &amp; Team Lists'!$L$5:$L$204,H78)&gt;0),ISNUMBER(SEARCH("alpha nodus",(E78&amp;" "&amp;F78))),ISNUMBER(SEARCH("alphanodus",(E78&amp;" "&amp;F78)))),"Yes","No"))</f>
        <v/>
      </c>
      <c r="P78" s="34" t="str">
        <f aca="false">IF(D78="","",IF(O78="Yes","No",IF(OR(AND(F78&lt;&gt;"",COUNTIF('Target &amp; Team Lists'!$A$5:$A$504,F78)&gt;0),COUNTIF('Target &amp; Team Lists'!$E$5:$E$504,D78)&gt;0),"Yes",IF(AND(SUMPRODUCT(('Target &amp; Team Lists'!$N$5:$N$60&lt;&gt;"")*ISNUMBER(SEARCH('Target &amp; Team Lists'!$N$5:$N$60,(E78&amp;" "&amp;F78))))&gt;0,SUMPRODUCT(('Target &amp; Team Lists'!$O$5:$O$60&lt;&gt;"")*ISNUMBER(SEARCH('Target &amp; Team Lists'!$O$5:$O$60,(E78&amp;" "&amp;F78))))=0),"Yes","No"))))</f>
        <v/>
      </c>
      <c r="Q78" s="32"/>
    </row>
    <row r="79" customFormat="false" ht="15" hidden="false" customHeight="false" outlineLevel="0" collapsed="false">
      <c r="A79" s="30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3" t="str">
        <f aca="false">IF(D79="","",IF(SUM(I79:L79)&gt;0,1,0))</f>
        <v/>
      </c>
      <c r="O79" s="34" t="str">
        <f aca="false">IF(D79="","",IF(OR(COUNTIF('Target &amp; Team Lists'!$J$5:$J$204,D79)&gt;0,AND(H79&lt;&gt;"",COUNTIF('Target &amp; Team Lists'!$L$5:$L$204,H79)&gt;0),ISNUMBER(SEARCH("alpha nodus",(E79&amp;" "&amp;F79))),ISNUMBER(SEARCH("alphanodus",(E79&amp;" "&amp;F79)))),"Yes","No"))</f>
        <v/>
      </c>
      <c r="P79" s="34" t="str">
        <f aca="false">IF(D79="","",IF(O79="Yes","No",IF(OR(AND(F79&lt;&gt;"",COUNTIF('Target &amp; Team Lists'!$A$5:$A$504,F79)&gt;0),COUNTIF('Target &amp; Team Lists'!$E$5:$E$504,D79)&gt;0),"Yes",IF(AND(SUMPRODUCT(('Target &amp; Team Lists'!$N$5:$N$60&lt;&gt;"")*ISNUMBER(SEARCH('Target &amp; Team Lists'!$N$5:$N$60,(E79&amp;" "&amp;F79))))&gt;0,SUMPRODUCT(('Target &amp; Team Lists'!$O$5:$O$60&lt;&gt;"")*ISNUMBER(SEARCH('Target &amp; Team Lists'!$O$5:$O$60,(E79&amp;" "&amp;F79))))=0),"Yes","No"))))</f>
        <v/>
      </c>
      <c r="Q79" s="32"/>
    </row>
    <row r="80" customFormat="false" ht="15" hidden="false" customHeight="false" outlineLevel="0" collapsed="false">
      <c r="A80" s="30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3" t="str">
        <f aca="false">IF(D80="","",IF(SUM(I80:L80)&gt;0,1,0))</f>
        <v/>
      </c>
      <c r="O80" s="34" t="str">
        <f aca="false">IF(D80="","",IF(OR(COUNTIF('Target &amp; Team Lists'!$J$5:$J$204,D80)&gt;0,AND(H80&lt;&gt;"",COUNTIF('Target &amp; Team Lists'!$L$5:$L$204,H80)&gt;0),ISNUMBER(SEARCH("alpha nodus",(E80&amp;" "&amp;F80))),ISNUMBER(SEARCH("alphanodus",(E80&amp;" "&amp;F80)))),"Yes","No"))</f>
        <v/>
      </c>
      <c r="P80" s="34" t="str">
        <f aca="false">IF(D80="","",IF(O80="Yes","No",IF(OR(AND(F80&lt;&gt;"",COUNTIF('Target &amp; Team Lists'!$A$5:$A$504,F80)&gt;0),COUNTIF('Target &amp; Team Lists'!$E$5:$E$504,D80)&gt;0),"Yes",IF(AND(SUMPRODUCT(('Target &amp; Team Lists'!$N$5:$N$60&lt;&gt;"")*ISNUMBER(SEARCH('Target &amp; Team Lists'!$N$5:$N$60,(E80&amp;" "&amp;F80))))&gt;0,SUMPRODUCT(('Target &amp; Team Lists'!$O$5:$O$60&lt;&gt;"")*ISNUMBER(SEARCH('Target &amp; Team Lists'!$O$5:$O$60,(E80&amp;" "&amp;F80))))=0),"Yes","No"))))</f>
        <v/>
      </c>
      <c r="Q80" s="32"/>
    </row>
    <row r="81" customFormat="false" ht="15" hidden="false" customHeight="false" outlineLevel="0" collapsed="false">
      <c r="A81" s="30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3" t="str">
        <f aca="false">IF(D81="","",IF(SUM(I81:L81)&gt;0,1,0))</f>
        <v/>
      </c>
      <c r="O81" s="34" t="str">
        <f aca="false">IF(D81="","",IF(OR(COUNTIF('Target &amp; Team Lists'!$J$5:$J$204,D81)&gt;0,AND(H81&lt;&gt;"",COUNTIF('Target &amp; Team Lists'!$L$5:$L$204,H81)&gt;0),ISNUMBER(SEARCH("alpha nodus",(E81&amp;" "&amp;F81))),ISNUMBER(SEARCH("alphanodus",(E81&amp;" "&amp;F81)))),"Yes","No"))</f>
        <v/>
      </c>
      <c r="P81" s="34" t="str">
        <f aca="false">IF(D81="","",IF(O81="Yes","No",IF(OR(AND(F81&lt;&gt;"",COUNTIF('Target &amp; Team Lists'!$A$5:$A$504,F81)&gt;0),COUNTIF('Target &amp; Team Lists'!$E$5:$E$504,D81)&gt;0),"Yes",IF(AND(SUMPRODUCT(('Target &amp; Team Lists'!$N$5:$N$60&lt;&gt;"")*ISNUMBER(SEARCH('Target &amp; Team Lists'!$N$5:$N$60,(E81&amp;" "&amp;F81))))&gt;0,SUMPRODUCT(('Target &amp; Team Lists'!$O$5:$O$60&lt;&gt;"")*ISNUMBER(SEARCH('Target &amp; Team Lists'!$O$5:$O$60,(E81&amp;" "&amp;F81))))=0),"Yes","No"))))</f>
        <v/>
      </c>
      <c r="Q81" s="32"/>
    </row>
    <row r="82" customFormat="false" ht="15" hidden="false" customHeight="false" outlineLevel="0" collapsed="false">
      <c r="A82" s="30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3" t="str">
        <f aca="false">IF(D82="","",IF(SUM(I82:L82)&gt;0,1,0))</f>
        <v/>
      </c>
      <c r="O82" s="34" t="str">
        <f aca="false">IF(D82="","",IF(OR(COUNTIF('Target &amp; Team Lists'!$J$5:$J$204,D82)&gt;0,AND(H82&lt;&gt;"",COUNTIF('Target &amp; Team Lists'!$L$5:$L$204,H82)&gt;0),ISNUMBER(SEARCH("alpha nodus",(E82&amp;" "&amp;F82))),ISNUMBER(SEARCH("alphanodus",(E82&amp;" "&amp;F82)))),"Yes","No"))</f>
        <v/>
      </c>
      <c r="P82" s="34" t="str">
        <f aca="false">IF(D82="","",IF(O82="Yes","No",IF(OR(AND(F82&lt;&gt;"",COUNTIF('Target &amp; Team Lists'!$A$5:$A$504,F82)&gt;0),COUNTIF('Target &amp; Team Lists'!$E$5:$E$504,D82)&gt;0),"Yes",IF(AND(SUMPRODUCT(('Target &amp; Team Lists'!$N$5:$N$60&lt;&gt;"")*ISNUMBER(SEARCH('Target &amp; Team Lists'!$N$5:$N$60,(E82&amp;" "&amp;F82))))&gt;0,SUMPRODUCT(('Target &amp; Team Lists'!$O$5:$O$60&lt;&gt;"")*ISNUMBER(SEARCH('Target &amp; Team Lists'!$O$5:$O$60,(E82&amp;" "&amp;F82))))=0),"Yes","No"))))</f>
        <v/>
      </c>
      <c r="Q82" s="32"/>
    </row>
    <row r="83" customFormat="false" ht="15" hidden="false" customHeight="false" outlineLevel="0" collapsed="false">
      <c r="A83" s="30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3" t="str">
        <f aca="false">IF(D83="","",IF(SUM(I83:L83)&gt;0,1,0))</f>
        <v/>
      </c>
      <c r="O83" s="34" t="str">
        <f aca="false">IF(D83="","",IF(OR(COUNTIF('Target &amp; Team Lists'!$J$5:$J$204,D83)&gt;0,AND(H83&lt;&gt;"",COUNTIF('Target &amp; Team Lists'!$L$5:$L$204,H83)&gt;0),ISNUMBER(SEARCH("alpha nodus",(E83&amp;" "&amp;F83))),ISNUMBER(SEARCH("alphanodus",(E83&amp;" "&amp;F83)))),"Yes","No"))</f>
        <v/>
      </c>
      <c r="P83" s="34" t="str">
        <f aca="false">IF(D83="","",IF(O83="Yes","No",IF(OR(AND(F83&lt;&gt;"",COUNTIF('Target &amp; Team Lists'!$A$5:$A$504,F83)&gt;0),COUNTIF('Target &amp; Team Lists'!$E$5:$E$504,D83)&gt;0),"Yes",IF(AND(SUMPRODUCT(('Target &amp; Team Lists'!$N$5:$N$60&lt;&gt;"")*ISNUMBER(SEARCH('Target &amp; Team Lists'!$N$5:$N$60,(E83&amp;" "&amp;F83))))&gt;0,SUMPRODUCT(('Target &amp; Team Lists'!$O$5:$O$60&lt;&gt;"")*ISNUMBER(SEARCH('Target &amp; Team Lists'!$O$5:$O$60,(E83&amp;" "&amp;F83))))=0),"Yes","No"))))</f>
        <v/>
      </c>
      <c r="Q83" s="32"/>
    </row>
    <row r="84" customFormat="false" ht="15" hidden="false" customHeight="false" outlineLevel="0" collapsed="false">
      <c r="A84" s="30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3" t="str">
        <f aca="false">IF(D84="","",IF(SUM(I84:L84)&gt;0,1,0))</f>
        <v/>
      </c>
      <c r="O84" s="34" t="str">
        <f aca="false">IF(D84="","",IF(OR(COUNTIF('Target &amp; Team Lists'!$J$5:$J$204,D84)&gt;0,AND(H84&lt;&gt;"",COUNTIF('Target &amp; Team Lists'!$L$5:$L$204,H84)&gt;0),ISNUMBER(SEARCH("alpha nodus",(E84&amp;" "&amp;F84))),ISNUMBER(SEARCH("alphanodus",(E84&amp;" "&amp;F84)))),"Yes","No"))</f>
        <v/>
      </c>
      <c r="P84" s="34" t="str">
        <f aca="false">IF(D84="","",IF(O84="Yes","No",IF(OR(AND(F84&lt;&gt;"",COUNTIF('Target &amp; Team Lists'!$A$5:$A$504,F84)&gt;0),COUNTIF('Target &amp; Team Lists'!$E$5:$E$504,D84)&gt;0),"Yes",IF(AND(SUMPRODUCT(('Target &amp; Team Lists'!$N$5:$N$60&lt;&gt;"")*ISNUMBER(SEARCH('Target &amp; Team Lists'!$N$5:$N$60,(E84&amp;" "&amp;F84))))&gt;0,SUMPRODUCT(('Target &amp; Team Lists'!$O$5:$O$60&lt;&gt;"")*ISNUMBER(SEARCH('Target &amp; Team Lists'!$O$5:$O$60,(E84&amp;" "&amp;F84))))=0),"Yes","No"))))</f>
        <v/>
      </c>
      <c r="Q84" s="32"/>
    </row>
    <row r="85" customFormat="false" ht="15" hidden="false" customHeight="false" outlineLevel="0" collapsed="false">
      <c r="A85" s="30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3" t="str">
        <f aca="false">IF(D85="","",IF(SUM(I85:L85)&gt;0,1,0))</f>
        <v/>
      </c>
      <c r="O85" s="34" t="str">
        <f aca="false">IF(D85="","",IF(OR(COUNTIF('Target &amp; Team Lists'!$J$5:$J$204,D85)&gt;0,AND(H85&lt;&gt;"",COUNTIF('Target &amp; Team Lists'!$L$5:$L$204,H85)&gt;0),ISNUMBER(SEARCH("alpha nodus",(E85&amp;" "&amp;F85))),ISNUMBER(SEARCH("alphanodus",(E85&amp;" "&amp;F85)))),"Yes","No"))</f>
        <v/>
      </c>
      <c r="P85" s="34" t="str">
        <f aca="false">IF(D85="","",IF(O85="Yes","No",IF(OR(AND(F85&lt;&gt;"",COUNTIF('Target &amp; Team Lists'!$A$5:$A$504,F85)&gt;0),COUNTIF('Target &amp; Team Lists'!$E$5:$E$504,D85)&gt;0),"Yes",IF(AND(SUMPRODUCT(('Target &amp; Team Lists'!$N$5:$N$60&lt;&gt;"")*ISNUMBER(SEARCH('Target &amp; Team Lists'!$N$5:$N$60,(E85&amp;" "&amp;F85))))&gt;0,SUMPRODUCT(('Target &amp; Team Lists'!$O$5:$O$60&lt;&gt;"")*ISNUMBER(SEARCH('Target &amp; Team Lists'!$O$5:$O$60,(E85&amp;" "&amp;F85))))=0),"Yes","No"))))</f>
        <v/>
      </c>
      <c r="Q85" s="32"/>
    </row>
    <row r="86" customFormat="false" ht="15" hidden="false" customHeight="false" outlineLevel="0" collapsed="false">
      <c r="A86" s="30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3" t="str">
        <f aca="false">IF(D86="","",IF(SUM(I86:L86)&gt;0,1,0))</f>
        <v/>
      </c>
      <c r="O86" s="34" t="str">
        <f aca="false">IF(D86="","",IF(OR(COUNTIF('Target &amp; Team Lists'!$J$5:$J$204,D86)&gt;0,AND(H86&lt;&gt;"",COUNTIF('Target &amp; Team Lists'!$L$5:$L$204,H86)&gt;0),ISNUMBER(SEARCH("alpha nodus",(E86&amp;" "&amp;F86))),ISNUMBER(SEARCH("alphanodus",(E86&amp;" "&amp;F86)))),"Yes","No"))</f>
        <v/>
      </c>
      <c r="P86" s="34" t="str">
        <f aca="false">IF(D86="","",IF(O86="Yes","No",IF(OR(AND(F86&lt;&gt;"",COUNTIF('Target &amp; Team Lists'!$A$5:$A$504,F86)&gt;0),COUNTIF('Target &amp; Team Lists'!$E$5:$E$504,D86)&gt;0),"Yes",IF(AND(SUMPRODUCT(('Target &amp; Team Lists'!$N$5:$N$60&lt;&gt;"")*ISNUMBER(SEARCH('Target &amp; Team Lists'!$N$5:$N$60,(E86&amp;" "&amp;F86))))&gt;0,SUMPRODUCT(('Target &amp; Team Lists'!$O$5:$O$60&lt;&gt;"")*ISNUMBER(SEARCH('Target &amp; Team Lists'!$O$5:$O$60,(E86&amp;" "&amp;F86))))=0),"Yes","No"))))</f>
        <v/>
      </c>
      <c r="Q86" s="32"/>
    </row>
    <row r="87" customFormat="false" ht="15" hidden="false" customHeight="false" outlineLevel="0" collapsed="false">
      <c r="A87" s="30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3" t="str">
        <f aca="false">IF(D87="","",IF(SUM(I87:L87)&gt;0,1,0))</f>
        <v/>
      </c>
      <c r="O87" s="34" t="str">
        <f aca="false">IF(D87="","",IF(OR(COUNTIF('Target &amp; Team Lists'!$J$5:$J$204,D87)&gt;0,AND(H87&lt;&gt;"",COUNTIF('Target &amp; Team Lists'!$L$5:$L$204,H87)&gt;0),ISNUMBER(SEARCH("alpha nodus",(E87&amp;" "&amp;F87))),ISNUMBER(SEARCH("alphanodus",(E87&amp;" "&amp;F87)))),"Yes","No"))</f>
        <v/>
      </c>
      <c r="P87" s="34" t="str">
        <f aca="false">IF(D87="","",IF(O87="Yes","No",IF(OR(AND(F87&lt;&gt;"",COUNTIF('Target &amp; Team Lists'!$A$5:$A$504,F87)&gt;0),COUNTIF('Target &amp; Team Lists'!$E$5:$E$504,D87)&gt;0),"Yes",IF(AND(SUMPRODUCT(('Target &amp; Team Lists'!$N$5:$N$60&lt;&gt;"")*ISNUMBER(SEARCH('Target &amp; Team Lists'!$N$5:$N$60,(E87&amp;" "&amp;F87))))&gt;0,SUMPRODUCT(('Target &amp; Team Lists'!$O$5:$O$60&lt;&gt;"")*ISNUMBER(SEARCH('Target &amp; Team Lists'!$O$5:$O$60,(E87&amp;" "&amp;F87))))=0),"Yes","No"))))</f>
        <v/>
      </c>
      <c r="Q87" s="32"/>
    </row>
    <row r="88" customFormat="false" ht="15" hidden="false" customHeight="false" outlineLevel="0" collapsed="false">
      <c r="A88" s="30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3" t="str">
        <f aca="false">IF(D88="","",IF(SUM(I88:L88)&gt;0,1,0))</f>
        <v/>
      </c>
      <c r="O88" s="34" t="str">
        <f aca="false">IF(D88="","",IF(OR(COUNTIF('Target &amp; Team Lists'!$J$5:$J$204,D88)&gt;0,AND(H88&lt;&gt;"",COUNTIF('Target &amp; Team Lists'!$L$5:$L$204,H88)&gt;0),ISNUMBER(SEARCH("alpha nodus",(E88&amp;" "&amp;F88))),ISNUMBER(SEARCH("alphanodus",(E88&amp;" "&amp;F88)))),"Yes","No"))</f>
        <v/>
      </c>
      <c r="P88" s="34" t="str">
        <f aca="false">IF(D88="","",IF(O88="Yes","No",IF(OR(AND(F88&lt;&gt;"",COUNTIF('Target &amp; Team Lists'!$A$5:$A$504,F88)&gt;0),COUNTIF('Target &amp; Team Lists'!$E$5:$E$504,D88)&gt;0),"Yes",IF(AND(SUMPRODUCT(('Target &amp; Team Lists'!$N$5:$N$60&lt;&gt;"")*ISNUMBER(SEARCH('Target &amp; Team Lists'!$N$5:$N$60,(E88&amp;" "&amp;F88))))&gt;0,SUMPRODUCT(('Target &amp; Team Lists'!$O$5:$O$60&lt;&gt;"")*ISNUMBER(SEARCH('Target &amp; Team Lists'!$O$5:$O$60,(E88&amp;" "&amp;F88))))=0),"Yes","No"))))</f>
        <v/>
      </c>
      <c r="Q88" s="32"/>
    </row>
    <row r="89" customFormat="false" ht="15" hidden="false" customHeight="false" outlineLevel="0" collapsed="false">
      <c r="A89" s="30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3" t="str">
        <f aca="false">IF(D89="","",IF(SUM(I89:L89)&gt;0,1,0))</f>
        <v/>
      </c>
      <c r="O89" s="34" t="str">
        <f aca="false">IF(D89="","",IF(OR(COUNTIF('Target &amp; Team Lists'!$J$5:$J$204,D89)&gt;0,AND(H89&lt;&gt;"",COUNTIF('Target &amp; Team Lists'!$L$5:$L$204,H89)&gt;0),ISNUMBER(SEARCH("alpha nodus",(E89&amp;" "&amp;F89))),ISNUMBER(SEARCH("alphanodus",(E89&amp;" "&amp;F89)))),"Yes","No"))</f>
        <v/>
      </c>
      <c r="P89" s="34" t="str">
        <f aca="false">IF(D89="","",IF(O89="Yes","No",IF(OR(AND(F89&lt;&gt;"",COUNTIF('Target &amp; Team Lists'!$A$5:$A$504,F89)&gt;0),COUNTIF('Target &amp; Team Lists'!$E$5:$E$504,D89)&gt;0),"Yes",IF(AND(SUMPRODUCT(('Target &amp; Team Lists'!$N$5:$N$60&lt;&gt;"")*ISNUMBER(SEARCH('Target &amp; Team Lists'!$N$5:$N$60,(E89&amp;" "&amp;F89))))&gt;0,SUMPRODUCT(('Target &amp; Team Lists'!$O$5:$O$60&lt;&gt;"")*ISNUMBER(SEARCH('Target &amp; Team Lists'!$O$5:$O$60,(E89&amp;" "&amp;F89))))=0),"Yes","No"))))</f>
        <v/>
      </c>
      <c r="Q89" s="32"/>
    </row>
    <row r="90" customFormat="false" ht="15" hidden="false" customHeight="false" outlineLevel="0" collapsed="false">
      <c r="A90" s="30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3" t="str">
        <f aca="false">IF(D90="","",IF(SUM(I90:L90)&gt;0,1,0))</f>
        <v/>
      </c>
      <c r="O90" s="34" t="str">
        <f aca="false">IF(D90="","",IF(OR(COUNTIF('Target &amp; Team Lists'!$J$5:$J$204,D90)&gt;0,AND(H90&lt;&gt;"",COUNTIF('Target &amp; Team Lists'!$L$5:$L$204,H90)&gt;0),ISNUMBER(SEARCH("alpha nodus",(E90&amp;" "&amp;F90))),ISNUMBER(SEARCH("alphanodus",(E90&amp;" "&amp;F90)))),"Yes","No"))</f>
        <v/>
      </c>
      <c r="P90" s="34" t="str">
        <f aca="false">IF(D90="","",IF(O90="Yes","No",IF(OR(AND(F90&lt;&gt;"",COUNTIF('Target &amp; Team Lists'!$A$5:$A$504,F90)&gt;0),COUNTIF('Target &amp; Team Lists'!$E$5:$E$504,D90)&gt;0),"Yes",IF(AND(SUMPRODUCT(('Target &amp; Team Lists'!$N$5:$N$60&lt;&gt;"")*ISNUMBER(SEARCH('Target &amp; Team Lists'!$N$5:$N$60,(E90&amp;" "&amp;F90))))&gt;0,SUMPRODUCT(('Target &amp; Team Lists'!$O$5:$O$60&lt;&gt;"")*ISNUMBER(SEARCH('Target &amp; Team Lists'!$O$5:$O$60,(E90&amp;" "&amp;F90))))=0),"Yes","No"))))</f>
        <v/>
      </c>
      <c r="Q90" s="32"/>
    </row>
    <row r="91" customFormat="false" ht="15" hidden="false" customHeight="false" outlineLevel="0" collapsed="false">
      <c r="A91" s="30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3" t="str">
        <f aca="false">IF(D91="","",IF(SUM(I91:L91)&gt;0,1,0))</f>
        <v/>
      </c>
      <c r="O91" s="34" t="str">
        <f aca="false">IF(D91="","",IF(OR(COUNTIF('Target &amp; Team Lists'!$J$5:$J$204,D91)&gt;0,AND(H91&lt;&gt;"",COUNTIF('Target &amp; Team Lists'!$L$5:$L$204,H91)&gt;0),ISNUMBER(SEARCH("alpha nodus",(E91&amp;" "&amp;F91))),ISNUMBER(SEARCH("alphanodus",(E91&amp;" "&amp;F91)))),"Yes","No"))</f>
        <v/>
      </c>
      <c r="P91" s="34" t="str">
        <f aca="false">IF(D91="","",IF(O91="Yes","No",IF(OR(AND(F91&lt;&gt;"",COUNTIF('Target &amp; Team Lists'!$A$5:$A$504,F91)&gt;0),COUNTIF('Target &amp; Team Lists'!$E$5:$E$504,D91)&gt;0),"Yes",IF(AND(SUMPRODUCT(('Target &amp; Team Lists'!$N$5:$N$60&lt;&gt;"")*ISNUMBER(SEARCH('Target &amp; Team Lists'!$N$5:$N$60,(E91&amp;" "&amp;F91))))&gt;0,SUMPRODUCT(('Target &amp; Team Lists'!$O$5:$O$60&lt;&gt;"")*ISNUMBER(SEARCH('Target &amp; Team Lists'!$O$5:$O$60,(E91&amp;" "&amp;F91))))=0),"Yes","No"))))</f>
        <v/>
      </c>
      <c r="Q91" s="32"/>
    </row>
    <row r="92" customFormat="false" ht="15" hidden="false" customHeight="false" outlineLevel="0" collapsed="false">
      <c r="A92" s="30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3" t="str">
        <f aca="false">IF(D92="","",IF(SUM(I92:L92)&gt;0,1,0))</f>
        <v/>
      </c>
      <c r="O92" s="34" t="str">
        <f aca="false">IF(D92="","",IF(OR(COUNTIF('Target &amp; Team Lists'!$J$5:$J$204,D92)&gt;0,AND(H92&lt;&gt;"",COUNTIF('Target &amp; Team Lists'!$L$5:$L$204,H92)&gt;0),ISNUMBER(SEARCH("alpha nodus",(E92&amp;" "&amp;F92))),ISNUMBER(SEARCH("alphanodus",(E92&amp;" "&amp;F92)))),"Yes","No"))</f>
        <v/>
      </c>
      <c r="P92" s="34" t="str">
        <f aca="false">IF(D92="","",IF(O92="Yes","No",IF(OR(AND(F92&lt;&gt;"",COUNTIF('Target &amp; Team Lists'!$A$5:$A$504,F92)&gt;0),COUNTIF('Target &amp; Team Lists'!$E$5:$E$504,D92)&gt;0),"Yes",IF(AND(SUMPRODUCT(('Target &amp; Team Lists'!$N$5:$N$60&lt;&gt;"")*ISNUMBER(SEARCH('Target &amp; Team Lists'!$N$5:$N$60,(E92&amp;" "&amp;F92))))&gt;0,SUMPRODUCT(('Target &amp; Team Lists'!$O$5:$O$60&lt;&gt;"")*ISNUMBER(SEARCH('Target &amp; Team Lists'!$O$5:$O$60,(E92&amp;" "&amp;F92))))=0),"Yes","No"))))</f>
        <v/>
      </c>
      <c r="Q92" s="32"/>
    </row>
    <row r="93" customFormat="false" ht="15" hidden="false" customHeight="false" outlineLevel="0" collapsed="false">
      <c r="A93" s="30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3" t="str">
        <f aca="false">IF(D93="","",IF(SUM(I93:L93)&gt;0,1,0))</f>
        <v/>
      </c>
      <c r="O93" s="34" t="str">
        <f aca="false">IF(D93="","",IF(OR(COUNTIF('Target &amp; Team Lists'!$J$5:$J$204,D93)&gt;0,AND(H93&lt;&gt;"",COUNTIF('Target &amp; Team Lists'!$L$5:$L$204,H93)&gt;0),ISNUMBER(SEARCH("alpha nodus",(E93&amp;" "&amp;F93))),ISNUMBER(SEARCH("alphanodus",(E93&amp;" "&amp;F93)))),"Yes","No"))</f>
        <v/>
      </c>
      <c r="P93" s="34" t="str">
        <f aca="false">IF(D93="","",IF(O93="Yes","No",IF(OR(AND(F93&lt;&gt;"",COUNTIF('Target &amp; Team Lists'!$A$5:$A$504,F93)&gt;0),COUNTIF('Target &amp; Team Lists'!$E$5:$E$504,D93)&gt;0),"Yes",IF(AND(SUMPRODUCT(('Target &amp; Team Lists'!$N$5:$N$60&lt;&gt;"")*ISNUMBER(SEARCH('Target &amp; Team Lists'!$N$5:$N$60,(E93&amp;" "&amp;F93))))&gt;0,SUMPRODUCT(('Target &amp; Team Lists'!$O$5:$O$60&lt;&gt;"")*ISNUMBER(SEARCH('Target &amp; Team Lists'!$O$5:$O$60,(E93&amp;" "&amp;F93))))=0),"Yes","No"))))</f>
        <v/>
      </c>
      <c r="Q93" s="32"/>
    </row>
    <row r="94" customFormat="false" ht="15" hidden="false" customHeight="false" outlineLevel="0" collapsed="false">
      <c r="A94" s="30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3" t="str">
        <f aca="false">IF(D94="","",IF(SUM(I94:L94)&gt;0,1,0))</f>
        <v/>
      </c>
      <c r="O94" s="34" t="str">
        <f aca="false">IF(D94="","",IF(OR(COUNTIF('Target &amp; Team Lists'!$J$5:$J$204,D94)&gt;0,AND(H94&lt;&gt;"",COUNTIF('Target &amp; Team Lists'!$L$5:$L$204,H94)&gt;0),ISNUMBER(SEARCH("alpha nodus",(E94&amp;" "&amp;F94))),ISNUMBER(SEARCH("alphanodus",(E94&amp;" "&amp;F94)))),"Yes","No"))</f>
        <v/>
      </c>
      <c r="P94" s="34" t="str">
        <f aca="false">IF(D94="","",IF(O94="Yes","No",IF(OR(AND(F94&lt;&gt;"",COUNTIF('Target &amp; Team Lists'!$A$5:$A$504,F94)&gt;0),COUNTIF('Target &amp; Team Lists'!$E$5:$E$504,D94)&gt;0),"Yes",IF(AND(SUMPRODUCT(('Target &amp; Team Lists'!$N$5:$N$60&lt;&gt;"")*ISNUMBER(SEARCH('Target &amp; Team Lists'!$N$5:$N$60,(E94&amp;" "&amp;F94))))&gt;0,SUMPRODUCT(('Target &amp; Team Lists'!$O$5:$O$60&lt;&gt;"")*ISNUMBER(SEARCH('Target &amp; Team Lists'!$O$5:$O$60,(E94&amp;" "&amp;F94))))=0),"Yes","No"))))</f>
        <v/>
      </c>
      <c r="Q94" s="32"/>
    </row>
    <row r="95" customFormat="false" ht="15" hidden="false" customHeight="false" outlineLevel="0" collapsed="false">
      <c r="A95" s="30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3" t="str">
        <f aca="false">IF(D95="","",IF(SUM(I95:L95)&gt;0,1,0))</f>
        <v/>
      </c>
      <c r="O95" s="34" t="str">
        <f aca="false">IF(D95="","",IF(OR(COUNTIF('Target &amp; Team Lists'!$J$5:$J$204,D95)&gt;0,AND(H95&lt;&gt;"",COUNTIF('Target &amp; Team Lists'!$L$5:$L$204,H95)&gt;0),ISNUMBER(SEARCH("alpha nodus",(E95&amp;" "&amp;F95))),ISNUMBER(SEARCH("alphanodus",(E95&amp;" "&amp;F95)))),"Yes","No"))</f>
        <v/>
      </c>
      <c r="P95" s="34" t="str">
        <f aca="false">IF(D95="","",IF(O95="Yes","No",IF(OR(AND(F95&lt;&gt;"",COUNTIF('Target &amp; Team Lists'!$A$5:$A$504,F95)&gt;0),COUNTIF('Target &amp; Team Lists'!$E$5:$E$504,D95)&gt;0),"Yes",IF(AND(SUMPRODUCT(('Target &amp; Team Lists'!$N$5:$N$60&lt;&gt;"")*ISNUMBER(SEARCH('Target &amp; Team Lists'!$N$5:$N$60,(E95&amp;" "&amp;F95))))&gt;0,SUMPRODUCT(('Target &amp; Team Lists'!$O$5:$O$60&lt;&gt;"")*ISNUMBER(SEARCH('Target &amp; Team Lists'!$O$5:$O$60,(E95&amp;" "&amp;F95))))=0),"Yes","No"))))</f>
        <v/>
      </c>
      <c r="Q95" s="32"/>
    </row>
    <row r="96" customFormat="false" ht="15" hidden="false" customHeight="false" outlineLevel="0" collapsed="false">
      <c r="A96" s="30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3" t="str">
        <f aca="false">IF(D96="","",IF(SUM(I96:L96)&gt;0,1,0))</f>
        <v/>
      </c>
      <c r="O96" s="34" t="str">
        <f aca="false">IF(D96="","",IF(OR(COUNTIF('Target &amp; Team Lists'!$J$5:$J$204,D96)&gt;0,AND(H96&lt;&gt;"",COUNTIF('Target &amp; Team Lists'!$L$5:$L$204,H96)&gt;0),ISNUMBER(SEARCH("alpha nodus",(E96&amp;" "&amp;F96))),ISNUMBER(SEARCH("alphanodus",(E96&amp;" "&amp;F96)))),"Yes","No"))</f>
        <v/>
      </c>
      <c r="P96" s="34" t="str">
        <f aca="false">IF(D96="","",IF(O96="Yes","No",IF(OR(AND(F96&lt;&gt;"",COUNTIF('Target &amp; Team Lists'!$A$5:$A$504,F96)&gt;0),COUNTIF('Target &amp; Team Lists'!$E$5:$E$504,D96)&gt;0),"Yes",IF(AND(SUMPRODUCT(('Target &amp; Team Lists'!$N$5:$N$60&lt;&gt;"")*ISNUMBER(SEARCH('Target &amp; Team Lists'!$N$5:$N$60,(E96&amp;" "&amp;F96))))&gt;0,SUMPRODUCT(('Target &amp; Team Lists'!$O$5:$O$60&lt;&gt;"")*ISNUMBER(SEARCH('Target &amp; Team Lists'!$O$5:$O$60,(E96&amp;" "&amp;F96))))=0),"Yes","No"))))</f>
        <v/>
      </c>
      <c r="Q96" s="32"/>
    </row>
    <row r="97" customFormat="false" ht="15" hidden="false" customHeight="false" outlineLevel="0" collapsed="false">
      <c r="A97" s="30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3" t="str">
        <f aca="false">IF(D97="","",IF(SUM(I97:L97)&gt;0,1,0))</f>
        <v/>
      </c>
      <c r="O97" s="34" t="str">
        <f aca="false">IF(D97="","",IF(OR(COUNTIF('Target &amp; Team Lists'!$J$5:$J$204,D97)&gt;0,AND(H97&lt;&gt;"",COUNTIF('Target &amp; Team Lists'!$L$5:$L$204,H97)&gt;0),ISNUMBER(SEARCH("alpha nodus",(E97&amp;" "&amp;F97))),ISNUMBER(SEARCH("alphanodus",(E97&amp;" "&amp;F97)))),"Yes","No"))</f>
        <v/>
      </c>
      <c r="P97" s="34" t="str">
        <f aca="false">IF(D97="","",IF(O97="Yes","No",IF(OR(AND(F97&lt;&gt;"",COUNTIF('Target &amp; Team Lists'!$A$5:$A$504,F97)&gt;0),COUNTIF('Target &amp; Team Lists'!$E$5:$E$504,D97)&gt;0),"Yes",IF(AND(SUMPRODUCT(('Target &amp; Team Lists'!$N$5:$N$60&lt;&gt;"")*ISNUMBER(SEARCH('Target &amp; Team Lists'!$N$5:$N$60,(E97&amp;" "&amp;F97))))&gt;0,SUMPRODUCT(('Target &amp; Team Lists'!$O$5:$O$60&lt;&gt;"")*ISNUMBER(SEARCH('Target &amp; Team Lists'!$O$5:$O$60,(E97&amp;" "&amp;F97))))=0),"Yes","No"))))</f>
        <v/>
      </c>
      <c r="Q97" s="32"/>
    </row>
    <row r="98" customFormat="false" ht="15" hidden="false" customHeight="false" outlineLevel="0" collapsed="false">
      <c r="A98" s="30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3" t="str">
        <f aca="false">IF(D98="","",IF(SUM(I98:L98)&gt;0,1,0))</f>
        <v/>
      </c>
      <c r="O98" s="34" t="str">
        <f aca="false">IF(D98="","",IF(OR(COUNTIF('Target &amp; Team Lists'!$J$5:$J$204,D98)&gt;0,AND(H98&lt;&gt;"",COUNTIF('Target &amp; Team Lists'!$L$5:$L$204,H98)&gt;0),ISNUMBER(SEARCH("alpha nodus",(E98&amp;" "&amp;F98))),ISNUMBER(SEARCH("alphanodus",(E98&amp;" "&amp;F98)))),"Yes","No"))</f>
        <v/>
      </c>
      <c r="P98" s="34" t="str">
        <f aca="false">IF(D98="","",IF(O98="Yes","No",IF(OR(AND(F98&lt;&gt;"",COUNTIF('Target &amp; Team Lists'!$A$5:$A$504,F98)&gt;0),COUNTIF('Target &amp; Team Lists'!$E$5:$E$504,D98)&gt;0),"Yes",IF(AND(SUMPRODUCT(('Target &amp; Team Lists'!$N$5:$N$60&lt;&gt;"")*ISNUMBER(SEARCH('Target &amp; Team Lists'!$N$5:$N$60,(E98&amp;" "&amp;F98))))&gt;0,SUMPRODUCT(('Target &amp; Team Lists'!$O$5:$O$60&lt;&gt;"")*ISNUMBER(SEARCH('Target &amp; Team Lists'!$O$5:$O$60,(E98&amp;" "&amp;F98))))=0),"Yes","No"))))</f>
        <v/>
      </c>
      <c r="Q98" s="32"/>
    </row>
    <row r="99" customFormat="false" ht="15" hidden="false" customHeight="false" outlineLevel="0" collapsed="false">
      <c r="A99" s="30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3" t="str">
        <f aca="false">IF(D99="","",IF(SUM(I99:L99)&gt;0,1,0))</f>
        <v/>
      </c>
      <c r="O99" s="34" t="str">
        <f aca="false">IF(D99="","",IF(OR(COUNTIF('Target &amp; Team Lists'!$J$5:$J$204,D99)&gt;0,AND(H99&lt;&gt;"",COUNTIF('Target &amp; Team Lists'!$L$5:$L$204,H99)&gt;0),ISNUMBER(SEARCH("alpha nodus",(E99&amp;" "&amp;F99))),ISNUMBER(SEARCH("alphanodus",(E99&amp;" "&amp;F99)))),"Yes","No"))</f>
        <v/>
      </c>
      <c r="P99" s="34" t="str">
        <f aca="false">IF(D99="","",IF(O99="Yes","No",IF(OR(AND(F99&lt;&gt;"",COUNTIF('Target &amp; Team Lists'!$A$5:$A$504,F99)&gt;0),COUNTIF('Target &amp; Team Lists'!$E$5:$E$504,D99)&gt;0),"Yes",IF(AND(SUMPRODUCT(('Target &amp; Team Lists'!$N$5:$N$60&lt;&gt;"")*ISNUMBER(SEARCH('Target &amp; Team Lists'!$N$5:$N$60,(E99&amp;" "&amp;F99))))&gt;0,SUMPRODUCT(('Target &amp; Team Lists'!$O$5:$O$60&lt;&gt;"")*ISNUMBER(SEARCH('Target &amp; Team Lists'!$O$5:$O$60,(E99&amp;" "&amp;F99))))=0),"Yes","No"))))</f>
        <v/>
      </c>
      <c r="Q99" s="32"/>
    </row>
    <row r="100" customFormat="false" ht="15" hidden="false" customHeight="false" outlineLevel="0" collapsed="false">
      <c r="A100" s="30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3" t="str">
        <f aca="false">IF(D100="","",IF(SUM(I100:L100)&gt;0,1,0))</f>
        <v/>
      </c>
      <c r="O100" s="34" t="str">
        <f aca="false">IF(D100="","",IF(OR(COUNTIF('Target &amp; Team Lists'!$J$5:$J$204,D100)&gt;0,AND(H100&lt;&gt;"",COUNTIF('Target &amp; Team Lists'!$L$5:$L$204,H100)&gt;0),ISNUMBER(SEARCH("alpha nodus",(E100&amp;" "&amp;F100))),ISNUMBER(SEARCH("alphanodus",(E100&amp;" "&amp;F100)))),"Yes","No"))</f>
        <v/>
      </c>
      <c r="P100" s="34" t="str">
        <f aca="false">IF(D100="","",IF(O100="Yes","No",IF(OR(AND(F100&lt;&gt;"",COUNTIF('Target &amp; Team Lists'!$A$5:$A$504,F100)&gt;0),COUNTIF('Target &amp; Team Lists'!$E$5:$E$504,D100)&gt;0),"Yes",IF(AND(SUMPRODUCT(('Target &amp; Team Lists'!$N$5:$N$60&lt;&gt;"")*ISNUMBER(SEARCH('Target &amp; Team Lists'!$N$5:$N$60,(E100&amp;" "&amp;F100))))&gt;0,SUMPRODUCT(('Target &amp; Team Lists'!$O$5:$O$60&lt;&gt;"")*ISNUMBER(SEARCH('Target &amp; Team Lists'!$O$5:$O$60,(E100&amp;" "&amp;F100))))=0),"Yes","No"))))</f>
        <v/>
      </c>
      <c r="Q100" s="32"/>
    </row>
    <row r="101" customFormat="false" ht="15" hidden="false" customHeight="false" outlineLevel="0" collapsed="false">
      <c r="A101" s="30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3" t="str">
        <f aca="false">IF(D101="","",IF(SUM(I101:L101)&gt;0,1,0))</f>
        <v/>
      </c>
      <c r="O101" s="34" t="str">
        <f aca="false">IF(D101="","",IF(OR(COUNTIF('Target &amp; Team Lists'!$J$5:$J$204,D101)&gt;0,AND(H101&lt;&gt;"",COUNTIF('Target &amp; Team Lists'!$L$5:$L$204,H101)&gt;0),ISNUMBER(SEARCH("alpha nodus",(E101&amp;" "&amp;F101))),ISNUMBER(SEARCH("alphanodus",(E101&amp;" "&amp;F101)))),"Yes","No"))</f>
        <v/>
      </c>
      <c r="P101" s="34" t="str">
        <f aca="false">IF(D101="","",IF(O101="Yes","No",IF(OR(AND(F101&lt;&gt;"",COUNTIF('Target &amp; Team Lists'!$A$5:$A$504,F101)&gt;0),COUNTIF('Target &amp; Team Lists'!$E$5:$E$504,D101)&gt;0),"Yes",IF(AND(SUMPRODUCT(('Target &amp; Team Lists'!$N$5:$N$60&lt;&gt;"")*ISNUMBER(SEARCH('Target &amp; Team Lists'!$N$5:$N$60,(E101&amp;" "&amp;F101))))&gt;0,SUMPRODUCT(('Target &amp; Team Lists'!$O$5:$O$60&lt;&gt;"")*ISNUMBER(SEARCH('Target &amp; Team Lists'!$O$5:$O$60,(E101&amp;" "&amp;F101))))=0),"Yes","No"))))</f>
        <v/>
      </c>
      <c r="Q101" s="32"/>
    </row>
    <row r="102" customFormat="false" ht="15" hidden="false" customHeight="false" outlineLevel="0" collapsed="false">
      <c r="A102" s="30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3" t="str">
        <f aca="false">IF(D102="","",IF(SUM(I102:L102)&gt;0,1,0))</f>
        <v/>
      </c>
      <c r="O102" s="34" t="str">
        <f aca="false">IF(D102="","",IF(OR(COUNTIF('Target &amp; Team Lists'!$J$5:$J$204,D102)&gt;0,AND(H102&lt;&gt;"",COUNTIF('Target &amp; Team Lists'!$L$5:$L$204,H102)&gt;0),ISNUMBER(SEARCH("alpha nodus",(E102&amp;" "&amp;F102))),ISNUMBER(SEARCH("alphanodus",(E102&amp;" "&amp;F102)))),"Yes","No"))</f>
        <v/>
      </c>
      <c r="P102" s="34" t="str">
        <f aca="false">IF(D102="","",IF(O102="Yes","No",IF(OR(AND(F102&lt;&gt;"",COUNTIF('Target &amp; Team Lists'!$A$5:$A$504,F102)&gt;0),COUNTIF('Target &amp; Team Lists'!$E$5:$E$504,D102)&gt;0),"Yes",IF(AND(SUMPRODUCT(('Target &amp; Team Lists'!$N$5:$N$60&lt;&gt;"")*ISNUMBER(SEARCH('Target &amp; Team Lists'!$N$5:$N$60,(E102&amp;" "&amp;F102))))&gt;0,SUMPRODUCT(('Target &amp; Team Lists'!$O$5:$O$60&lt;&gt;"")*ISNUMBER(SEARCH('Target &amp; Team Lists'!$O$5:$O$60,(E102&amp;" "&amp;F102))))=0),"Yes","No"))))</f>
        <v/>
      </c>
      <c r="Q102" s="32"/>
    </row>
    <row r="103" customFormat="false" ht="15" hidden="false" customHeight="false" outlineLevel="0" collapsed="false">
      <c r="A103" s="30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3" t="str">
        <f aca="false">IF(D103="","",IF(SUM(I103:L103)&gt;0,1,0))</f>
        <v/>
      </c>
      <c r="O103" s="34" t="str">
        <f aca="false">IF(D103="","",IF(OR(COUNTIF('Target &amp; Team Lists'!$J$5:$J$204,D103)&gt;0,AND(H103&lt;&gt;"",COUNTIF('Target &amp; Team Lists'!$L$5:$L$204,H103)&gt;0),ISNUMBER(SEARCH("alpha nodus",(E103&amp;" "&amp;F103))),ISNUMBER(SEARCH("alphanodus",(E103&amp;" "&amp;F103)))),"Yes","No"))</f>
        <v/>
      </c>
      <c r="P103" s="34" t="str">
        <f aca="false">IF(D103="","",IF(O103="Yes","No",IF(OR(AND(F103&lt;&gt;"",COUNTIF('Target &amp; Team Lists'!$A$5:$A$504,F103)&gt;0),COUNTIF('Target &amp; Team Lists'!$E$5:$E$504,D103)&gt;0),"Yes",IF(AND(SUMPRODUCT(('Target &amp; Team Lists'!$N$5:$N$60&lt;&gt;"")*ISNUMBER(SEARCH('Target &amp; Team Lists'!$N$5:$N$60,(E103&amp;" "&amp;F103))))&gt;0,SUMPRODUCT(('Target &amp; Team Lists'!$O$5:$O$60&lt;&gt;"")*ISNUMBER(SEARCH('Target &amp; Team Lists'!$O$5:$O$60,(E103&amp;" "&amp;F103))))=0),"Yes","No"))))</f>
        <v/>
      </c>
      <c r="Q103" s="32"/>
    </row>
    <row r="104" customFormat="false" ht="15" hidden="false" customHeight="false" outlineLevel="0" collapsed="false">
      <c r="A104" s="30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3" t="str">
        <f aca="false">IF(D104="","",IF(SUM(I104:L104)&gt;0,1,0))</f>
        <v/>
      </c>
      <c r="O104" s="34" t="str">
        <f aca="false">IF(D104="","",IF(OR(COUNTIF('Target &amp; Team Lists'!$J$5:$J$204,D104)&gt;0,AND(H104&lt;&gt;"",COUNTIF('Target &amp; Team Lists'!$L$5:$L$204,H104)&gt;0),ISNUMBER(SEARCH("alpha nodus",(E104&amp;" "&amp;F104))),ISNUMBER(SEARCH("alphanodus",(E104&amp;" "&amp;F104)))),"Yes","No"))</f>
        <v/>
      </c>
      <c r="P104" s="34" t="str">
        <f aca="false">IF(D104="","",IF(O104="Yes","No",IF(OR(AND(F104&lt;&gt;"",COUNTIF('Target &amp; Team Lists'!$A$5:$A$504,F104)&gt;0),COUNTIF('Target &amp; Team Lists'!$E$5:$E$504,D104)&gt;0),"Yes",IF(AND(SUMPRODUCT(('Target &amp; Team Lists'!$N$5:$N$60&lt;&gt;"")*ISNUMBER(SEARCH('Target &amp; Team Lists'!$N$5:$N$60,(E104&amp;" "&amp;F104))))&gt;0,SUMPRODUCT(('Target &amp; Team Lists'!$O$5:$O$60&lt;&gt;"")*ISNUMBER(SEARCH('Target &amp; Team Lists'!$O$5:$O$60,(E104&amp;" "&amp;F104))))=0),"Yes","No"))))</f>
        <v/>
      </c>
      <c r="Q104" s="32"/>
    </row>
    <row r="105" customFormat="false" ht="15" hidden="false" customHeight="false" outlineLevel="0" collapsed="false">
      <c r="A105" s="30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3" t="str">
        <f aca="false">IF(D105="","",IF(SUM(I105:L105)&gt;0,1,0))</f>
        <v/>
      </c>
      <c r="O105" s="34" t="str">
        <f aca="false">IF(D105="","",IF(OR(COUNTIF('Target &amp; Team Lists'!$J$5:$J$204,D105)&gt;0,AND(H105&lt;&gt;"",COUNTIF('Target &amp; Team Lists'!$L$5:$L$204,H105)&gt;0),ISNUMBER(SEARCH("alpha nodus",(E105&amp;" "&amp;F105))),ISNUMBER(SEARCH("alphanodus",(E105&amp;" "&amp;F105)))),"Yes","No"))</f>
        <v/>
      </c>
      <c r="P105" s="34" t="str">
        <f aca="false">IF(D105="","",IF(O105="Yes","No",IF(OR(AND(F105&lt;&gt;"",COUNTIF('Target &amp; Team Lists'!$A$5:$A$504,F105)&gt;0),COUNTIF('Target &amp; Team Lists'!$E$5:$E$504,D105)&gt;0),"Yes",IF(AND(SUMPRODUCT(('Target &amp; Team Lists'!$N$5:$N$60&lt;&gt;"")*ISNUMBER(SEARCH('Target &amp; Team Lists'!$N$5:$N$60,(E105&amp;" "&amp;F105))))&gt;0,SUMPRODUCT(('Target &amp; Team Lists'!$O$5:$O$60&lt;&gt;"")*ISNUMBER(SEARCH('Target &amp; Team Lists'!$O$5:$O$60,(E105&amp;" "&amp;F105))))=0),"Yes","No"))))</f>
        <v/>
      </c>
      <c r="Q105" s="32"/>
    </row>
    <row r="106" customFormat="false" ht="15" hidden="false" customHeight="false" outlineLevel="0" collapsed="false">
      <c r="A106" s="30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3" t="str">
        <f aca="false">IF(D106="","",IF(SUM(I106:L106)&gt;0,1,0))</f>
        <v/>
      </c>
      <c r="O106" s="34" t="str">
        <f aca="false">IF(D106="","",IF(OR(COUNTIF('Target &amp; Team Lists'!$J$5:$J$204,D106)&gt;0,AND(H106&lt;&gt;"",COUNTIF('Target &amp; Team Lists'!$L$5:$L$204,H106)&gt;0),ISNUMBER(SEARCH("alpha nodus",(E106&amp;" "&amp;F106))),ISNUMBER(SEARCH("alphanodus",(E106&amp;" "&amp;F106)))),"Yes","No"))</f>
        <v/>
      </c>
      <c r="P106" s="34" t="str">
        <f aca="false">IF(D106="","",IF(O106="Yes","No",IF(OR(AND(F106&lt;&gt;"",COUNTIF('Target &amp; Team Lists'!$A$5:$A$504,F106)&gt;0),COUNTIF('Target &amp; Team Lists'!$E$5:$E$504,D106)&gt;0),"Yes",IF(AND(SUMPRODUCT(('Target &amp; Team Lists'!$N$5:$N$60&lt;&gt;"")*ISNUMBER(SEARCH('Target &amp; Team Lists'!$N$5:$N$60,(E106&amp;" "&amp;F106))))&gt;0,SUMPRODUCT(('Target &amp; Team Lists'!$O$5:$O$60&lt;&gt;"")*ISNUMBER(SEARCH('Target &amp; Team Lists'!$O$5:$O$60,(E106&amp;" "&amp;F106))))=0),"Yes","No"))))</f>
        <v/>
      </c>
      <c r="Q106" s="32"/>
    </row>
    <row r="107" customFormat="false" ht="15" hidden="false" customHeight="false" outlineLevel="0" collapsed="false">
      <c r="A107" s="30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3" t="str">
        <f aca="false">IF(D107="","",IF(SUM(I107:L107)&gt;0,1,0))</f>
        <v/>
      </c>
      <c r="O107" s="34" t="str">
        <f aca="false">IF(D107="","",IF(OR(COUNTIF('Target &amp; Team Lists'!$J$5:$J$204,D107)&gt;0,AND(H107&lt;&gt;"",COUNTIF('Target &amp; Team Lists'!$L$5:$L$204,H107)&gt;0),ISNUMBER(SEARCH("alpha nodus",(E107&amp;" "&amp;F107))),ISNUMBER(SEARCH("alphanodus",(E107&amp;" "&amp;F107)))),"Yes","No"))</f>
        <v/>
      </c>
      <c r="P107" s="34" t="str">
        <f aca="false">IF(D107="","",IF(O107="Yes","No",IF(OR(AND(F107&lt;&gt;"",COUNTIF('Target &amp; Team Lists'!$A$5:$A$504,F107)&gt;0),COUNTIF('Target &amp; Team Lists'!$E$5:$E$504,D107)&gt;0),"Yes",IF(AND(SUMPRODUCT(('Target &amp; Team Lists'!$N$5:$N$60&lt;&gt;"")*ISNUMBER(SEARCH('Target &amp; Team Lists'!$N$5:$N$60,(E107&amp;" "&amp;F107))))&gt;0,SUMPRODUCT(('Target &amp; Team Lists'!$O$5:$O$60&lt;&gt;"")*ISNUMBER(SEARCH('Target &amp; Team Lists'!$O$5:$O$60,(E107&amp;" "&amp;F107))))=0),"Yes","No"))))</f>
        <v/>
      </c>
      <c r="Q107" s="32"/>
    </row>
    <row r="108" customFormat="false" ht="15" hidden="false" customHeight="false" outlineLevel="0" collapsed="false">
      <c r="A108" s="30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3" t="str">
        <f aca="false">IF(D108="","",IF(SUM(I108:L108)&gt;0,1,0))</f>
        <v/>
      </c>
      <c r="O108" s="34" t="str">
        <f aca="false">IF(D108="","",IF(OR(COUNTIF('Target &amp; Team Lists'!$J$5:$J$204,D108)&gt;0,AND(H108&lt;&gt;"",COUNTIF('Target &amp; Team Lists'!$L$5:$L$204,H108)&gt;0),ISNUMBER(SEARCH("alpha nodus",(E108&amp;" "&amp;F108))),ISNUMBER(SEARCH("alphanodus",(E108&amp;" "&amp;F108)))),"Yes","No"))</f>
        <v/>
      </c>
      <c r="P108" s="34" t="str">
        <f aca="false">IF(D108="","",IF(O108="Yes","No",IF(OR(AND(F108&lt;&gt;"",COUNTIF('Target &amp; Team Lists'!$A$5:$A$504,F108)&gt;0),COUNTIF('Target &amp; Team Lists'!$E$5:$E$504,D108)&gt;0),"Yes",IF(AND(SUMPRODUCT(('Target &amp; Team Lists'!$N$5:$N$60&lt;&gt;"")*ISNUMBER(SEARCH('Target &amp; Team Lists'!$N$5:$N$60,(E108&amp;" "&amp;F108))))&gt;0,SUMPRODUCT(('Target &amp; Team Lists'!$O$5:$O$60&lt;&gt;"")*ISNUMBER(SEARCH('Target &amp; Team Lists'!$O$5:$O$60,(E108&amp;" "&amp;F108))))=0),"Yes","No"))))</f>
        <v/>
      </c>
      <c r="Q108" s="32"/>
    </row>
    <row r="109" customFormat="false" ht="15" hidden="false" customHeight="false" outlineLevel="0" collapsed="false">
      <c r="A109" s="30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3" t="str">
        <f aca="false">IF(D109="","",IF(SUM(I109:L109)&gt;0,1,0))</f>
        <v/>
      </c>
      <c r="O109" s="34" t="str">
        <f aca="false">IF(D109="","",IF(OR(COUNTIF('Target &amp; Team Lists'!$J$5:$J$204,D109)&gt;0,AND(H109&lt;&gt;"",COUNTIF('Target &amp; Team Lists'!$L$5:$L$204,H109)&gt;0),ISNUMBER(SEARCH("alpha nodus",(E109&amp;" "&amp;F109))),ISNUMBER(SEARCH("alphanodus",(E109&amp;" "&amp;F109)))),"Yes","No"))</f>
        <v/>
      </c>
      <c r="P109" s="34" t="str">
        <f aca="false">IF(D109="","",IF(O109="Yes","No",IF(OR(AND(F109&lt;&gt;"",COUNTIF('Target &amp; Team Lists'!$A$5:$A$504,F109)&gt;0),COUNTIF('Target &amp; Team Lists'!$E$5:$E$504,D109)&gt;0),"Yes",IF(AND(SUMPRODUCT(('Target &amp; Team Lists'!$N$5:$N$60&lt;&gt;"")*ISNUMBER(SEARCH('Target &amp; Team Lists'!$N$5:$N$60,(E109&amp;" "&amp;F109))))&gt;0,SUMPRODUCT(('Target &amp; Team Lists'!$O$5:$O$60&lt;&gt;"")*ISNUMBER(SEARCH('Target &amp; Team Lists'!$O$5:$O$60,(E109&amp;" "&amp;F109))))=0),"Yes","No"))))</f>
        <v/>
      </c>
      <c r="Q109" s="32"/>
    </row>
    <row r="110" customFormat="false" ht="15" hidden="false" customHeight="false" outlineLevel="0" collapsed="false">
      <c r="A110" s="30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3" t="str">
        <f aca="false">IF(D110="","",IF(SUM(I110:L110)&gt;0,1,0))</f>
        <v/>
      </c>
      <c r="O110" s="34" t="str">
        <f aca="false">IF(D110="","",IF(OR(COUNTIF('Target &amp; Team Lists'!$J$5:$J$204,D110)&gt;0,AND(H110&lt;&gt;"",COUNTIF('Target &amp; Team Lists'!$L$5:$L$204,H110)&gt;0),ISNUMBER(SEARCH("alpha nodus",(E110&amp;" "&amp;F110))),ISNUMBER(SEARCH("alphanodus",(E110&amp;" "&amp;F110)))),"Yes","No"))</f>
        <v/>
      </c>
      <c r="P110" s="34" t="str">
        <f aca="false">IF(D110="","",IF(O110="Yes","No",IF(OR(AND(F110&lt;&gt;"",COUNTIF('Target &amp; Team Lists'!$A$5:$A$504,F110)&gt;0),COUNTIF('Target &amp; Team Lists'!$E$5:$E$504,D110)&gt;0),"Yes",IF(AND(SUMPRODUCT(('Target &amp; Team Lists'!$N$5:$N$60&lt;&gt;"")*ISNUMBER(SEARCH('Target &amp; Team Lists'!$N$5:$N$60,(E110&amp;" "&amp;F110))))&gt;0,SUMPRODUCT(('Target &amp; Team Lists'!$O$5:$O$60&lt;&gt;"")*ISNUMBER(SEARCH('Target &amp; Team Lists'!$O$5:$O$60,(E110&amp;" "&amp;F110))))=0),"Yes","No"))))</f>
        <v/>
      </c>
      <c r="Q110" s="32"/>
    </row>
    <row r="111" customFormat="false" ht="15" hidden="false" customHeight="false" outlineLevel="0" collapsed="false">
      <c r="A111" s="30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3" t="str">
        <f aca="false">IF(D111="","",IF(SUM(I111:L111)&gt;0,1,0))</f>
        <v/>
      </c>
      <c r="O111" s="34" t="str">
        <f aca="false">IF(D111="","",IF(OR(COUNTIF('Target &amp; Team Lists'!$J$5:$J$204,D111)&gt;0,AND(H111&lt;&gt;"",COUNTIF('Target &amp; Team Lists'!$L$5:$L$204,H111)&gt;0),ISNUMBER(SEARCH("alpha nodus",(E111&amp;" "&amp;F111))),ISNUMBER(SEARCH("alphanodus",(E111&amp;" "&amp;F111)))),"Yes","No"))</f>
        <v/>
      </c>
      <c r="P111" s="34" t="str">
        <f aca="false">IF(D111="","",IF(O111="Yes","No",IF(OR(AND(F111&lt;&gt;"",COUNTIF('Target &amp; Team Lists'!$A$5:$A$504,F111)&gt;0),COUNTIF('Target &amp; Team Lists'!$E$5:$E$504,D111)&gt;0),"Yes",IF(AND(SUMPRODUCT(('Target &amp; Team Lists'!$N$5:$N$60&lt;&gt;"")*ISNUMBER(SEARCH('Target &amp; Team Lists'!$N$5:$N$60,(E111&amp;" "&amp;F111))))&gt;0,SUMPRODUCT(('Target &amp; Team Lists'!$O$5:$O$60&lt;&gt;"")*ISNUMBER(SEARCH('Target &amp; Team Lists'!$O$5:$O$60,(E111&amp;" "&amp;F111))))=0),"Yes","No"))))</f>
        <v/>
      </c>
      <c r="Q111" s="32"/>
    </row>
    <row r="112" customFormat="false" ht="15" hidden="false" customHeight="false" outlineLevel="0" collapsed="false">
      <c r="A112" s="30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3" t="str">
        <f aca="false">IF(D112="","",IF(SUM(I112:L112)&gt;0,1,0))</f>
        <v/>
      </c>
      <c r="O112" s="34" t="str">
        <f aca="false">IF(D112="","",IF(OR(COUNTIF('Target &amp; Team Lists'!$J$5:$J$204,D112)&gt;0,AND(H112&lt;&gt;"",COUNTIF('Target &amp; Team Lists'!$L$5:$L$204,H112)&gt;0),ISNUMBER(SEARCH("alpha nodus",(E112&amp;" "&amp;F112))),ISNUMBER(SEARCH("alphanodus",(E112&amp;" "&amp;F112)))),"Yes","No"))</f>
        <v/>
      </c>
      <c r="P112" s="34" t="str">
        <f aca="false">IF(D112="","",IF(O112="Yes","No",IF(OR(AND(F112&lt;&gt;"",COUNTIF('Target &amp; Team Lists'!$A$5:$A$504,F112)&gt;0),COUNTIF('Target &amp; Team Lists'!$E$5:$E$504,D112)&gt;0),"Yes",IF(AND(SUMPRODUCT(('Target &amp; Team Lists'!$N$5:$N$60&lt;&gt;"")*ISNUMBER(SEARCH('Target &amp; Team Lists'!$N$5:$N$60,(E112&amp;" "&amp;F112))))&gt;0,SUMPRODUCT(('Target &amp; Team Lists'!$O$5:$O$60&lt;&gt;"")*ISNUMBER(SEARCH('Target &amp; Team Lists'!$O$5:$O$60,(E112&amp;" "&amp;F112))))=0),"Yes","No"))))</f>
        <v/>
      </c>
      <c r="Q112" s="32"/>
    </row>
    <row r="113" customFormat="false" ht="15" hidden="false" customHeight="false" outlineLevel="0" collapsed="false">
      <c r="A113" s="30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3" t="str">
        <f aca="false">IF(D113="","",IF(SUM(I113:L113)&gt;0,1,0))</f>
        <v/>
      </c>
      <c r="O113" s="34" t="str">
        <f aca="false">IF(D113="","",IF(OR(COUNTIF('Target &amp; Team Lists'!$J$5:$J$204,D113)&gt;0,AND(H113&lt;&gt;"",COUNTIF('Target &amp; Team Lists'!$L$5:$L$204,H113)&gt;0),ISNUMBER(SEARCH("alpha nodus",(E113&amp;" "&amp;F113))),ISNUMBER(SEARCH("alphanodus",(E113&amp;" "&amp;F113)))),"Yes","No"))</f>
        <v/>
      </c>
      <c r="P113" s="34" t="str">
        <f aca="false">IF(D113="","",IF(O113="Yes","No",IF(OR(AND(F113&lt;&gt;"",COUNTIF('Target &amp; Team Lists'!$A$5:$A$504,F113)&gt;0),COUNTIF('Target &amp; Team Lists'!$E$5:$E$504,D113)&gt;0),"Yes",IF(AND(SUMPRODUCT(('Target &amp; Team Lists'!$N$5:$N$60&lt;&gt;"")*ISNUMBER(SEARCH('Target &amp; Team Lists'!$N$5:$N$60,(E113&amp;" "&amp;F113))))&gt;0,SUMPRODUCT(('Target &amp; Team Lists'!$O$5:$O$60&lt;&gt;"")*ISNUMBER(SEARCH('Target &amp; Team Lists'!$O$5:$O$60,(E113&amp;" "&amp;F113))))=0),"Yes","No"))))</f>
        <v/>
      </c>
      <c r="Q113" s="32"/>
    </row>
    <row r="114" customFormat="false" ht="15" hidden="false" customHeight="false" outlineLevel="0" collapsed="false">
      <c r="A114" s="30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3" t="str">
        <f aca="false">IF(D114="","",IF(SUM(I114:L114)&gt;0,1,0))</f>
        <v/>
      </c>
      <c r="O114" s="34" t="str">
        <f aca="false">IF(D114="","",IF(OR(COUNTIF('Target &amp; Team Lists'!$J$5:$J$204,D114)&gt;0,AND(H114&lt;&gt;"",COUNTIF('Target &amp; Team Lists'!$L$5:$L$204,H114)&gt;0),ISNUMBER(SEARCH("alpha nodus",(E114&amp;" "&amp;F114))),ISNUMBER(SEARCH("alphanodus",(E114&amp;" "&amp;F114)))),"Yes","No"))</f>
        <v/>
      </c>
      <c r="P114" s="34" t="str">
        <f aca="false">IF(D114="","",IF(O114="Yes","No",IF(OR(AND(F114&lt;&gt;"",COUNTIF('Target &amp; Team Lists'!$A$5:$A$504,F114)&gt;0),COUNTIF('Target &amp; Team Lists'!$E$5:$E$504,D114)&gt;0),"Yes",IF(AND(SUMPRODUCT(('Target &amp; Team Lists'!$N$5:$N$60&lt;&gt;"")*ISNUMBER(SEARCH('Target &amp; Team Lists'!$N$5:$N$60,(E114&amp;" "&amp;F114))))&gt;0,SUMPRODUCT(('Target &amp; Team Lists'!$O$5:$O$60&lt;&gt;"")*ISNUMBER(SEARCH('Target &amp; Team Lists'!$O$5:$O$60,(E114&amp;" "&amp;F114))))=0),"Yes","No"))))</f>
        <v/>
      </c>
      <c r="Q114" s="32"/>
    </row>
    <row r="115" customFormat="false" ht="15" hidden="false" customHeight="false" outlineLevel="0" collapsed="false">
      <c r="A115" s="30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3" t="str">
        <f aca="false">IF(D115="","",IF(SUM(I115:L115)&gt;0,1,0))</f>
        <v/>
      </c>
      <c r="O115" s="34" t="str">
        <f aca="false">IF(D115="","",IF(OR(COUNTIF('Target &amp; Team Lists'!$J$5:$J$204,D115)&gt;0,AND(H115&lt;&gt;"",COUNTIF('Target &amp; Team Lists'!$L$5:$L$204,H115)&gt;0),ISNUMBER(SEARCH("alpha nodus",(E115&amp;" "&amp;F115))),ISNUMBER(SEARCH("alphanodus",(E115&amp;" "&amp;F115)))),"Yes","No"))</f>
        <v/>
      </c>
      <c r="P115" s="34" t="str">
        <f aca="false">IF(D115="","",IF(O115="Yes","No",IF(OR(AND(F115&lt;&gt;"",COUNTIF('Target &amp; Team Lists'!$A$5:$A$504,F115)&gt;0),COUNTIF('Target &amp; Team Lists'!$E$5:$E$504,D115)&gt;0),"Yes",IF(AND(SUMPRODUCT(('Target &amp; Team Lists'!$N$5:$N$60&lt;&gt;"")*ISNUMBER(SEARCH('Target &amp; Team Lists'!$N$5:$N$60,(E115&amp;" "&amp;F115))))&gt;0,SUMPRODUCT(('Target &amp; Team Lists'!$O$5:$O$60&lt;&gt;"")*ISNUMBER(SEARCH('Target &amp; Team Lists'!$O$5:$O$60,(E115&amp;" "&amp;F115))))=0),"Yes","No"))))</f>
        <v/>
      </c>
      <c r="Q115" s="32"/>
    </row>
    <row r="116" customFormat="false" ht="15" hidden="false" customHeight="false" outlineLevel="0" collapsed="false">
      <c r="A116" s="30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3" t="str">
        <f aca="false">IF(D116="","",IF(SUM(I116:L116)&gt;0,1,0))</f>
        <v/>
      </c>
      <c r="O116" s="34" t="str">
        <f aca="false">IF(D116="","",IF(OR(COUNTIF('Target &amp; Team Lists'!$J$5:$J$204,D116)&gt;0,AND(H116&lt;&gt;"",COUNTIF('Target &amp; Team Lists'!$L$5:$L$204,H116)&gt;0),ISNUMBER(SEARCH("alpha nodus",(E116&amp;" "&amp;F116))),ISNUMBER(SEARCH("alphanodus",(E116&amp;" "&amp;F116)))),"Yes","No"))</f>
        <v/>
      </c>
      <c r="P116" s="34" t="str">
        <f aca="false">IF(D116="","",IF(O116="Yes","No",IF(OR(AND(F116&lt;&gt;"",COUNTIF('Target &amp; Team Lists'!$A$5:$A$504,F116)&gt;0),COUNTIF('Target &amp; Team Lists'!$E$5:$E$504,D116)&gt;0),"Yes",IF(AND(SUMPRODUCT(('Target &amp; Team Lists'!$N$5:$N$60&lt;&gt;"")*ISNUMBER(SEARCH('Target &amp; Team Lists'!$N$5:$N$60,(E116&amp;" "&amp;F116))))&gt;0,SUMPRODUCT(('Target &amp; Team Lists'!$O$5:$O$60&lt;&gt;"")*ISNUMBER(SEARCH('Target &amp; Team Lists'!$O$5:$O$60,(E116&amp;" "&amp;F116))))=0),"Yes","No"))))</f>
        <v/>
      </c>
      <c r="Q116" s="32"/>
    </row>
    <row r="117" customFormat="false" ht="15" hidden="false" customHeight="false" outlineLevel="0" collapsed="false">
      <c r="A117" s="30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3" t="str">
        <f aca="false">IF(D117="","",IF(SUM(I117:L117)&gt;0,1,0))</f>
        <v/>
      </c>
      <c r="O117" s="34" t="str">
        <f aca="false">IF(D117="","",IF(OR(COUNTIF('Target &amp; Team Lists'!$J$5:$J$204,D117)&gt;0,AND(H117&lt;&gt;"",COUNTIF('Target &amp; Team Lists'!$L$5:$L$204,H117)&gt;0),ISNUMBER(SEARCH("alpha nodus",(E117&amp;" "&amp;F117))),ISNUMBER(SEARCH("alphanodus",(E117&amp;" "&amp;F117)))),"Yes","No"))</f>
        <v/>
      </c>
      <c r="P117" s="34" t="str">
        <f aca="false">IF(D117="","",IF(O117="Yes","No",IF(OR(AND(F117&lt;&gt;"",COUNTIF('Target &amp; Team Lists'!$A$5:$A$504,F117)&gt;0),COUNTIF('Target &amp; Team Lists'!$E$5:$E$504,D117)&gt;0),"Yes",IF(AND(SUMPRODUCT(('Target &amp; Team Lists'!$N$5:$N$60&lt;&gt;"")*ISNUMBER(SEARCH('Target &amp; Team Lists'!$N$5:$N$60,(E117&amp;" "&amp;F117))))&gt;0,SUMPRODUCT(('Target &amp; Team Lists'!$O$5:$O$60&lt;&gt;"")*ISNUMBER(SEARCH('Target &amp; Team Lists'!$O$5:$O$60,(E117&amp;" "&amp;F117))))=0),"Yes","No"))))</f>
        <v/>
      </c>
      <c r="Q117" s="32"/>
    </row>
    <row r="118" customFormat="false" ht="15" hidden="false" customHeight="false" outlineLevel="0" collapsed="false">
      <c r="A118" s="30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3" t="str">
        <f aca="false">IF(D118="","",IF(SUM(I118:L118)&gt;0,1,0))</f>
        <v/>
      </c>
      <c r="O118" s="34" t="str">
        <f aca="false">IF(D118="","",IF(OR(COUNTIF('Target &amp; Team Lists'!$J$5:$J$204,D118)&gt;0,AND(H118&lt;&gt;"",COUNTIF('Target &amp; Team Lists'!$L$5:$L$204,H118)&gt;0),ISNUMBER(SEARCH("alpha nodus",(E118&amp;" "&amp;F118))),ISNUMBER(SEARCH("alphanodus",(E118&amp;" "&amp;F118)))),"Yes","No"))</f>
        <v/>
      </c>
      <c r="P118" s="34" t="str">
        <f aca="false">IF(D118="","",IF(O118="Yes","No",IF(OR(AND(F118&lt;&gt;"",COUNTIF('Target &amp; Team Lists'!$A$5:$A$504,F118)&gt;0),COUNTIF('Target &amp; Team Lists'!$E$5:$E$504,D118)&gt;0),"Yes",IF(AND(SUMPRODUCT(('Target &amp; Team Lists'!$N$5:$N$60&lt;&gt;"")*ISNUMBER(SEARCH('Target &amp; Team Lists'!$N$5:$N$60,(E118&amp;" "&amp;F118))))&gt;0,SUMPRODUCT(('Target &amp; Team Lists'!$O$5:$O$60&lt;&gt;"")*ISNUMBER(SEARCH('Target &amp; Team Lists'!$O$5:$O$60,(E118&amp;" "&amp;F118))))=0),"Yes","No"))))</f>
        <v/>
      </c>
      <c r="Q118" s="32"/>
    </row>
    <row r="119" customFormat="false" ht="15" hidden="false" customHeight="false" outlineLevel="0" collapsed="false">
      <c r="A119" s="30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3" t="str">
        <f aca="false">IF(D119="","",IF(SUM(I119:L119)&gt;0,1,0))</f>
        <v/>
      </c>
      <c r="O119" s="34" t="str">
        <f aca="false">IF(D119="","",IF(OR(COUNTIF('Target &amp; Team Lists'!$J$5:$J$204,D119)&gt;0,AND(H119&lt;&gt;"",COUNTIF('Target &amp; Team Lists'!$L$5:$L$204,H119)&gt;0),ISNUMBER(SEARCH("alpha nodus",(E119&amp;" "&amp;F119))),ISNUMBER(SEARCH("alphanodus",(E119&amp;" "&amp;F119)))),"Yes","No"))</f>
        <v/>
      </c>
      <c r="P119" s="34" t="str">
        <f aca="false">IF(D119="","",IF(O119="Yes","No",IF(OR(AND(F119&lt;&gt;"",COUNTIF('Target &amp; Team Lists'!$A$5:$A$504,F119)&gt;0),COUNTIF('Target &amp; Team Lists'!$E$5:$E$504,D119)&gt;0),"Yes",IF(AND(SUMPRODUCT(('Target &amp; Team Lists'!$N$5:$N$60&lt;&gt;"")*ISNUMBER(SEARCH('Target &amp; Team Lists'!$N$5:$N$60,(E119&amp;" "&amp;F119))))&gt;0,SUMPRODUCT(('Target &amp; Team Lists'!$O$5:$O$60&lt;&gt;"")*ISNUMBER(SEARCH('Target &amp; Team Lists'!$O$5:$O$60,(E119&amp;" "&amp;F119))))=0),"Yes","No"))))</f>
        <v/>
      </c>
      <c r="Q119" s="32"/>
    </row>
    <row r="120" customFormat="false" ht="15" hidden="false" customHeight="false" outlineLevel="0" collapsed="false">
      <c r="A120" s="30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3" t="str">
        <f aca="false">IF(D120="","",IF(SUM(I120:L120)&gt;0,1,0))</f>
        <v/>
      </c>
      <c r="O120" s="34" t="str">
        <f aca="false">IF(D120="","",IF(OR(COUNTIF('Target &amp; Team Lists'!$J$5:$J$204,D120)&gt;0,AND(H120&lt;&gt;"",COUNTIF('Target &amp; Team Lists'!$L$5:$L$204,H120)&gt;0),ISNUMBER(SEARCH("alpha nodus",(E120&amp;" "&amp;F120))),ISNUMBER(SEARCH("alphanodus",(E120&amp;" "&amp;F120)))),"Yes","No"))</f>
        <v/>
      </c>
      <c r="P120" s="34" t="str">
        <f aca="false">IF(D120="","",IF(O120="Yes","No",IF(OR(AND(F120&lt;&gt;"",COUNTIF('Target &amp; Team Lists'!$A$5:$A$504,F120)&gt;0),COUNTIF('Target &amp; Team Lists'!$E$5:$E$504,D120)&gt;0),"Yes",IF(AND(SUMPRODUCT(('Target &amp; Team Lists'!$N$5:$N$60&lt;&gt;"")*ISNUMBER(SEARCH('Target &amp; Team Lists'!$N$5:$N$60,(E120&amp;" "&amp;F120))))&gt;0,SUMPRODUCT(('Target &amp; Team Lists'!$O$5:$O$60&lt;&gt;"")*ISNUMBER(SEARCH('Target &amp; Team Lists'!$O$5:$O$60,(E120&amp;" "&amp;F120))))=0),"Yes","No"))))</f>
        <v/>
      </c>
      <c r="Q120" s="32"/>
    </row>
    <row r="121" customFormat="false" ht="15" hidden="false" customHeight="false" outlineLevel="0" collapsed="false">
      <c r="A121" s="30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3" t="str">
        <f aca="false">IF(D121="","",IF(SUM(I121:L121)&gt;0,1,0))</f>
        <v/>
      </c>
      <c r="O121" s="34" t="str">
        <f aca="false">IF(D121="","",IF(OR(COUNTIF('Target &amp; Team Lists'!$J$5:$J$204,D121)&gt;0,AND(H121&lt;&gt;"",COUNTIF('Target &amp; Team Lists'!$L$5:$L$204,H121)&gt;0),ISNUMBER(SEARCH("alpha nodus",(E121&amp;" "&amp;F121))),ISNUMBER(SEARCH("alphanodus",(E121&amp;" "&amp;F121)))),"Yes","No"))</f>
        <v/>
      </c>
      <c r="P121" s="34" t="str">
        <f aca="false">IF(D121="","",IF(O121="Yes","No",IF(OR(AND(F121&lt;&gt;"",COUNTIF('Target &amp; Team Lists'!$A$5:$A$504,F121)&gt;0),COUNTIF('Target &amp; Team Lists'!$E$5:$E$504,D121)&gt;0),"Yes",IF(AND(SUMPRODUCT(('Target &amp; Team Lists'!$N$5:$N$60&lt;&gt;"")*ISNUMBER(SEARCH('Target &amp; Team Lists'!$N$5:$N$60,(E121&amp;" "&amp;F121))))&gt;0,SUMPRODUCT(('Target &amp; Team Lists'!$O$5:$O$60&lt;&gt;"")*ISNUMBER(SEARCH('Target &amp; Team Lists'!$O$5:$O$60,(E121&amp;" "&amp;F121))))=0),"Yes","No"))))</f>
        <v/>
      </c>
      <c r="Q121" s="32"/>
    </row>
    <row r="122" customFormat="false" ht="15" hidden="false" customHeight="false" outlineLevel="0" collapsed="false">
      <c r="A122" s="30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3" t="str">
        <f aca="false">IF(D122="","",IF(SUM(I122:L122)&gt;0,1,0))</f>
        <v/>
      </c>
      <c r="O122" s="34" t="str">
        <f aca="false">IF(D122="","",IF(OR(COUNTIF('Target &amp; Team Lists'!$J$5:$J$204,D122)&gt;0,AND(H122&lt;&gt;"",COUNTIF('Target &amp; Team Lists'!$L$5:$L$204,H122)&gt;0),ISNUMBER(SEARCH("alpha nodus",(E122&amp;" "&amp;F122))),ISNUMBER(SEARCH("alphanodus",(E122&amp;" "&amp;F122)))),"Yes","No"))</f>
        <v/>
      </c>
      <c r="P122" s="34" t="str">
        <f aca="false">IF(D122="","",IF(O122="Yes","No",IF(OR(AND(F122&lt;&gt;"",COUNTIF('Target &amp; Team Lists'!$A$5:$A$504,F122)&gt;0),COUNTIF('Target &amp; Team Lists'!$E$5:$E$504,D122)&gt;0),"Yes",IF(AND(SUMPRODUCT(('Target &amp; Team Lists'!$N$5:$N$60&lt;&gt;"")*ISNUMBER(SEARCH('Target &amp; Team Lists'!$N$5:$N$60,(E122&amp;" "&amp;F122))))&gt;0,SUMPRODUCT(('Target &amp; Team Lists'!$O$5:$O$60&lt;&gt;"")*ISNUMBER(SEARCH('Target &amp; Team Lists'!$O$5:$O$60,(E122&amp;" "&amp;F122))))=0),"Yes","No"))))</f>
        <v/>
      </c>
      <c r="Q122" s="32"/>
    </row>
    <row r="123" customFormat="false" ht="15" hidden="false" customHeight="false" outlineLevel="0" collapsed="false">
      <c r="A123" s="30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3" t="str">
        <f aca="false">IF(D123="","",IF(SUM(I123:L123)&gt;0,1,0))</f>
        <v/>
      </c>
      <c r="O123" s="34" t="str">
        <f aca="false">IF(D123="","",IF(OR(COUNTIF('Target &amp; Team Lists'!$J$5:$J$204,D123)&gt;0,AND(H123&lt;&gt;"",COUNTIF('Target &amp; Team Lists'!$L$5:$L$204,H123)&gt;0),ISNUMBER(SEARCH("alpha nodus",(E123&amp;" "&amp;F123))),ISNUMBER(SEARCH("alphanodus",(E123&amp;" "&amp;F123)))),"Yes","No"))</f>
        <v/>
      </c>
      <c r="P123" s="34" t="str">
        <f aca="false">IF(D123="","",IF(O123="Yes","No",IF(OR(AND(F123&lt;&gt;"",COUNTIF('Target &amp; Team Lists'!$A$5:$A$504,F123)&gt;0),COUNTIF('Target &amp; Team Lists'!$E$5:$E$504,D123)&gt;0),"Yes",IF(AND(SUMPRODUCT(('Target &amp; Team Lists'!$N$5:$N$60&lt;&gt;"")*ISNUMBER(SEARCH('Target &amp; Team Lists'!$N$5:$N$60,(E123&amp;" "&amp;F123))))&gt;0,SUMPRODUCT(('Target &amp; Team Lists'!$O$5:$O$60&lt;&gt;"")*ISNUMBER(SEARCH('Target &amp; Team Lists'!$O$5:$O$60,(E123&amp;" "&amp;F123))))=0),"Yes","No"))))</f>
        <v/>
      </c>
      <c r="Q123" s="32"/>
    </row>
    <row r="124" customFormat="false" ht="15" hidden="false" customHeight="false" outlineLevel="0" collapsed="false">
      <c r="A124" s="30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3" t="str">
        <f aca="false">IF(D124="","",IF(SUM(I124:L124)&gt;0,1,0))</f>
        <v/>
      </c>
      <c r="O124" s="34" t="str">
        <f aca="false">IF(D124="","",IF(OR(COUNTIF('Target &amp; Team Lists'!$J$5:$J$204,D124)&gt;0,AND(H124&lt;&gt;"",COUNTIF('Target &amp; Team Lists'!$L$5:$L$204,H124)&gt;0),ISNUMBER(SEARCH("alpha nodus",(E124&amp;" "&amp;F124))),ISNUMBER(SEARCH("alphanodus",(E124&amp;" "&amp;F124)))),"Yes","No"))</f>
        <v/>
      </c>
      <c r="P124" s="34" t="str">
        <f aca="false">IF(D124="","",IF(O124="Yes","No",IF(OR(AND(F124&lt;&gt;"",COUNTIF('Target &amp; Team Lists'!$A$5:$A$504,F124)&gt;0),COUNTIF('Target &amp; Team Lists'!$E$5:$E$504,D124)&gt;0),"Yes",IF(AND(SUMPRODUCT(('Target &amp; Team Lists'!$N$5:$N$60&lt;&gt;"")*ISNUMBER(SEARCH('Target &amp; Team Lists'!$N$5:$N$60,(E124&amp;" "&amp;F124))))&gt;0,SUMPRODUCT(('Target &amp; Team Lists'!$O$5:$O$60&lt;&gt;"")*ISNUMBER(SEARCH('Target &amp; Team Lists'!$O$5:$O$60,(E124&amp;" "&amp;F124))))=0),"Yes","No"))))</f>
        <v/>
      </c>
      <c r="Q124" s="32"/>
    </row>
    <row r="125" customFormat="false" ht="15" hidden="false" customHeight="false" outlineLevel="0" collapsed="false">
      <c r="A125" s="30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3" t="str">
        <f aca="false">IF(D125="","",IF(SUM(I125:L125)&gt;0,1,0))</f>
        <v/>
      </c>
      <c r="O125" s="34" t="str">
        <f aca="false">IF(D125="","",IF(OR(COUNTIF('Target &amp; Team Lists'!$J$5:$J$204,D125)&gt;0,AND(H125&lt;&gt;"",COUNTIF('Target &amp; Team Lists'!$L$5:$L$204,H125)&gt;0),ISNUMBER(SEARCH("alpha nodus",(E125&amp;" "&amp;F125))),ISNUMBER(SEARCH("alphanodus",(E125&amp;" "&amp;F125)))),"Yes","No"))</f>
        <v/>
      </c>
      <c r="P125" s="34" t="str">
        <f aca="false">IF(D125="","",IF(O125="Yes","No",IF(OR(AND(F125&lt;&gt;"",COUNTIF('Target &amp; Team Lists'!$A$5:$A$504,F125)&gt;0),COUNTIF('Target &amp; Team Lists'!$E$5:$E$504,D125)&gt;0),"Yes",IF(AND(SUMPRODUCT(('Target &amp; Team Lists'!$N$5:$N$60&lt;&gt;"")*ISNUMBER(SEARCH('Target &amp; Team Lists'!$N$5:$N$60,(E125&amp;" "&amp;F125))))&gt;0,SUMPRODUCT(('Target &amp; Team Lists'!$O$5:$O$60&lt;&gt;"")*ISNUMBER(SEARCH('Target &amp; Team Lists'!$O$5:$O$60,(E125&amp;" "&amp;F125))))=0),"Yes","No"))))</f>
        <v/>
      </c>
      <c r="Q125" s="32"/>
    </row>
    <row r="126" customFormat="false" ht="15" hidden="false" customHeight="false" outlineLevel="0" collapsed="false">
      <c r="A126" s="30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3" t="str">
        <f aca="false">IF(D126="","",IF(SUM(I126:L126)&gt;0,1,0))</f>
        <v/>
      </c>
      <c r="O126" s="34" t="str">
        <f aca="false">IF(D126="","",IF(OR(COUNTIF('Target &amp; Team Lists'!$J$5:$J$204,D126)&gt;0,AND(H126&lt;&gt;"",COUNTIF('Target &amp; Team Lists'!$L$5:$L$204,H126)&gt;0),ISNUMBER(SEARCH("alpha nodus",(E126&amp;" "&amp;F126))),ISNUMBER(SEARCH("alphanodus",(E126&amp;" "&amp;F126)))),"Yes","No"))</f>
        <v/>
      </c>
      <c r="P126" s="34" t="str">
        <f aca="false">IF(D126="","",IF(O126="Yes","No",IF(OR(AND(F126&lt;&gt;"",COUNTIF('Target &amp; Team Lists'!$A$5:$A$504,F126)&gt;0),COUNTIF('Target &amp; Team Lists'!$E$5:$E$504,D126)&gt;0),"Yes",IF(AND(SUMPRODUCT(('Target &amp; Team Lists'!$N$5:$N$60&lt;&gt;"")*ISNUMBER(SEARCH('Target &amp; Team Lists'!$N$5:$N$60,(E126&amp;" "&amp;F126))))&gt;0,SUMPRODUCT(('Target &amp; Team Lists'!$O$5:$O$60&lt;&gt;"")*ISNUMBER(SEARCH('Target &amp; Team Lists'!$O$5:$O$60,(E126&amp;" "&amp;F126))))=0),"Yes","No"))))</f>
        <v/>
      </c>
      <c r="Q126" s="32"/>
    </row>
    <row r="127" customFormat="false" ht="15" hidden="false" customHeight="false" outlineLevel="0" collapsed="false">
      <c r="A127" s="30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3" t="str">
        <f aca="false">IF(D127="","",IF(SUM(I127:L127)&gt;0,1,0))</f>
        <v/>
      </c>
      <c r="O127" s="34" t="str">
        <f aca="false">IF(D127="","",IF(OR(COUNTIF('Target &amp; Team Lists'!$J$5:$J$204,D127)&gt;0,AND(H127&lt;&gt;"",COUNTIF('Target &amp; Team Lists'!$L$5:$L$204,H127)&gt;0),ISNUMBER(SEARCH("alpha nodus",(E127&amp;" "&amp;F127))),ISNUMBER(SEARCH("alphanodus",(E127&amp;" "&amp;F127)))),"Yes","No"))</f>
        <v/>
      </c>
      <c r="P127" s="34" t="str">
        <f aca="false">IF(D127="","",IF(O127="Yes","No",IF(OR(AND(F127&lt;&gt;"",COUNTIF('Target &amp; Team Lists'!$A$5:$A$504,F127)&gt;0),COUNTIF('Target &amp; Team Lists'!$E$5:$E$504,D127)&gt;0),"Yes",IF(AND(SUMPRODUCT(('Target &amp; Team Lists'!$N$5:$N$60&lt;&gt;"")*ISNUMBER(SEARCH('Target &amp; Team Lists'!$N$5:$N$60,(E127&amp;" "&amp;F127))))&gt;0,SUMPRODUCT(('Target &amp; Team Lists'!$O$5:$O$60&lt;&gt;"")*ISNUMBER(SEARCH('Target &amp; Team Lists'!$O$5:$O$60,(E127&amp;" "&amp;F127))))=0),"Yes","No"))))</f>
        <v/>
      </c>
      <c r="Q127" s="32"/>
    </row>
    <row r="128" customFormat="false" ht="15" hidden="false" customHeight="false" outlineLevel="0" collapsed="false">
      <c r="A128" s="30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3" t="str">
        <f aca="false">IF(D128="","",IF(SUM(I128:L128)&gt;0,1,0))</f>
        <v/>
      </c>
      <c r="O128" s="34" t="str">
        <f aca="false">IF(D128="","",IF(OR(COUNTIF('Target &amp; Team Lists'!$J$5:$J$204,D128)&gt;0,AND(H128&lt;&gt;"",COUNTIF('Target &amp; Team Lists'!$L$5:$L$204,H128)&gt;0),ISNUMBER(SEARCH("alpha nodus",(E128&amp;" "&amp;F128))),ISNUMBER(SEARCH("alphanodus",(E128&amp;" "&amp;F128)))),"Yes","No"))</f>
        <v/>
      </c>
      <c r="P128" s="34" t="str">
        <f aca="false">IF(D128="","",IF(O128="Yes","No",IF(OR(AND(F128&lt;&gt;"",COUNTIF('Target &amp; Team Lists'!$A$5:$A$504,F128)&gt;0),COUNTIF('Target &amp; Team Lists'!$E$5:$E$504,D128)&gt;0),"Yes",IF(AND(SUMPRODUCT(('Target &amp; Team Lists'!$N$5:$N$60&lt;&gt;"")*ISNUMBER(SEARCH('Target &amp; Team Lists'!$N$5:$N$60,(E128&amp;" "&amp;F128))))&gt;0,SUMPRODUCT(('Target &amp; Team Lists'!$O$5:$O$60&lt;&gt;"")*ISNUMBER(SEARCH('Target &amp; Team Lists'!$O$5:$O$60,(E128&amp;" "&amp;F128))))=0),"Yes","No"))))</f>
        <v/>
      </c>
      <c r="Q128" s="32"/>
    </row>
    <row r="129" customFormat="false" ht="15" hidden="false" customHeight="false" outlineLevel="0" collapsed="false">
      <c r="A129" s="30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3" t="str">
        <f aca="false">IF(D129="","",IF(SUM(I129:L129)&gt;0,1,0))</f>
        <v/>
      </c>
      <c r="O129" s="34" t="str">
        <f aca="false">IF(D129="","",IF(OR(COUNTIF('Target &amp; Team Lists'!$J$5:$J$204,D129)&gt;0,AND(H129&lt;&gt;"",COUNTIF('Target &amp; Team Lists'!$L$5:$L$204,H129)&gt;0),ISNUMBER(SEARCH("alpha nodus",(E129&amp;" "&amp;F129))),ISNUMBER(SEARCH("alphanodus",(E129&amp;" "&amp;F129)))),"Yes","No"))</f>
        <v/>
      </c>
      <c r="P129" s="34" t="str">
        <f aca="false">IF(D129="","",IF(O129="Yes","No",IF(OR(AND(F129&lt;&gt;"",COUNTIF('Target &amp; Team Lists'!$A$5:$A$504,F129)&gt;0),COUNTIF('Target &amp; Team Lists'!$E$5:$E$504,D129)&gt;0),"Yes",IF(AND(SUMPRODUCT(('Target &amp; Team Lists'!$N$5:$N$60&lt;&gt;"")*ISNUMBER(SEARCH('Target &amp; Team Lists'!$N$5:$N$60,(E129&amp;" "&amp;F129))))&gt;0,SUMPRODUCT(('Target &amp; Team Lists'!$O$5:$O$60&lt;&gt;"")*ISNUMBER(SEARCH('Target &amp; Team Lists'!$O$5:$O$60,(E129&amp;" "&amp;F129))))=0),"Yes","No"))))</f>
        <v/>
      </c>
      <c r="Q129" s="32"/>
    </row>
    <row r="130" customFormat="false" ht="15" hidden="false" customHeight="false" outlineLevel="0" collapsed="false">
      <c r="A130" s="30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3" t="str">
        <f aca="false">IF(D130="","",IF(SUM(I130:L130)&gt;0,1,0))</f>
        <v/>
      </c>
      <c r="O130" s="34" t="str">
        <f aca="false">IF(D130="","",IF(OR(COUNTIF('Target &amp; Team Lists'!$J$5:$J$204,D130)&gt;0,AND(H130&lt;&gt;"",COUNTIF('Target &amp; Team Lists'!$L$5:$L$204,H130)&gt;0),ISNUMBER(SEARCH("alpha nodus",(E130&amp;" "&amp;F130))),ISNUMBER(SEARCH("alphanodus",(E130&amp;" "&amp;F130)))),"Yes","No"))</f>
        <v/>
      </c>
      <c r="P130" s="34" t="str">
        <f aca="false">IF(D130="","",IF(O130="Yes","No",IF(OR(AND(F130&lt;&gt;"",COUNTIF('Target &amp; Team Lists'!$A$5:$A$504,F130)&gt;0),COUNTIF('Target &amp; Team Lists'!$E$5:$E$504,D130)&gt;0),"Yes",IF(AND(SUMPRODUCT(('Target &amp; Team Lists'!$N$5:$N$60&lt;&gt;"")*ISNUMBER(SEARCH('Target &amp; Team Lists'!$N$5:$N$60,(E130&amp;" "&amp;F130))))&gt;0,SUMPRODUCT(('Target &amp; Team Lists'!$O$5:$O$60&lt;&gt;"")*ISNUMBER(SEARCH('Target &amp; Team Lists'!$O$5:$O$60,(E130&amp;" "&amp;F130))))=0),"Yes","No"))))</f>
        <v/>
      </c>
      <c r="Q130" s="32"/>
    </row>
    <row r="131" customFormat="false" ht="15" hidden="false" customHeight="false" outlineLevel="0" collapsed="false">
      <c r="A131" s="30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3" t="str">
        <f aca="false">IF(D131="","",IF(SUM(I131:L131)&gt;0,1,0))</f>
        <v/>
      </c>
      <c r="O131" s="34" t="str">
        <f aca="false">IF(D131="","",IF(OR(COUNTIF('Target &amp; Team Lists'!$J$5:$J$204,D131)&gt;0,AND(H131&lt;&gt;"",COUNTIF('Target &amp; Team Lists'!$L$5:$L$204,H131)&gt;0),ISNUMBER(SEARCH("alpha nodus",(E131&amp;" "&amp;F131))),ISNUMBER(SEARCH("alphanodus",(E131&amp;" "&amp;F131)))),"Yes","No"))</f>
        <v/>
      </c>
      <c r="P131" s="34" t="str">
        <f aca="false">IF(D131="","",IF(O131="Yes","No",IF(OR(AND(F131&lt;&gt;"",COUNTIF('Target &amp; Team Lists'!$A$5:$A$504,F131)&gt;0),COUNTIF('Target &amp; Team Lists'!$E$5:$E$504,D131)&gt;0),"Yes",IF(AND(SUMPRODUCT(('Target &amp; Team Lists'!$N$5:$N$60&lt;&gt;"")*ISNUMBER(SEARCH('Target &amp; Team Lists'!$N$5:$N$60,(E131&amp;" "&amp;F131))))&gt;0,SUMPRODUCT(('Target &amp; Team Lists'!$O$5:$O$60&lt;&gt;"")*ISNUMBER(SEARCH('Target &amp; Team Lists'!$O$5:$O$60,(E131&amp;" "&amp;F131))))=0),"Yes","No"))))</f>
        <v/>
      </c>
      <c r="Q131" s="32"/>
    </row>
    <row r="132" customFormat="false" ht="15" hidden="false" customHeight="false" outlineLevel="0" collapsed="false">
      <c r="A132" s="30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3" t="str">
        <f aca="false">IF(D132="","",IF(SUM(I132:L132)&gt;0,1,0))</f>
        <v/>
      </c>
      <c r="O132" s="34" t="str">
        <f aca="false">IF(D132="","",IF(OR(COUNTIF('Target &amp; Team Lists'!$J$5:$J$204,D132)&gt;0,AND(H132&lt;&gt;"",COUNTIF('Target &amp; Team Lists'!$L$5:$L$204,H132)&gt;0),ISNUMBER(SEARCH("alpha nodus",(E132&amp;" "&amp;F132))),ISNUMBER(SEARCH("alphanodus",(E132&amp;" "&amp;F132)))),"Yes","No"))</f>
        <v/>
      </c>
      <c r="P132" s="34" t="str">
        <f aca="false">IF(D132="","",IF(O132="Yes","No",IF(OR(AND(F132&lt;&gt;"",COUNTIF('Target &amp; Team Lists'!$A$5:$A$504,F132)&gt;0),COUNTIF('Target &amp; Team Lists'!$E$5:$E$504,D132)&gt;0),"Yes",IF(AND(SUMPRODUCT(('Target &amp; Team Lists'!$N$5:$N$60&lt;&gt;"")*ISNUMBER(SEARCH('Target &amp; Team Lists'!$N$5:$N$60,(E132&amp;" "&amp;F132))))&gt;0,SUMPRODUCT(('Target &amp; Team Lists'!$O$5:$O$60&lt;&gt;"")*ISNUMBER(SEARCH('Target &amp; Team Lists'!$O$5:$O$60,(E132&amp;" "&amp;F132))))=0),"Yes","No"))))</f>
        <v/>
      </c>
      <c r="Q132" s="32"/>
    </row>
    <row r="133" customFormat="false" ht="15" hidden="false" customHeight="false" outlineLevel="0" collapsed="false">
      <c r="A133" s="30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3" t="str">
        <f aca="false">IF(D133="","",IF(SUM(I133:L133)&gt;0,1,0))</f>
        <v/>
      </c>
      <c r="O133" s="34" t="str">
        <f aca="false">IF(D133="","",IF(OR(COUNTIF('Target &amp; Team Lists'!$J$5:$J$204,D133)&gt;0,AND(H133&lt;&gt;"",COUNTIF('Target &amp; Team Lists'!$L$5:$L$204,H133)&gt;0),ISNUMBER(SEARCH("alpha nodus",(E133&amp;" "&amp;F133))),ISNUMBER(SEARCH("alphanodus",(E133&amp;" "&amp;F133)))),"Yes","No"))</f>
        <v/>
      </c>
      <c r="P133" s="34" t="str">
        <f aca="false">IF(D133="","",IF(O133="Yes","No",IF(OR(AND(F133&lt;&gt;"",COUNTIF('Target &amp; Team Lists'!$A$5:$A$504,F133)&gt;0),COUNTIF('Target &amp; Team Lists'!$E$5:$E$504,D133)&gt;0),"Yes",IF(AND(SUMPRODUCT(('Target &amp; Team Lists'!$N$5:$N$60&lt;&gt;"")*ISNUMBER(SEARCH('Target &amp; Team Lists'!$N$5:$N$60,(E133&amp;" "&amp;F133))))&gt;0,SUMPRODUCT(('Target &amp; Team Lists'!$O$5:$O$60&lt;&gt;"")*ISNUMBER(SEARCH('Target &amp; Team Lists'!$O$5:$O$60,(E133&amp;" "&amp;F133))))=0),"Yes","No"))))</f>
        <v/>
      </c>
      <c r="Q133" s="32"/>
    </row>
    <row r="134" customFormat="false" ht="15" hidden="false" customHeight="false" outlineLevel="0" collapsed="false">
      <c r="A134" s="30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3" t="str">
        <f aca="false">IF(D134="","",IF(SUM(I134:L134)&gt;0,1,0))</f>
        <v/>
      </c>
      <c r="O134" s="34" t="str">
        <f aca="false">IF(D134="","",IF(OR(COUNTIF('Target &amp; Team Lists'!$J$5:$J$204,D134)&gt;0,AND(H134&lt;&gt;"",COUNTIF('Target &amp; Team Lists'!$L$5:$L$204,H134)&gt;0),ISNUMBER(SEARCH("alpha nodus",(E134&amp;" "&amp;F134))),ISNUMBER(SEARCH("alphanodus",(E134&amp;" "&amp;F134)))),"Yes","No"))</f>
        <v/>
      </c>
      <c r="P134" s="34" t="str">
        <f aca="false">IF(D134="","",IF(O134="Yes","No",IF(OR(AND(F134&lt;&gt;"",COUNTIF('Target &amp; Team Lists'!$A$5:$A$504,F134)&gt;0),COUNTIF('Target &amp; Team Lists'!$E$5:$E$504,D134)&gt;0),"Yes",IF(AND(SUMPRODUCT(('Target &amp; Team Lists'!$N$5:$N$60&lt;&gt;"")*ISNUMBER(SEARCH('Target &amp; Team Lists'!$N$5:$N$60,(E134&amp;" "&amp;F134))))&gt;0,SUMPRODUCT(('Target &amp; Team Lists'!$O$5:$O$60&lt;&gt;"")*ISNUMBER(SEARCH('Target &amp; Team Lists'!$O$5:$O$60,(E134&amp;" "&amp;F134))))=0),"Yes","No"))))</f>
        <v/>
      </c>
      <c r="Q134" s="32"/>
    </row>
    <row r="135" customFormat="false" ht="15" hidden="false" customHeight="false" outlineLevel="0" collapsed="false">
      <c r="A135" s="30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3" t="str">
        <f aca="false">IF(D135="","",IF(SUM(I135:L135)&gt;0,1,0))</f>
        <v/>
      </c>
      <c r="O135" s="34" t="str">
        <f aca="false">IF(D135="","",IF(OR(COUNTIF('Target &amp; Team Lists'!$J$5:$J$204,D135)&gt;0,AND(H135&lt;&gt;"",COUNTIF('Target &amp; Team Lists'!$L$5:$L$204,H135)&gt;0),ISNUMBER(SEARCH("alpha nodus",(E135&amp;" "&amp;F135))),ISNUMBER(SEARCH("alphanodus",(E135&amp;" "&amp;F135)))),"Yes","No"))</f>
        <v/>
      </c>
      <c r="P135" s="34" t="str">
        <f aca="false">IF(D135="","",IF(O135="Yes","No",IF(OR(AND(F135&lt;&gt;"",COUNTIF('Target &amp; Team Lists'!$A$5:$A$504,F135)&gt;0),COUNTIF('Target &amp; Team Lists'!$E$5:$E$504,D135)&gt;0),"Yes",IF(AND(SUMPRODUCT(('Target &amp; Team Lists'!$N$5:$N$60&lt;&gt;"")*ISNUMBER(SEARCH('Target &amp; Team Lists'!$N$5:$N$60,(E135&amp;" "&amp;F135))))&gt;0,SUMPRODUCT(('Target &amp; Team Lists'!$O$5:$O$60&lt;&gt;"")*ISNUMBER(SEARCH('Target &amp; Team Lists'!$O$5:$O$60,(E135&amp;" "&amp;F135))))=0),"Yes","No"))))</f>
        <v/>
      </c>
      <c r="Q135" s="32"/>
    </row>
    <row r="136" customFormat="false" ht="15" hidden="false" customHeight="false" outlineLevel="0" collapsed="false">
      <c r="A136" s="30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3" t="str">
        <f aca="false">IF(D136="","",IF(SUM(I136:L136)&gt;0,1,0))</f>
        <v/>
      </c>
      <c r="O136" s="34" t="str">
        <f aca="false">IF(D136="","",IF(OR(COUNTIF('Target &amp; Team Lists'!$J$5:$J$204,D136)&gt;0,AND(H136&lt;&gt;"",COUNTIF('Target &amp; Team Lists'!$L$5:$L$204,H136)&gt;0),ISNUMBER(SEARCH("alpha nodus",(E136&amp;" "&amp;F136))),ISNUMBER(SEARCH("alphanodus",(E136&amp;" "&amp;F136)))),"Yes","No"))</f>
        <v/>
      </c>
      <c r="P136" s="34" t="str">
        <f aca="false">IF(D136="","",IF(O136="Yes","No",IF(OR(AND(F136&lt;&gt;"",COUNTIF('Target &amp; Team Lists'!$A$5:$A$504,F136)&gt;0),COUNTIF('Target &amp; Team Lists'!$E$5:$E$504,D136)&gt;0),"Yes",IF(AND(SUMPRODUCT(('Target &amp; Team Lists'!$N$5:$N$60&lt;&gt;"")*ISNUMBER(SEARCH('Target &amp; Team Lists'!$N$5:$N$60,(E136&amp;" "&amp;F136))))&gt;0,SUMPRODUCT(('Target &amp; Team Lists'!$O$5:$O$60&lt;&gt;"")*ISNUMBER(SEARCH('Target &amp; Team Lists'!$O$5:$O$60,(E136&amp;" "&amp;F136))))=0),"Yes","No"))))</f>
        <v/>
      </c>
      <c r="Q136" s="32"/>
    </row>
    <row r="137" customFormat="false" ht="15" hidden="false" customHeight="false" outlineLevel="0" collapsed="false">
      <c r="A137" s="30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3" t="str">
        <f aca="false">IF(D137="","",IF(SUM(I137:L137)&gt;0,1,0))</f>
        <v/>
      </c>
      <c r="O137" s="34" t="str">
        <f aca="false">IF(D137="","",IF(OR(COUNTIF('Target &amp; Team Lists'!$J$5:$J$204,D137)&gt;0,AND(H137&lt;&gt;"",COUNTIF('Target &amp; Team Lists'!$L$5:$L$204,H137)&gt;0),ISNUMBER(SEARCH("alpha nodus",(E137&amp;" "&amp;F137))),ISNUMBER(SEARCH("alphanodus",(E137&amp;" "&amp;F137)))),"Yes","No"))</f>
        <v/>
      </c>
      <c r="P137" s="34" t="str">
        <f aca="false">IF(D137="","",IF(O137="Yes","No",IF(OR(AND(F137&lt;&gt;"",COUNTIF('Target &amp; Team Lists'!$A$5:$A$504,F137)&gt;0),COUNTIF('Target &amp; Team Lists'!$E$5:$E$504,D137)&gt;0),"Yes",IF(AND(SUMPRODUCT(('Target &amp; Team Lists'!$N$5:$N$60&lt;&gt;"")*ISNUMBER(SEARCH('Target &amp; Team Lists'!$N$5:$N$60,(E137&amp;" "&amp;F137))))&gt;0,SUMPRODUCT(('Target &amp; Team Lists'!$O$5:$O$60&lt;&gt;"")*ISNUMBER(SEARCH('Target &amp; Team Lists'!$O$5:$O$60,(E137&amp;" "&amp;F137))))=0),"Yes","No"))))</f>
        <v/>
      </c>
      <c r="Q137" s="32"/>
    </row>
    <row r="138" customFormat="false" ht="15" hidden="false" customHeight="false" outlineLevel="0" collapsed="false">
      <c r="A138" s="30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3" t="str">
        <f aca="false">IF(D138="","",IF(SUM(I138:L138)&gt;0,1,0))</f>
        <v/>
      </c>
      <c r="O138" s="34" t="str">
        <f aca="false">IF(D138="","",IF(OR(COUNTIF('Target &amp; Team Lists'!$J$5:$J$204,D138)&gt;0,AND(H138&lt;&gt;"",COUNTIF('Target &amp; Team Lists'!$L$5:$L$204,H138)&gt;0),ISNUMBER(SEARCH("alpha nodus",(E138&amp;" "&amp;F138))),ISNUMBER(SEARCH("alphanodus",(E138&amp;" "&amp;F138)))),"Yes","No"))</f>
        <v/>
      </c>
      <c r="P138" s="34" t="str">
        <f aca="false">IF(D138="","",IF(O138="Yes","No",IF(OR(AND(F138&lt;&gt;"",COUNTIF('Target &amp; Team Lists'!$A$5:$A$504,F138)&gt;0),COUNTIF('Target &amp; Team Lists'!$E$5:$E$504,D138)&gt;0),"Yes",IF(AND(SUMPRODUCT(('Target &amp; Team Lists'!$N$5:$N$60&lt;&gt;"")*ISNUMBER(SEARCH('Target &amp; Team Lists'!$N$5:$N$60,(E138&amp;" "&amp;F138))))&gt;0,SUMPRODUCT(('Target &amp; Team Lists'!$O$5:$O$60&lt;&gt;"")*ISNUMBER(SEARCH('Target &amp; Team Lists'!$O$5:$O$60,(E138&amp;" "&amp;F138))))=0),"Yes","No"))))</f>
        <v/>
      </c>
      <c r="Q138" s="32"/>
    </row>
    <row r="139" customFormat="false" ht="15" hidden="false" customHeight="false" outlineLevel="0" collapsed="false">
      <c r="A139" s="30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3" t="str">
        <f aca="false">IF(D139="","",IF(SUM(I139:L139)&gt;0,1,0))</f>
        <v/>
      </c>
      <c r="O139" s="34" t="str">
        <f aca="false">IF(D139="","",IF(OR(COUNTIF('Target &amp; Team Lists'!$J$5:$J$204,D139)&gt;0,AND(H139&lt;&gt;"",COUNTIF('Target &amp; Team Lists'!$L$5:$L$204,H139)&gt;0),ISNUMBER(SEARCH("alpha nodus",(E139&amp;" "&amp;F139))),ISNUMBER(SEARCH("alphanodus",(E139&amp;" "&amp;F139)))),"Yes","No"))</f>
        <v/>
      </c>
      <c r="P139" s="34" t="str">
        <f aca="false">IF(D139="","",IF(O139="Yes","No",IF(OR(AND(F139&lt;&gt;"",COUNTIF('Target &amp; Team Lists'!$A$5:$A$504,F139)&gt;0),COUNTIF('Target &amp; Team Lists'!$E$5:$E$504,D139)&gt;0),"Yes",IF(AND(SUMPRODUCT(('Target &amp; Team Lists'!$N$5:$N$60&lt;&gt;"")*ISNUMBER(SEARCH('Target &amp; Team Lists'!$N$5:$N$60,(E139&amp;" "&amp;F139))))&gt;0,SUMPRODUCT(('Target &amp; Team Lists'!$O$5:$O$60&lt;&gt;"")*ISNUMBER(SEARCH('Target &amp; Team Lists'!$O$5:$O$60,(E139&amp;" "&amp;F139))))=0),"Yes","No"))))</f>
        <v/>
      </c>
      <c r="Q139" s="32"/>
    </row>
    <row r="140" customFormat="false" ht="15" hidden="false" customHeight="false" outlineLevel="0" collapsed="false">
      <c r="A140" s="30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3" t="str">
        <f aca="false">IF(D140="","",IF(SUM(I140:L140)&gt;0,1,0))</f>
        <v/>
      </c>
      <c r="O140" s="34" t="str">
        <f aca="false">IF(D140="","",IF(OR(COUNTIF('Target &amp; Team Lists'!$J$5:$J$204,D140)&gt;0,AND(H140&lt;&gt;"",COUNTIF('Target &amp; Team Lists'!$L$5:$L$204,H140)&gt;0),ISNUMBER(SEARCH("alpha nodus",(E140&amp;" "&amp;F140))),ISNUMBER(SEARCH("alphanodus",(E140&amp;" "&amp;F140)))),"Yes","No"))</f>
        <v/>
      </c>
      <c r="P140" s="34" t="str">
        <f aca="false">IF(D140="","",IF(O140="Yes","No",IF(OR(AND(F140&lt;&gt;"",COUNTIF('Target &amp; Team Lists'!$A$5:$A$504,F140)&gt;0),COUNTIF('Target &amp; Team Lists'!$E$5:$E$504,D140)&gt;0),"Yes",IF(AND(SUMPRODUCT(('Target &amp; Team Lists'!$N$5:$N$60&lt;&gt;"")*ISNUMBER(SEARCH('Target &amp; Team Lists'!$N$5:$N$60,(E140&amp;" "&amp;F140))))&gt;0,SUMPRODUCT(('Target &amp; Team Lists'!$O$5:$O$60&lt;&gt;"")*ISNUMBER(SEARCH('Target &amp; Team Lists'!$O$5:$O$60,(E140&amp;" "&amp;F140))))=0),"Yes","No"))))</f>
        <v/>
      </c>
      <c r="Q140" s="32"/>
    </row>
    <row r="141" customFormat="false" ht="15" hidden="false" customHeight="false" outlineLevel="0" collapsed="false">
      <c r="A141" s="30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3" t="str">
        <f aca="false">IF(D141="","",IF(SUM(I141:L141)&gt;0,1,0))</f>
        <v/>
      </c>
      <c r="O141" s="34" t="str">
        <f aca="false">IF(D141="","",IF(OR(COUNTIF('Target &amp; Team Lists'!$J$5:$J$204,D141)&gt;0,AND(H141&lt;&gt;"",COUNTIF('Target &amp; Team Lists'!$L$5:$L$204,H141)&gt;0),ISNUMBER(SEARCH("alpha nodus",(E141&amp;" "&amp;F141))),ISNUMBER(SEARCH("alphanodus",(E141&amp;" "&amp;F141)))),"Yes","No"))</f>
        <v/>
      </c>
      <c r="P141" s="34" t="str">
        <f aca="false">IF(D141="","",IF(O141="Yes","No",IF(OR(AND(F141&lt;&gt;"",COUNTIF('Target &amp; Team Lists'!$A$5:$A$504,F141)&gt;0),COUNTIF('Target &amp; Team Lists'!$E$5:$E$504,D141)&gt;0),"Yes",IF(AND(SUMPRODUCT(('Target &amp; Team Lists'!$N$5:$N$60&lt;&gt;"")*ISNUMBER(SEARCH('Target &amp; Team Lists'!$N$5:$N$60,(E141&amp;" "&amp;F141))))&gt;0,SUMPRODUCT(('Target &amp; Team Lists'!$O$5:$O$60&lt;&gt;"")*ISNUMBER(SEARCH('Target &amp; Team Lists'!$O$5:$O$60,(E141&amp;" "&amp;F141))))=0),"Yes","No"))))</f>
        <v/>
      </c>
      <c r="Q141" s="32"/>
    </row>
    <row r="142" customFormat="false" ht="15" hidden="false" customHeight="false" outlineLevel="0" collapsed="false">
      <c r="A142" s="30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3" t="str">
        <f aca="false">IF(D142="","",IF(SUM(I142:L142)&gt;0,1,0))</f>
        <v/>
      </c>
      <c r="O142" s="34" t="str">
        <f aca="false">IF(D142="","",IF(OR(COUNTIF('Target &amp; Team Lists'!$J$5:$J$204,D142)&gt;0,AND(H142&lt;&gt;"",COUNTIF('Target &amp; Team Lists'!$L$5:$L$204,H142)&gt;0),ISNUMBER(SEARCH("alpha nodus",(E142&amp;" "&amp;F142))),ISNUMBER(SEARCH("alphanodus",(E142&amp;" "&amp;F142)))),"Yes","No"))</f>
        <v/>
      </c>
      <c r="P142" s="34" t="str">
        <f aca="false">IF(D142="","",IF(O142="Yes","No",IF(OR(AND(F142&lt;&gt;"",COUNTIF('Target &amp; Team Lists'!$A$5:$A$504,F142)&gt;0),COUNTIF('Target &amp; Team Lists'!$E$5:$E$504,D142)&gt;0),"Yes",IF(AND(SUMPRODUCT(('Target &amp; Team Lists'!$N$5:$N$60&lt;&gt;"")*ISNUMBER(SEARCH('Target &amp; Team Lists'!$N$5:$N$60,(E142&amp;" "&amp;F142))))&gt;0,SUMPRODUCT(('Target &amp; Team Lists'!$O$5:$O$60&lt;&gt;"")*ISNUMBER(SEARCH('Target &amp; Team Lists'!$O$5:$O$60,(E142&amp;" "&amp;F142))))=0),"Yes","No"))))</f>
        <v/>
      </c>
      <c r="Q142" s="32"/>
    </row>
    <row r="143" customFormat="false" ht="15" hidden="false" customHeight="false" outlineLevel="0" collapsed="false">
      <c r="A143" s="30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3" t="str">
        <f aca="false">IF(D143="","",IF(SUM(I143:L143)&gt;0,1,0))</f>
        <v/>
      </c>
      <c r="O143" s="34" t="str">
        <f aca="false">IF(D143="","",IF(OR(COUNTIF('Target &amp; Team Lists'!$J$5:$J$204,D143)&gt;0,AND(H143&lt;&gt;"",COUNTIF('Target &amp; Team Lists'!$L$5:$L$204,H143)&gt;0),ISNUMBER(SEARCH("alpha nodus",(E143&amp;" "&amp;F143))),ISNUMBER(SEARCH("alphanodus",(E143&amp;" "&amp;F143)))),"Yes","No"))</f>
        <v/>
      </c>
      <c r="P143" s="34" t="str">
        <f aca="false">IF(D143="","",IF(O143="Yes","No",IF(OR(AND(F143&lt;&gt;"",COUNTIF('Target &amp; Team Lists'!$A$5:$A$504,F143)&gt;0),COUNTIF('Target &amp; Team Lists'!$E$5:$E$504,D143)&gt;0),"Yes",IF(AND(SUMPRODUCT(('Target &amp; Team Lists'!$N$5:$N$60&lt;&gt;"")*ISNUMBER(SEARCH('Target &amp; Team Lists'!$N$5:$N$60,(E143&amp;" "&amp;F143))))&gt;0,SUMPRODUCT(('Target &amp; Team Lists'!$O$5:$O$60&lt;&gt;"")*ISNUMBER(SEARCH('Target &amp; Team Lists'!$O$5:$O$60,(E143&amp;" "&amp;F143))))=0),"Yes","No"))))</f>
        <v/>
      </c>
      <c r="Q143" s="32"/>
    </row>
    <row r="144" customFormat="false" ht="15" hidden="false" customHeight="false" outlineLevel="0" collapsed="false">
      <c r="A144" s="30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3" t="str">
        <f aca="false">IF(D144="","",IF(SUM(I144:L144)&gt;0,1,0))</f>
        <v/>
      </c>
      <c r="O144" s="34" t="str">
        <f aca="false">IF(D144="","",IF(OR(COUNTIF('Target &amp; Team Lists'!$J$5:$J$204,D144)&gt;0,AND(H144&lt;&gt;"",COUNTIF('Target &amp; Team Lists'!$L$5:$L$204,H144)&gt;0),ISNUMBER(SEARCH("alpha nodus",(E144&amp;" "&amp;F144))),ISNUMBER(SEARCH("alphanodus",(E144&amp;" "&amp;F144)))),"Yes","No"))</f>
        <v/>
      </c>
      <c r="P144" s="34" t="str">
        <f aca="false">IF(D144="","",IF(O144="Yes","No",IF(OR(AND(F144&lt;&gt;"",COUNTIF('Target &amp; Team Lists'!$A$5:$A$504,F144)&gt;0),COUNTIF('Target &amp; Team Lists'!$E$5:$E$504,D144)&gt;0),"Yes",IF(AND(SUMPRODUCT(('Target &amp; Team Lists'!$N$5:$N$60&lt;&gt;"")*ISNUMBER(SEARCH('Target &amp; Team Lists'!$N$5:$N$60,(E144&amp;" "&amp;F144))))&gt;0,SUMPRODUCT(('Target &amp; Team Lists'!$O$5:$O$60&lt;&gt;"")*ISNUMBER(SEARCH('Target &amp; Team Lists'!$O$5:$O$60,(E144&amp;" "&amp;F144))))=0),"Yes","No"))))</f>
        <v/>
      </c>
      <c r="Q144" s="32"/>
    </row>
    <row r="145" customFormat="false" ht="15" hidden="false" customHeight="false" outlineLevel="0" collapsed="false">
      <c r="A145" s="30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3" t="str">
        <f aca="false">IF(D145="","",IF(SUM(I145:L145)&gt;0,1,0))</f>
        <v/>
      </c>
      <c r="O145" s="34" t="str">
        <f aca="false">IF(D145="","",IF(OR(COUNTIF('Target &amp; Team Lists'!$J$5:$J$204,D145)&gt;0,AND(H145&lt;&gt;"",COUNTIF('Target &amp; Team Lists'!$L$5:$L$204,H145)&gt;0),ISNUMBER(SEARCH("alpha nodus",(E145&amp;" "&amp;F145))),ISNUMBER(SEARCH("alphanodus",(E145&amp;" "&amp;F145)))),"Yes","No"))</f>
        <v/>
      </c>
      <c r="P145" s="34" t="str">
        <f aca="false">IF(D145="","",IF(O145="Yes","No",IF(OR(AND(F145&lt;&gt;"",COUNTIF('Target &amp; Team Lists'!$A$5:$A$504,F145)&gt;0),COUNTIF('Target &amp; Team Lists'!$E$5:$E$504,D145)&gt;0),"Yes",IF(AND(SUMPRODUCT(('Target &amp; Team Lists'!$N$5:$N$60&lt;&gt;"")*ISNUMBER(SEARCH('Target &amp; Team Lists'!$N$5:$N$60,(E145&amp;" "&amp;F145))))&gt;0,SUMPRODUCT(('Target &amp; Team Lists'!$O$5:$O$60&lt;&gt;"")*ISNUMBER(SEARCH('Target &amp; Team Lists'!$O$5:$O$60,(E145&amp;" "&amp;F145))))=0),"Yes","No"))))</f>
        <v/>
      </c>
      <c r="Q145" s="32"/>
    </row>
    <row r="146" customFormat="false" ht="15" hidden="false" customHeight="false" outlineLevel="0" collapsed="false">
      <c r="A146" s="30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3" t="str">
        <f aca="false">IF(D146="","",IF(SUM(I146:L146)&gt;0,1,0))</f>
        <v/>
      </c>
      <c r="O146" s="34" t="str">
        <f aca="false">IF(D146="","",IF(OR(COUNTIF('Target &amp; Team Lists'!$J$5:$J$204,D146)&gt;0,AND(H146&lt;&gt;"",COUNTIF('Target &amp; Team Lists'!$L$5:$L$204,H146)&gt;0),ISNUMBER(SEARCH("alpha nodus",(E146&amp;" "&amp;F146))),ISNUMBER(SEARCH("alphanodus",(E146&amp;" "&amp;F146)))),"Yes","No"))</f>
        <v/>
      </c>
      <c r="P146" s="34" t="str">
        <f aca="false">IF(D146="","",IF(O146="Yes","No",IF(OR(AND(F146&lt;&gt;"",COUNTIF('Target &amp; Team Lists'!$A$5:$A$504,F146)&gt;0),COUNTIF('Target &amp; Team Lists'!$E$5:$E$504,D146)&gt;0),"Yes",IF(AND(SUMPRODUCT(('Target &amp; Team Lists'!$N$5:$N$60&lt;&gt;"")*ISNUMBER(SEARCH('Target &amp; Team Lists'!$N$5:$N$60,(E146&amp;" "&amp;F146))))&gt;0,SUMPRODUCT(('Target &amp; Team Lists'!$O$5:$O$60&lt;&gt;"")*ISNUMBER(SEARCH('Target &amp; Team Lists'!$O$5:$O$60,(E146&amp;" "&amp;F146))))=0),"Yes","No"))))</f>
        <v/>
      </c>
      <c r="Q146" s="32"/>
    </row>
    <row r="147" customFormat="false" ht="15" hidden="false" customHeight="false" outlineLevel="0" collapsed="false">
      <c r="A147" s="30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3" t="str">
        <f aca="false">IF(D147="","",IF(SUM(I147:L147)&gt;0,1,0))</f>
        <v/>
      </c>
      <c r="O147" s="34" t="str">
        <f aca="false">IF(D147="","",IF(OR(COUNTIF('Target &amp; Team Lists'!$J$5:$J$204,D147)&gt;0,AND(H147&lt;&gt;"",COUNTIF('Target &amp; Team Lists'!$L$5:$L$204,H147)&gt;0),ISNUMBER(SEARCH("alpha nodus",(E147&amp;" "&amp;F147))),ISNUMBER(SEARCH("alphanodus",(E147&amp;" "&amp;F147)))),"Yes","No"))</f>
        <v/>
      </c>
      <c r="P147" s="34" t="str">
        <f aca="false">IF(D147="","",IF(O147="Yes","No",IF(OR(AND(F147&lt;&gt;"",COUNTIF('Target &amp; Team Lists'!$A$5:$A$504,F147)&gt;0),COUNTIF('Target &amp; Team Lists'!$E$5:$E$504,D147)&gt;0),"Yes",IF(AND(SUMPRODUCT(('Target &amp; Team Lists'!$N$5:$N$60&lt;&gt;"")*ISNUMBER(SEARCH('Target &amp; Team Lists'!$N$5:$N$60,(E147&amp;" "&amp;F147))))&gt;0,SUMPRODUCT(('Target &amp; Team Lists'!$O$5:$O$60&lt;&gt;"")*ISNUMBER(SEARCH('Target &amp; Team Lists'!$O$5:$O$60,(E147&amp;" "&amp;F147))))=0),"Yes","No"))))</f>
        <v/>
      </c>
      <c r="Q147" s="32"/>
    </row>
    <row r="148" customFormat="false" ht="15" hidden="false" customHeight="false" outlineLevel="0" collapsed="false">
      <c r="A148" s="30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3" t="str">
        <f aca="false">IF(D148="","",IF(SUM(I148:L148)&gt;0,1,0))</f>
        <v/>
      </c>
      <c r="O148" s="34" t="str">
        <f aca="false">IF(D148="","",IF(OR(COUNTIF('Target &amp; Team Lists'!$J$5:$J$204,D148)&gt;0,AND(H148&lt;&gt;"",COUNTIF('Target &amp; Team Lists'!$L$5:$L$204,H148)&gt;0),ISNUMBER(SEARCH("alpha nodus",(E148&amp;" "&amp;F148))),ISNUMBER(SEARCH("alphanodus",(E148&amp;" "&amp;F148)))),"Yes","No"))</f>
        <v/>
      </c>
      <c r="P148" s="34" t="str">
        <f aca="false">IF(D148="","",IF(O148="Yes","No",IF(OR(AND(F148&lt;&gt;"",COUNTIF('Target &amp; Team Lists'!$A$5:$A$504,F148)&gt;0),COUNTIF('Target &amp; Team Lists'!$E$5:$E$504,D148)&gt;0),"Yes",IF(AND(SUMPRODUCT(('Target &amp; Team Lists'!$N$5:$N$60&lt;&gt;"")*ISNUMBER(SEARCH('Target &amp; Team Lists'!$N$5:$N$60,(E148&amp;" "&amp;F148))))&gt;0,SUMPRODUCT(('Target &amp; Team Lists'!$O$5:$O$60&lt;&gt;"")*ISNUMBER(SEARCH('Target &amp; Team Lists'!$O$5:$O$60,(E148&amp;" "&amp;F148))))=0),"Yes","No"))))</f>
        <v/>
      </c>
      <c r="Q148" s="32"/>
    </row>
    <row r="149" customFormat="false" ht="15" hidden="false" customHeight="false" outlineLevel="0" collapsed="false">
      <c r="A149" s="30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3" t="str">
        <f aca="false">IF(D149="","",IF(SUM(I149:L149)&gt;0,1,0))</f>
        <v/>
      </c>
      <c r="O149" s="34" t="str">
        <f aca="false">IF(D149="","",IF(OR(COUNTIF('Target &amp; Team Lists'!$J$5:$J$204,D149)&gt;0,AND(H149&lt;&gt;"",COUNTIF('Target &amp; Team Lists'!$L$5:$L$204,H149)&gt;0),ISNUMBER(SEARCH("alpha nodus",(E149&amp;" "&amp;F149))),ISNUMBER(SEARCH("alphanodus",(E149&amp;" "&amp;F149)))),"Yes","No"))</f>
        <v/>
      </c>
      <c r="P149" s="34" t="str">
        <f aca="false">IF(D149="","",IF(O149="Yes","No",IF(OR(AND(F149&lt;&gt;"",COUNTIF('Target &amp; Team Lists'!$A$5:$A$504,F149)&gt;0),COUNTIF('Target &amp; Team Lists'!$E$5:$E$504,D149)&gt;0),"Yes",IF(AND(SUMPRODUCT(('Target &amp; Team Lists'!$N$5:$N$60&lt;&gt;"")*ISNUMBER(SEARCH('Target &amp; Team Lists'!$N$5:$N$60,(E149&amp;" "&amp;F149))))&gt;0,SUMPRODUCT(('Target &amp; Team Lists'!$O$5:$O$60&lt;&gt;"")*ISNUMBER(SEARCH('Target &amp; Team Lists'!$O$5:$O$60,(E149&amp;" "&amp;F149))))=0),"Yes","No"))))</f>
        <v/>
      </c>
      <c r="Q149" s="32"/>
    </row>
    <row r="150" customFormat="false" ht="15" hidden="false" customHeight="false" outlineLevel="0" collapsed="false">
      <c r="A150" s="30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3" t="str">
        <f aca="false">IF(D150="","",IF(SUM(I150:L150)&gt;0,1,0))</f>
        <v/>
      </c>
      <c r="O150" s="34" t="str">
        <f aca="false">IF(D150="","",IF(OR(COUNTIF('Target &amp; Team Lists'!$J$5:$J$204,D150)&gt;0,AND(H150&lt;&gt;"",COUNTIF('Target &amp; Team Lists'!$L$5:$L$204,H150)&gt;0),ISNUMBER(SEARCH("alpha nodus",(E150&amp;" "&amp;F150))),ISNUMBER(SEARCH("alphanodus",(E150&amp;" "&amp;F150)))),"Yes","No"))</f>
        <v/>
      </c>
      <c r="P150" s="34" t="str">
        <f aca="false">IF(D150="","",IF(O150="Yes","No",IF(OR(AND(F150&lt;&gt;"",COUNTIF('Target &amp; Team Lists'!$A$5:$A$504,F150)&gt;0),COUNTIF('Target &amp; Team Lists'!$E$5:$E$504,D150)&gt;0),"Yes",IF(AND(SUMPRODUCT(('Target &amp; Team Lists'!$N$5:$N$60&lt;&gt;"")*ISNUMBER(SEARCH('Target &amp; Team Lists'!$N$5:$N$60,(E150&amp;" "&amp;F150))))&gt;0,SUMPRODUCT(('Target &amp; Team Lists'!$O$5:$O$60&lt;&gt;"")*ISNUMBER(SEARCH('Target &amp; Team Lists'!$O$5:$O$60,(E150&amp;" "&amp;F150))))=0),"Yes","No"))))</f>
        <v/>
      </c>
      <c r="Q150" s="32"/>
    </row>
    <row r="151" customFormat="false" ht="15" hidden="false" customHeight="false" outlineLevel="0" collapsed="false">
      <c r="A151" s="30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3" t="str">
        <f aca="false">IF(D151="","",IF(SUM(I151:L151)&gt;0,1,0))</f>
        <v/>
      </c>
      <c r="O151" s="34" t="str">
        <f aca="false">IF(D151="","",IF(OR(COUNTIF('Target &amp; Team Lists'!$J$5:$J$204,D151)&gt;0,AND(H151&lt;&gt;"",COUNTIF('Target &amp; Team Lists'!$L$5:$L$204,H151)&gt;0),ISNUMBER(SEARCH("alpha nodus",(E151&amp;" "&amp;F151))),ISNUMBER(SEARCH("alphanodus",(E151&amp;" "&amp;F151)))),"Yes","No"))</f>
        <v/>
      </c>
      <c r="P151" s="34" t="str">
        <f aca="false">IF(D151="","",IF(O151="Yes","No",IF(OR(AND(F151&lt;&gt;"",COUNTIF('Target &amp; Team Lists'!$A$5:$A$504,F151)&gt;0),COUNTIF('Target &amp; Team Lists'!$E$5:$E$504,D151)&gt;0),"Yes",IF(AND(SUMPRODUCT(('Target &amp; Team Lists'!$N$5:$N$60&lt;&gt;"")*ISNUMBER(SEARCH('Target &amp; Team Lists'!$N$5:$N$60,(E151&amp;" "&amp;F151))))&gt;0,SUMPRODUCT(('Target &amp; Team Lists'!$O$5:$O$60&lt;&gt;"")*ISNUMBER(SEARCH('Target &amp; Team Lists'!$O$5:$O$60,(E151&amp;" "&amp;F151))))=0),"Yes","No"))))</f>
        <v/>
      </c>
      <c r="Q151" s="32"/>
    </row>
    <row r="152" customFormat="false" ht="15" hidden="false" customHeight="false" outlineLevel="0" collapsed="false">
      <c r="A152" s="30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3" t="str">
        <f aca="false">IF(D152="","",IF(SUM(I152:L152)&gt;0,1,0))</f>
        <v/>
      </c>
      <c r="O152" s="34" t="str">
        <f aca="false">IF(D152="","",IF(OR(COUNTIF('Target &amp; Team Lists'!$J$5:$J$204,D152)&gt;0,AND(H152&lt;&gt;"",COUNTIF('Target &amp; Team Lists'!$L$5:$L$204,H152)&gt;0),ISNUMBER(SEARCH("alpha nodus",(E152&amp;" "&amp;F152))),ISNUMBER(SEARCH("alphanodus",(E152&amp;" "&amp;F152)))),"Yes","No"))</f>
        <v/>
      </c>
      <c r="P152" s="34" t="str">
        <f aca="false">IF(D152="","",IF(O152="Yes","No",IF(OR(AND(F152&lt;&gt;"",COUNTIF('Target &amp; Team Lists'!$A$5:$A$504,F152)&gt;0),COUNTIF('Target &amp; Team Lists'!$E$5:$E$504,D152)&gt;0),"Yes",IF(AND(SUMPRODUCT(('Target &amp; Team Lists'!$N$5:$N$60&lt;&gt;"")*ISNUMBER(SEARCH('Target &amp; Team Lists'!$N$5:$N$60,(E152&amp;" "&amp;F152))))&gt;0,SUMPRODUCT(('Target &amp; Team Lists'!$O$5:$O$60&lt;&gt;"")*ISNUMBER(SEARCH('Target &amp; Team Lists'!$O$5:$O$60,(E152&amp;" "&amp;F152))))=0),"Yes","No"))))</f>
        <v/>
      </c>
      <c r="Q152" s="32"/>
    </row>
    <row r="153" customFormat="false" ht="15" hidden="false" customHeight="false" outlineLevel="0" collapsed="false">
      <c r="A153" s="30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3" t="str">
        <f aca="false">IF(D153="","",IF(SUM(I153:L153)&gt;0,1,0))</f>
        <v/>
      </c>
      <c r="O153" s="34" t="str">
        <f aca="false">IF(D153="","",IF(OR(COUNTIF('Target &amp; Team Lists'!$J$5:$J$204,D153)&gt;0,AND(H153&lt;&gt;"",COUNTIF('Target &amp; Team Lists'!$L$5:$L$204,H153)&gt;0),ISNUMBER(SEARCH("alpha nodus",(E153&amp;" "&amp;F153))),ISNUMBER(SEARCH("alphanodus",(E153&amp;" "&amp;F153)))),"Yes","No"))</f>
        <v/>
      </c>
      <c r="P153" s="34" t="str">
        <f aca="false">IF(D153="","",IF(O153="Yes","No",IF(OR(AND(F153&lt;&gt;"",COUNTIF('Target &amp; Team Lists'!$A$5:$A$504,F153)&gt;0),COUNTIF('Target &amp; Team Lists'!$E$5:$E$504,D153)&gt;0),"Yes",IF(AND(SUMPRODUCT(('Target &amp; Team Lists'!$N$5:$N$60&lt;&gt;"")*ISNUMBER(SEARCH('Target &amp; Team Lists'!$N$5:$N$60,(E153&amp;" "&amp;F153))))&gt;0,SUMPRODUCT(('Target &amp; Team Lists'!$O$5:$O$60&lt;&gt;"")*ISNUMBER(SEARCH('Target &amp; Team Lists'!$O$5:$O$60,(E153&amp;" "&amp;F153))))=0),"Yes","No"))))</f>
        <v/>
      </c>
      <c r="Q153" s="32"/>
    </row>
    <row r="154" customFormat="false" ht="15" hidden="false" customHeight="false" outlineLevel="0" collapsed="false">
      <c r="A154" s="30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3" t="str">
        <f aca="false">IF(D154="","",IF(SUM(I154:L154)&gt;0,1,0))</f>
        <v/>
      </c>
      <c r="O154" s="34" t="str">
        <f aca="false">IF(D154="","",IF(OR(COUNTIF('Target &amp; Team Lists'!$J$5:$J$204,D154)&gt;0,AND(H154&lt;&gt;"",COUNTIF('Target &amp; Team Lists'!$L$5:$L$204,H154)&gt;0),ISNUMBER(SEARCH("alpha nodus",(E154&amp;" "&amp;F154))),ISNUMBER(SEARCH("alphanodus",(E154&amp;" "&amp;F154)))),"Yes","No"))</f>
        <v/>
      </c>
      <c r="P154" s="34" t="str">
        <f aca="false">IF(D154="","",IF(O154="Yes","No",IF(OR(AND(F154&lt;&gt;"",COUNTIF('Target &amp; Team Lists'!$A$5:$A$504,F154)&gt;0),COUNTIF('Target &amp; Team Lists'!$E$5:$E$504,D154)&gt;0),"Yes",IF(AND(SUMPRODUCT(('Target &amp; Team Lists'!$N$5:$N$60&lt;&gt;"")*ISNUMBER(SEARCH('Target &amp; Team Lists'!$N$5:$N$60,(E154&amp;" "&amp;F154))))&gt;0,SUMPRODUCT(('Target &amp; Team Lists'!$O$5:$O$60&lt;&gt;"")*ISNUMBER(SEARCH('Target &amp; Team Lists'!$O$5:$O$60,(E154&amp;" "&amp;F154))))=0),"Yes","No"))))</f>
        <v/>
      </c>
      <c r="Q154" s="32"/>
    </row>
    <row r="155" customFormat="false" ht="15" hidden="false" customHeight="false" outlineLevel="0" collapsed="false">
      <c r="A155" s="30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3" t="str">
        <f aca="false">IF(D155="","",IF(SUM(I155:L155)&gt;0,1,0))</f>
        <v/>
      </c>
      <c r="O155" s="34" t="str">
        <f aca="false">IF(D155="","",IF(OR(COUNTIF('Target &amp; Team Lists'!$J$5:$J$204,D155)&gt;0,AND(H155&lt;&gt;"",COUNTIF('Target &amp; Team Lists'!$L$5:$L$204,H155)&gt;0),ISNUMBER(SEARCH("alpha nodus",(E155&amp;" "&amp;F155))),ISNUMBER(SEARCH("alphanodus",(E155&amp;" "&amp;F155)))),"Yes","No"))</f>
        <v/>
      </c>
      <c r="P155" s="34" t="str">
        <f aca="false">IF(D155="","",IF(O155="Yes","No",IF(OR(AND(F155&lt;&gt;"",COUNTIF('Target &amp; Team Lists'!$A$5:$A$504,F155)&gt;0),COUNTIF('Target &amp; Team Lists'!$E$5:$E$504,D155)&gt;0),"Yes",IF(AND(SUMPRODUCT(('Target &amp; Team Lists'!$N$5:$N$60&lt;&gt;"")*ISNUMBER(SEARCH('Target &amp; Team Lists'!$N$5:$N$60,(E155&amp;" "&amp;F155))))&gt;0,SUMPRODUCT(('Target &amp; Team Lists'!$O$5:$O$60&lt;&gt;"")*ISNUMBER(SEARCH('Target &amp; Team Lists'!$O$5:$O$60,(E155&amp;" "&amp;F155))))=0),"Yes","No"))))</f>
        <v/>
      </c>
      <c r="Q155" s="32"/>
    </row>
    <row r="156" customFormat="false" ht="15" hidden="false" customHeight="false" outlineLevel="0" collapsed="false">
      <c r="A156" s="30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3" t="str">
        <f aca="false">IF(D156="","",IF(SUM(I156:L156)&gt;0,1,0))</f>
        <v/>
      </c>
      <c r="O156" s="34" t="str">
        <f aca="false">IF(D156="","",IF(OR(COUNTIF('Target &amp; Team Lists'!$J$5:$J$204,D156)&gt;0,AND(H156&lt;&gt;"",COUNTIF('Target &amp; Team Lists'!$L$5:$L$204,H156)&gt;0),ISNUMBER(SEARCH("alpha nodus",(E156&amp;" "&amp;F156))),ISNUMBER(SEARCH("alphanodus",(E156&amp;" "&amp;F156)))),"Yes","No"))</f>
        <v/>
      </c>
      <c r="P156" s="34" t="str">
        <f aca="false">IF(D156="","",IF(O156="Yes","No",IF(OR(AND(F156&lt;&gt;"",COUNTIF('Target &amp; Team Lists'!$A$5:$A$504,F156)&gt;0),COUNTIF('Target &amp; Team Lists'!$E$5:$E$504,D156)&gt;0),"Yes",IF(AND(SUMPRODUCT(('Target &amp; Team Lists'!$N$5:$N$60&lt;&gt;"")*ISNUMBER(SEARCH('Target &amp; Team Lists'!$N$5:$N$60,(E156&amp;" "&amp;F156))))&gt;0,SUMPRODUCT(('Target &amp; Team Lists'!$O$5:$O$60&lt;&gt;"")*ISNUMBER(SEARCH('Target &amp; Team Lists'!$O$5:$O$60,(E156&amp;" "&amp;F156))))=0),"Yes","No"))))</f>
        <v/>
      </c>
      <c r="Q156" s="32"/>
    </row>
    <row r="157" customFormat="false" ht="15" hidden="false" customHeight="false" outlineLevel="0" collapsed="false">
      <c r="A157" s="30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3" t="str">
        <f aca="false">IF(D157="","",IF(SUM(I157:L157)&gt;0,1,0))</f>
        <v/>
      </c>
      <c r="O157" s="34" t="str">
        <f aca="false">IF(D157="","",IF(OR(COUNTIF('Target &amp; Team Lists'!$J$5:$J$204,D157)&gt;0,AND(H157&lt;&gt;"",COUNTIF('Target &amp; Team Lists'!$L$5:$L$204,H157)&gt;0),ISNUMBER(SEARCH("alpha nodus",(E157&amp;" "&amp;F157))),ISNUMBER(SEARCH("alphanodus",(E157&amp;" "&amp;F157)))),"Yes","No"))</f>
        <v/>
      </c>
      <c r="P157" s="34" t="str">
        <f aca="false">IF(D157="","",IF(O157="Yes","No",IF(OR(AND(F157&lt;&gt;"",COUNTIF('Target &amp; Team Lists'!$A$5:$A$504,F157)&gt;0),COUNTIF('Target &amp; Team Lists'!$E$5:$E$504,D157)&gt;0),"Yes",IF(AND(SUMPRODUCT(('Target &amp; Team Lists'!$N$5:$N$60&lt;&gt;"")*ISNUMBER(SEARCH('Target &amp; Team Lists'!$N$5:$N$60,(E157&amp;" "&amp;F157))))&gt;0,SUMPRODUCT(('Target &amp; Team Lists'!$O$5:$O$60&lt;&gt;"")*ISNUMBER(SEARCH('Target &amp; Team Lists'!$O$5:$O$60,(E157&amp;" "&amp;F157))))=0),"Yes","No"))))</f>
        <v/>
      </c>
      <c r="Q157" s="32"/>
    </row>
    <row r="158" customFormat="false" ht="15" hidden="false" customHeight="false" outlineLevel="0" collapsed="false">
      <c r="A158" s="30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3" t="str">
        <f aca="false">IF(D158="","",IF(SUM(I158:L158)&gt;0,1,0))</f>
        <v/>
      </c>
      <c r="O158" s="34" t="str">
        <f aca="false">IF(D158="","",IF(OR(COUNTIF('Target &amp; Team Lists'!$J$5:$J$204,D158)&gt;0,AND(H158&lt;&gt;"",COUNTIF('Target &amp; Team Lists'!$L$5:$L$204,H158)&gt;0),ISNUMBER(SEARCH("alpha nodus",(E158&amp;" "&amp;F158))),ISNUMBER(SEARCH("alphanodus",(E158&amp;" "&amp;F158)))),"Yes","No"))</f>
        <v/>
      </c>
      <c r="P158" s="34" t="str">
        <f aca="false">IF(D158="","",IF(O158="Yes","No",IF(OR(AND(F158&lt;&gt;"",COUNTIF('Target &amp; Team Lists'!$A$5:$A$504,F158)&gt;0),COUNTIF('Target &amp; Team Lists'!$E$5:$E$504,D158)&gt;0),"Yes",IF(AND(SUMPRODUCT(('Target &amp; Team Lists'!$N$5:$N$60&lt;&gt;"")*ISNUMBER(SEARCH('Target &amp; Team Lists'!$N$5:$N$60,(E158&amp;" "&amp;F158))))&gt;0,SUMPRODUCT(('Target &amp; Team Lists'!$O$5:$O$60&lt;&gt;"")*ISNUMBER(SEARCH('Target &amp; Team Lists'!$O$5:$O$60,(E158&amp;" "&amp;F158))))=0),"Yes","No"))))</f>
        <v/>
      </c>
      <c r="Q158" s="32"/>
    </row>
    <row r="159" customFormat="false" ht="15" hidden="false" customHeight="false" outlineLevel="0" collapsed="false">
      <c r="A159" s="30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3" t="str">
        <f aca="false">IF(D159="","",IF(SUM(I159:L159)&gt;0,1,0))</f>
        <v/>
      </c>
      <c r="O159" s="34" t="str">
        <f aca="false">IF(D159="","",IF(OR(COUNTIF('Target &amp; Team Lists'!$J$5:$J$204,D159)&gt;0,AND(H159&lt;&gt;"",COUNTIF('Target &amp; Team Lists'!$L$5:$L$204,H159)&gt;0),ISNUMBER(SEARCH("alpha nodus",(E159&amp;" "&amp;F159))),ISNUMBER(SEARCH("alphanodus",(E159&amp;" "&amp;F159)))),"Yes","No"))</f>
        <v/>
      </c>
      <c r="P159" s="34" t="str">
        <f aca="false">IF(D159="","",IF(O159="Yes","No",IF(OR(AND(F159&lt;&gt;"",COUNTIF('Target &amp; Team Lists'!$A$5:$A$504,F159)&gt;0),COUNTIF('Target &amp; Team Lists'!$E$5:$E$504,D159)&gt;0),"Yes",IF(AND(SUMPRODUCT(('Target &amp; Team Lists'!$N$5:$N$60&lt;&gt;"")*ISNUMBER(SEARCH('Target &amp; Team Lists'!$N$5:$N$60,(E159&amp;" "&amp;F159))))&gt;0,SUMPRODUCT(('Target &amp; Team Lists'!$O$5:$O$60&lt;&gt;"")*ISNUMBER(SEARCH('Target &amp; Team Lists'!$O$5:$O$60,(E159&amp;" "&amp;F159))))=0),"Yes","No"))))</f>
        <v/>
      </c>
      <c r="Q159" s="32"/>
    </row>
    <row r="160" customFormat="false" ht="15" hidden="false" customHeight="false" outlineLevel="0" collapsed="false">
      <c r="A160" s="30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3" t="str">
        <f aca="false">IF(D160="","",IF(SUM(I160:L160)&gt;0,1,0))</f>
        <v/>
      </c>
      <c r="O160" s="34" t="str">
        <f aca="false">IF(D160="","",IF(OR(COUNTIF('Target &amp; Team Lists'!$J$5:$J$204,D160)&gt;0,AND(H160&lt;&gt;"",COUNTIF('Target &amp; Team Lists'!$L$5:$L$204,H160)&gt;0),ISNUMBER(SEARCH("alpha nodus",(E160&amp;" "&amp;F160))),ISNUMBER(SEARCH("alphanodus",(E160&amp;" "&amp;F160)))),"Yes","No"))</f>
        <v/>
      </c>
      <c r="P160" s="34" t="str">
        <f aca="false">IF(D160="","",IF(O160="Yes","No",IF(OR(AND(F160&lt;&gt;"",COUNTIF('Target &amp; Team Lists'!$A$5:$A$504,F160)&gt;0),COUNTIF('Target &amp; Team Lists'!$E$5:$E$504,D160)&gt;0),"Yes",IF(AND(SUMPRODUCT(('Target &amp; Team Lists'!$N$5:$N$60&lt;&gt;"")*ISNUMBER(SEARCH('Target &amp; Team Lists'!$N$5:$N$60,(E160&amp;" "&amp;F160))))&gt;0,SUMPRODUCT(('Target &amp; Team Lists'!$O$5:$O$60&lt;&gt;"")*ISNUMBER(SEARCH('Target &amp; Team Lists'!$O$5:$O$60,(E160&amp;" "&amp;F160))))=0),"Yes","No"))))</f>
        <v/>
      </c>
      <c r="Q160" s="32"/>
    </row>
    <row r="161" customFormat="false" ht="15" hidden="false" customHeight="false" outlineLevel="0" collapsed="false">
      <c r="A161" s="30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3" t="str">
        <f aca="false">IF(D161="","",IF(SUM(I161:L161)&gt;0,1,0))</f>
        <v/>
      </c>
      <c r="O161" s="34" t="str">
        <f aca="false">IF(D161="","",IF(OR(COUNTIF('Target &amp; Team Lists'!$J$5:$J$204,D161)&gt;0,AND(H161&lt;&gt;"",COUNTIF('Target &amp; Team Lists'!$L$5:$L$204,H161)&gt;0),ISNUMBER(SEARCH("alpha nodus",(E161&amp;" "&amp;F161))),ISNUMBER(SEARCH("alphanodus",(E161&amp;" "&amp;F161)))),"Yes","No"))</f>
        <v/>
      </c>
      <c r="P161" s="34" t="str">
        <f aca="false">IF(D161="","",IF(O161="Yes","No",IF(OR(AND(F161&lt;&gt;"",COUNTIF('Target &amp; Team Lists'!$A$5:$A$504,F161)&gt;0),COUNTIF('Target &amp; Team Lists'!$E$5:$E$504,D161)&gt;0),"Yes",IF(AND(SUMPRODUCT(('Target &amp; Team Lists'!$N$5:$N$60&lt;&gt;"")*ISNUMBER(SEARCH('Target &amp; Team Lists'!$N$5:$N$60,(E161&amp;" "&amp;F161))))&gt;0,SUMPRODUCT(('Target &amp; Team Lists'!$O$5:$O$60&lt;&gt;"")*ISNUMBER(SEARCH('Target &amp; Team Lists'!$O$5:$O$60,(E161&amp;" "&amp;F161))))=0),"Yes","No"))))</f>
        <v/>
      </c>
      <c r="Q161" s="32"/>
    </row>
    <row r="162" customFormat="false" ht="15" hidden="false" customHeight="false" outlineLevel="0" collapsed="false">
      <c r="A162" s="30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3" t="str">
        <f aca="false">IF(D162="","",IF(SUM(I162:L162)&gt;0,1,0))</f>
        <v/>
      </c>
      <c r="O162" s="34" t="str">
        <f aca="false">IF(D162="","",IF(OR(COUNTIF('Target &amp; Team Lists'!$J$5:$J$204,D162)&gt;0,AND(H162&lt;&gt;"",COUNTIF('Target &amp; Team Lists'!$L$5:$L$204,H162)&gt;0),ISNUMBER(SEARCH("alpha nodus",(E162&amp;" "&amp;F162))),ISNUMBER(SEARCH("alphanodus",(E162&amp;" "&amp;F162)))),"Yes","No"))</f>
        <v/>
      </c>
      <c r="P162" s="34" t="str">
        <f aca="false">IF(D162="","",IF(O162="Yes","No",IF(OR(AND(F162&lt;&gt;"",COUNTIF('Target &amp; Team Lists'!$A$5:$A$504,F162)&gt;0),COUNTIF('Target &amp; Team Lists'!$E$5:$E$504,D162)&gt;0),"Yes",IF(AND(SUMPRODUCT(('Target &amp; Team Lists'!$N$5:$N$60&lt;&gt;"")*ISNUMBER(SEARCH('Target &amp; Team Lists'!$N$5:$N$60,(E162&amp;" "&amp;F162))))&gt;0,SUMPRODUCT(('Target &amp; Team Lists'!$O$5:$O$60&lt;&gt;"")*ISNUMBER(SEARCH('Target &amp; Team Lists'!$O$5:$O$60,(E162&amp;" "&amp;F162))))=0),"Yes","No"))))</f>
        <v/>
      </c>
      <c r="Q162" s="32"/>
    </row>
    <row r="163" customFormat="false" ht="15" hidden="false" customHeight="false" outlineLevel="0" collapsed="false">
      <c r="A163" s="30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3" t="str">
        <f aca="false">IF(D163="","",IF(SUM(I163:L163)&gt;0,1,0))</f>
        <v/>
      </c>
      <c r="O163" s="34" t="str">
        <f aca="false">IF(D163="","",IF(OR(COUNTIF('Target &amp; Team Lists'!$J$5:$J$204,D163)&gt;0,AND(H163&lt;&gt;"",COUNTIF('Target &amp; Team Lists'!$L$5:$L$204,H163)&gt;0),ISNUMBER(SEARCH("alpha nodus",(E163&amp;" "&amp;F163))),ISNUMBER(SEARCH("alphanodus",(E163&amp;" "&amp;F163)))),"Yes","No"))</f>
        <v/>
      </c>
      <c r="P163" s="34" t="str">
        <f aca="false">IF(D163="","",IF(O163="Yes","No",IF(OR(AND(F163&lt;&gt;"",COUNTIF('Target &amp; Team Lists'!$A$5:$A$504,F163)&gt;0),COUNTIF('Target &amp; Team Lists'!$E$5:$E$504,D163)&gt;0),"Yes",IF(AND(SUMPRODUCT(('Target &amp; Team Lists'!$N$5:$N$60&lt;&gt;"")*ISNUMBER(SEARCH('Target &amp; Team Lists'!$N$5:$N$60,(E163&amp;" "&amp;F163))))&gt;0,SUMPRODUCT(('Target &amp; Team Lists'!$O$5:$O$60&lt;&gt;"")*ISNUMBER(SEARCH('Target &amp; Team Lists'!$O$5:$O$60,(E163&amp;" "&amp;F163))))=0),"Yes","No"))))</f>
        <v/>
      </c>
      <c r="Q163" s="32"/>
    </row>
    <row r="164" customFormat="false" ht="15" hidden="false" customHeight="false" outlineLevel="0" collapsed="false">
      <c r="A164" s="30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3" t="str">
        <f aca="false">IF(D164="","",IF(SUM(I164:L164)&gt;0,1,0))</f>
        <v/>
      </c>
      <c r="O164" s="34" t="str">
        <f aca="false">IF(D164="","",IF(OR(COUNTIF('Target &amp; Team Lists'!$J$5:$J$204,D164)&gt;0,AND(H164&lt;&gt;"",COUNTIF('Target &amp; Team Lists'!$L$5:$L$204,H164)&gt;0),ISNUMBER(SEARCH("alpha nodus",(E164&amp;" "&amp;F164))),ISNUMBER(SEARCH("alphanodus",(E164&amp;" "&amp;F164)))),"Yes","No"))</f>
        <v/>
      </c>
      <c r="P164" s="34" t="str">
        <f aca="false">IF(D164="","",IF(O164="Yes","No",IF(OR(AND(F164&lt;&gt;"",COUNTIF('Target &amp; Team Lists'!$A$5:$A$504,F164)&gt;0),COUNTIF('Target &amp; Team Lists'!$E$5:$E$504,D164)&gt;0),"Yes",IF(AND(SUMPRODUCT(('Target &amp; Team Lists'!$N$5:$N$60&lt;&gt;"")*ISNUMBER(SEARCH('Target &amp; Team Lists'!$N$5:$N$60,(E164&amp;" "&amp;F164))))&gt;0,SUMPRODUCT(('Target &amp; Team Lists'!$O$5:$O$60&lt;&gt;"")*ISNUMBER(SEARCH('Target &amp; Team Lists'!$O$5:$O$60,(E164&amp;" "&amp;F164))))=0),"Yes","No"))))</f>
        <v/>
      </c>
      <c r="Q164" s="32"/>
    </row>
    <row r="165" customFormat="false" ht="15" hidden="false" customHeight="false" outlineLevel="0" collapsed="false">
      <c r="A165" s="30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3" t="str">
        <f aca="false">IF(D165="","",IF(SUM(I165:L165)&gt;0,1,0))</f>
        <v/>
      </c>
      <c r="O165" s="34" t="str">
        <f aca="false">IF(D165="","",IF(OR(COUNTIF('Target &amp; Team Lists'!$J$5:$J$204,D165)&gt;0,AND(H165&lt;&gt;"",COUNTIF('Target &amp; Team Lists'!$L$5:$L$204,H165)&gt;0),ISNUMBER(SEARCH("alpha nodus",(E165&amp;" "&amp;F165))),ISNUMBER(SEARCH("alphanodus",(E165&amp;" "&amp;F165)))),"Yes","No"))</f>
        <v/>
      </c>
      <c r="P165" s="34" t="str">
        <f aca="false">IF(D165="","",IF(O165="Yes","No",IF(OR(AND(F165&lt;&gt;"",COUNTIF('Target &amp; Team Lists'!$A$5:$A$504,F165)&gt;0),COUNTIF('Target &amp; Team Lists'!$E$5:$E$504,D165)&gt;0),"Yes",IF(AND(SUMPRODUCT(('Target &amp; Team Lists'!$N$5:$N$60&lt;&gt;"")*ISNUMBER(SEARCH('Target &amp; Team Lists'!$N$5:$N$60,(E165&amp;" "&amp;F165))))&gt;0,SUMPRODUCT(('Target &amp; Team Lists'!$O$5:$O$60&lt;&gt;"")*ISNUMBER(SEARCH('Target &amp; Team Lists'!$O$5:$O$60,(E165&amp;" "&amp;F165))))=0),"Yes","No"))))</f>
        <v/>
      </c>
      <c r="Q165" s="32"/>
    </row>
    <row r="166" customFormat="false" ht="15" hidden="false" customHeight="false" outlineLevel="0" collapsed="false">
      <c r="A166" s="30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3" t="str">
        <f aca="false">IF(D166="","",IF(SUM(I166:L166)&gt;0,1,0))</f>
        <v/>
      </c>
      <c r="O166" s="34" t="str">
        <f aca="false">IF(D166="","",IF(OR(COUNTIF('Target &amp; Team Lists'!$J$5:$J$204,D166)&gt;0,AND(H166&lt;&gt;"",COUNTIF('Target &amp; Team Lists'!$L$5:$L$204,H166)&gt;0),ISNUMBER(SEARCH("alpha nodus",(E166&amp;" "&amp;F166))),ISNUMBER(SEARCH("alphanodus",(E166&amp;" "&amp;F166)))),"Yes","No"))</f>
        <v/>
      </c>
      <c r="P166" s="34" t="str">
        <f aca="false">IF(D166="","",IF(O166="Yes","No",IF(OR(AND(F166&lt;&gt;"",COUNTIF('Target &amp; Team Lists'!$A$5:$A$504,F166)&gt;0),COUNTIF('Target &amp; Team Lists'!$E$5:$E$504,D166)&gt;0),"Yes",IF(AND(SUMPRODUCT(('Target &amp; Team Lists'!$N$5:$N$60&lt;&gt;"")*ISNUMBER(SEARCH('Target &amp; Team Lists'!$N$5:$N$60,(E166&amp;" "&amp;F166))))&gt;0,SUMPRODUCT(('Target &amp; Team Lists'!$O$5:$O$60&lt;&gt;"")*ISNUMBER(SEARCH('Target &amp; Team Lists'!$O$5:$O$60,(E166&amp;" "&amp;F166))))=0),"Yes","No"))))</f>
        <v/>
      </c>
      <c r="Q166" s="32"/>
    </row>
    <row r="167" customFormat="false" ht="15" hidden="false" customHeight="false" outlineLevel="0" collapsed="false">
      <c r="A167" s="30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3" t="str">
        <f aca="false">IF(D167="","",IF(SUM(I167:L167)&gt;0,1,0))</f>
        <v/>
      </c>
      <c r="O167" s="34" t="str">
        <f aca="false">IF(D167="","",IF(OR(COUNTIF('Target &amp; Team Lists'!$J$5:$J$204,D167)&gt;0,AND(H167&lt;&gt;"",COUNTIF('Target &amp; Team Lists'!$L$5:$L$204,H167)&gt;0),ISNUMBER(SEARCH("alpha nodus",(E167&amp;" "&amp;F167))),ISNUMBER(SEARCH("alphanodus",(E167&amp;" "&amp;F167)))),"Yes","No"))</f>
        <v/>
      </c>
      <c r="P167" s="34" t="str">
        <f aca="false">IF(D167="","",IF(O167="Yes","No",IF(OR(AND(F167&lt;&gt;"",COUNTIF('Target &amp; Team Lists'!$A$5:$A$504,F167)&gt;0),COUNTIF('Target &amp; Team Lists'!$E$5:$E$504,D167)&gt;0),"Yes",IF(AND(SUMPRODUCT(('Target &amp; Team Lists'!$N$5:$N$60&lt;&gt;"")*ISNUMBER(SEARCH('Target &amp; Team Lists'!$N$5:$N$60,(E167&amp;" "&amp;F167))))&gt;0,SUMPRODUCT(('Target &amp; Team Lists'!$O$5:$O$60&lt;&gt;"")*ISNUMBER(SEARCH('Target &amp; Team Lists'!$O$5:$O$60,(E167&amp;" "&amp;F167))))=0),"Yes","No"))))</f>
        <v/>
      </c>
      <c r="Q167" s="32"/>
    </row>
    <row r="168" customFormat="false" ht="15" hidden="false" customHeight="false" outlineLevel="0" collapsed="false">
      <c r="A168" s="30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3" t="str">
        <f aca="false">IF(D168="","",IF(SUM(I168:L168)&gt;0,1,0))</f>
        <v/>
      </c>
      <c r="O168" s="34" t="str">
        <f aca="false">IF(D168="","",IF(OR(COUNTIF('Target &amp; Team Lists'!$J$5:$J$204,D168)&gt;0,AND(H168&lt;&gt;"",COUNTIF('Target &amp; Team Lists'!$L$5:$L$204,H168)&gt;0),ISNUMBER(SEARCH("alpha nodus",(E168&amp;" "&amp;F168))),ISNUMBER(SEARCH("alphanodus",(E168&amp;" "&amp;F168)))),"Yes","No"))</f>
        <v/>
      </c>
      <c r="P168" s="34" t="str">
        <f aca="false">IF(D168="","",IF(O168="Yes","No",IF(OR(AND(F168&lt;&gt;"",COUNTIF('Target &amp; Team Lists'!$A$5:$A$504,F168)&gt;0),COUNTIF('Target &amp; Team Lists'!$E$5:$E$504,D168)&gt;0),"Yes",IF(AND(SUMPRODUCT(('Target &amp; Team Lists'!$N$5:$N$60&lt;&gt;"")*ISNUMBER(SEARCH('Target &amp; Team Lists'!$N$5:$N$60,(E168&amp;" "&amp;F168))))&gt;0,SUMPRODUCT(('Target &amp; Team Lists'!$O$5:$O$60&lt;&gt;"")*ISNUMBER(SEARCH('Target &amp; Team Lists'!$O$5:$O$60,(E168&amp;" "&amp;F168))))=0),"Yes","No"))))</f>
        <v/>
      </c>
      <c r="Q168" s="32"/>
    </row>
    <row r="169" customFormat="false" ht="15" hidden="false" customHeight="false" outlineLevel="0" collapsed="false">
      <c r="A169" s="30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3" t="str">
        <f aca="false">IF(D169="","",IF(SUM(I169:L169)&gt;0,1,0))</f>
        <v/>
      </c>
      <c r="O169" s="34" t="str">
        <f aca="false">IF(D169="","",IF(OR(COUNTIF('Target &amp; Team Lists'!$J$5:$J$204,D169)&gt;0,AND(H169&lt;&gt;"",COUNTIF('Target &amp; Team Lists'!$L$5:$L$204,H169)&gt;0),ISNUMBER(SEARCH("alpha nodus",(E169&amp;" "&amp;F169))),ISNUMBER(SEARCH("alphanodus",(E169&amp;" "&amp;F169)))),"Yes","No"))</f>
        <v/>
      </c>
      <c r="P169" s="34" t="str">
        <f aca="false">IF(D169="","",IF(O169="Yes","No",IF(OR(AND(F169&lt;&gt;"",COUNTIF('Target &amp; Team Lists'!$A$5:$A$504,F169)&gt;0),COUNTIF('Target &amp; Team Lists'!$E$5:$E$504,D169)&gt;0),"Yes",IF(AND(SUMPRODUCT(('Target &amp; Team Lists'!$N$5:$N$60&lt;&gt;"")*ISNUMBER(SEARCH('Target &amp; Team Lists'!$N$5:$N$60,(E169&amp;" "&amp;F169))))&gt;0,SUMPRODUCT(('Target &amp; Team Lists'!$O$5:$O$60&lt;&gt;"")*ISNUMBER(SEARCH('Target &amp; Team Lists'!$O$5:$O$60,(E169&amp;" "&amp;F169))))=0),"Yes","No"))))</f>
        <v/>
      </c>
      <c r="Q169" s="32"/>
    </row>
    <row r="170" customFormat="false" ht="15" hidden="false" customHeight="false" outlineLevel="0" collapsed="false">
      <c r="A170" s="30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3" t="str">
        <f aca="false">IF(D170="","",IF(SUM(I170:L170)&gt;0,1,0))</f>
        <v/>
      </c>
      <c r="O170" s="34" t="str">
        <f aca="false">IF(D170="","",IF(OR(COUNTIF('Target &amp; Team Lists'!$J$5:$J$204,D170)&gt;0,AND(H170&lt;&gt;"",COUNTIF('Target &amp; Team Lists'!$L$5:$L$204,H170)&gt;0),ISNUMBER(SEARCH("alpha nodus",(E170&amp;" "&amp;F170))),ISNUMBER(SEARCH("alphanodus",(E170&amp;" "&amp;F170)))),"Yes","No"))</f>
        <v/>
      </c>
      <c r="P170" s="34" t="str">
        <f aca="false">IF(D170="","",IF(O170="Yes","No",IF(OR(AND(F170&lt;&gt;"",COUNTIF('Target &amp; Team Lists'!$A$5:$A$504,F170)&gt;0),COUNTIF('Target &amp; Team Lists'!$E$5:$E$504,D170)&gt;0),"Yes",IF(AND(SUMPRODUCT(('Target &amp; Team Lists'!$N$5:$N$60&lt;&gt;"")*ISNUMBER(SEARCH('Target &amp; Team Lists'!$N$5:$N$60,(E170&amp;" "&amp;F170))))&gt;0,SUMPRODUCT(('Target &amp; Team Lists'!$O$5:$O$60&lt;&gt;"")*ISNUMBER(SEARCH('Target &amp; Team Lists'!$O$5:$O$60,(E170&amp;" "&amp;F170))))=0),"Yes","No"))))</f>
        <v/>
      </c>
      <c r="Q170" s="32"/>
    </row>
    <row r="171" customFormat="false" ht="15" hidden="false" customHeight="false" outlineLevel="0" collapsed="false">
      <c r="A171" s="30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3" t="str">
        <f aca="false">IF(D171="","",IF(SUM(I171:L171)&gt;0,1,0))</f>
        <v/>
      </c>
      <c r="O171" s="34" t="str">
        <f aca="false">IF(D171="","",IF(OR(COUNTIF('Target &amp; Team Lists'!$J$5:$J$204,D171)&gt;0,AND(H171&lt;&gt;"",COUNTIF('Target &amp; Team Lists'!$L$5:$L$204,H171)&gt;0),ISNUMBER(SEARCH("alpha nodus",(E171&amp;" "&amp;F171))),ISNUMBER(SEARCH("alphanodus",(E171&amp;" "&amp;F171)))),"Yes","No"))</f>
        <v/>
      </c>
      <c r="P171" s="34" t="str">
        <f aca="false">IF(D171="","",IF(O171="Yes","No",IF(OR(AND(F171&lt;&gt;"",COUNTIF('Target &amp; Team Lists'!$A$5:$A$504,F171)&gt;0),COUNTIF('Target &amp; Team Lists'!$E$5:$E$504,D171)&gt;0),"Yes",IF(AND(SUMPRODUCT(('Target &amp; Team Lists'!$N$5:$N$60&lt;&gt;"")*ISNUMBER(SEARCH('Target &amp; Team Lists'!$N$5:$N$60,(E171&amp;" "&amp;F171))))&gt;0,SUMPRODUCT(('Target &amp; Team Lists'!$O$5:$O$60&lt;&gt;"")*ISNUMBER(SEARCH('Target &amp; Team Lists'!$O$5:$O$60,(E171&amp;" "&amp;F171))))=0),"Yes","No"))))</f>
        <v/>
      </c>
      <c r="Q171" s="32"/>
    </row>
    <row r="172" customFormat="false" ht="15" hidden="false" customHeight="false" outlineLevel="0" collapsed="false">
      <c r="A172" s="30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3" t="str">
        <f aca="false">IF(D172="","",IF(SUM(I172:L172)&gt;0,1,0))</f>
        <v/>
      </c>
      <c r="O172" s="34" t="str">
        <f aca="false">IF(D172="","",IF(OR(COUNTIF('Target &amp; Team Lists'!$J$5:$J$204,D172)&gt;0,AND(H172&lt;&gt;"",COUNTIF('Target &amp; Team Lists'!$L$5:$L$204,H172)&gt;0),ISNUMBER(SEARCH("alpha nodus",(E172&amp;" "&amp;F172))),ISNUMBER(SEARCH("alphanodus",(E172&amp;" "&amp;F172)))),"Yes","No"))</f>
        <v/>
      </c>
      <c r="P172" s="34" t="str">
        <f aca="false">IF(D172="","",IF(O172="Yes","No",IF(OR(AND(F172&lt;&gt;"",COUNTIF('Target &amp; Team Lists'!$A$5:$A$504,F172)&gt;0),COUNTIF('Target &amp; Team Lists'!$E$5:$E$504,D172)&gt;0),"Yes",IF(AND(SUMPRODUCT(('Target &amp; Team Lists'!$N$5:$N$60&lt;&gt;"")*ISNUMBER(SEARCH('Target &amp; Team Lists'!$N$5:$N$60,(E172&amp;" "&amp;F172))))&gt;0,SUMPRODUCT(('Target &amp; Team Lists'!$O$5:$O$60&lt;&gt;"")*ISNUMBER(SEARCH('Target &amp; Team Lists'!$O$5:$O$60,(E172&amp;" "&amp;F172))))=0),"Yes","No"))))</f>
        <v/>
      </c>
      <c r="Q172" s="32"/>
    </row>
    <row r="173" customFormat="false" ht="15" hidden="false" customHeight="false" outlineLevel="0" collapsed="false">
      <c r="A173" s="30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3" t="str">
        <f aca="false">IF(D173="","",IF(SUM(I173:L173)&gt;0,1,0))</f>
        <v/>
      </c>
      <c r="O173" s="34" t="str">
        <f aca="false">IF(D173="","",IF(OR(COUNTIF('Target &amp; Team Lists'!$J$5:$J$204,D173)&gt;0,AND(H173&lt;&gt;"",COUNTIF('Target &amp; Team Lists'!$L$5:$L$204,H173)&gt;0),ISNUMBER(SEARCH("alpha nodus",(E173&amp;" "&amp;F173))),ISNUMBER(SEARCH("alphanodus",(E173&amp;" "&amp;F173)))),"Yes","No"))</f>
        <v/>
      </c>
      <c r="P173" s="34" t="str">
        <f aca="false">IF(D173="","",IF(O173="Yes","No",IF(OR(AND(F173&lt;&gt;"",COUNTIF('Target &amp; Team Lists'!$A$5:$A$504,F173)&gt;0),COUNTIF('Target &amp; Team Lists'!$E$5:$E$504,D173)&gt;0),"Yes",IF(AND(SUMPRODUCT(('Target &amp; Team Lists'!$N$5:$N$60&lt;&gt;"")*ISNUMBER(SEARCH('Target &amp; Team Lists'!$N$5:$N$60,(E173&amp;" "&amp;F173))))&gt;0,SUMPRODUCT(('Target &amp; Team Lists'!$O$5:$O$60&lt;&gt;"")*ISNUMBER(SEARCH('Target &amp; Team Lists'!$O$5:$O$60,(E173&amp;" "&amp;F173))))=0),"Yes","No"))))</f>
        <v/>
      </c>
      <c r="Q173" s="32"/>
    </row>
    <row r="174" customFormat="false" ht="15" hidden="false" customHeight="false" outlineLevel="0" collapsed="false">
      <c r="A174" s="30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3" t="str">
        <f aca="false">IF(D174="","",IF(SUM(I174:L174)&gt;0,1,0))</f>
        <v/>
      </c>
      <c r="O174" s="34" t="str">
        <f aca="false">IF(D174="","",IF(OR(COUNTIF('Target &amp; Team Lists'!$J$5:$J$204,D174)&gt;0,AND(H174&lt;&gt;"",COUNTIF('Target &amp; Team Lists'!$L$5:$L$204,H174)&gt;0),ISNUMBER(SEARCH("alpha nodus",(E174&amp;" "&amp;F174))),ISNUMBER(SEARCH("alphanodus",(E174&amp;" "&amp;F174)))),"Yes","No"))</f>
        <v/>
      </c>
      <c r="P174" s="34" t="str">
        <f aca="false">IF(D174="","",IF(O174="Yes","No",IF(OR(AND(F174&lt;&gt;"",COUNTIF('Target &amp; Team Lists'!$A$5:$A$504,F174)&gt;0),COUNTIF('Target &amp; Team Lists'!$E$5:$E$504,D174)&gt;0),"Yes",IF(AND(SUMPRODUCT(('Target &amp; Team Lists'!$N$5:$N$60&lt;&gt;"")*ISNUMBER(SEARCH('Target &amp; Team Lists'!$N$5:$N$60,(E174&amp;" "&amp;F174))))&gt;0,SUMPRODUCT(('Target &amp; Team Lists'!$O$5:$O$60&lt;&gt;"")*ISNUMBER(SEARCH('Target &amp; Team Lists'!$O$5:$O$60,(E174&amp;" "&amp;F174))))=0),"Yes","No"))))</f>
        <v/>
      </c>
      <c r="Q174" s="32"/>
    </row>
    <row r="175" customFormat="false" ht="15" hidden="false" customHeight="false" outlineLevel="0" collapsed="false">
      <c r="A175" s="30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3" t="str">
        <f aca="false">IF(D175="","",IF(SUM(I175:L175)&gt;0,1,0))</f>
        <v/>
      </c>
      <c r="O175" s="34" t="str">
        <f aca="false">IF(D175="","",IF(OR(COUNTIF('Target &amp; Team Lists'!$J$5:$J$204,D175)&gt;0,AND(H175&lt;&gt;"",COUNTIF('Target &amp; Team Lists'!$L$5:$L$204,H175)&gt;0),ISNUMBER(SEARCH("alpha nodus",(E175&amp;" "&amp;F175))),ISNUMBER(SEARCH("alphanodus",(E175&amp;" "&amp;F175)))),"Yes","No"))</f>
        <v/>
      </c>
      <c r="P175" s="34" t="str">
        <f aca="false">IF(D175="","",IF(O175="Yes","No",IF(OR(AND(F175&lt;&gt;"",COUNTIF('Target &amp; Team Lists'!$A$5:$A$504,F175)&gt;0),COUNTIF('Target &amp; Team Lists'!$E$5:$E$504,D175)&gt;0),"Yes",IF(AND(SUMPRODUCT(('Target &amp; Team Lists'!$N$5:$N$60&lt;&gt;"")*ISNUMBER(SEARCH('Target &amp; Team Lists'!$N$5:$N$60,(E175&amp;" "&amp;F175))))&gt;0,SUMPRODUCT(('Target &amp; Team Lists'!$O$5:$O$60&lt;&gt;"")*ISNUMBER(SEARCH('Target &amp; Team Lists'!$O$5:$O$60,(E175&amp;" "&amp;F175))))=0),"Yes","No"))))</f>
        <v/>
      </c>
      <c r="Q175" s="32"/>
    </row>
    <row r="176" customFormat="false" ht="15" hidden="false" customHeight="false" outlineLevel="0" collapsed="false">
      <c r="A176" s="30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3" t="str">
        <f aca="false">IF(D176="","",IF(SUM(I176:L176)&gt;0,1,0))</f>
        <v/>
      </c>
      <c r="O176" s="34" t="str">
        <f aca="false">IF(D176="","",IF(OR(COUNTIF('Target &amp; Team Lists'!$J$5:$J$204,D176)&gt;0,AND(H176&lt;&gt;"",COUNTIF('Target &amp; Team Lists'!$L$5:$L$204,H176)&gt;0),ISNUMBER(SEARCH("alpha nodus",(E176&amp;" "&amp;F176))),ISNUMBER(SEARCH("alphanodus",(E176&amp;" "&amp;F176)))),"Yes","No"))</f>
        <v/>
      </c>
      <c r="P176" s="34" t="str">
        <f aca="false">IF(D176="","",IF(O176="Yes","No",IF(OR(AND(F176&lt;&gt;"",COUNTIF('Target &amp; Team Lists'!$A$5:$A$504,F176)&gt;0),COUNTIF('Target &amp; Team Lists'!$E$5:$E$504,D176)&gt;0),"Yes",IF(AND(SUMPRODUCT(('Target &amp; Team Lists'!$N$5:$N$60&lt;&gt;"")*ISNUMBER(SEARCH('Target &amp; Team Lists'!$N$5:$N$60,(E176&amp;" "&amp;F176))))&gt;0,SUMPRODUCT(('Target &amp; Team Lists'!$O$5:$O$60&lt;&gt;"")*ISNUMBER(SEARCH('Target &amp; Team Lists'!$O$5:$O$60,(E176&amp;" "&amp;F176))))=0),"Yes","No"))))</f>
        <v/>
      </c>
      <c r="Q176" s="32"/>
    </row>
    <row r="177" customFormat="false" ht="15" hidden="false" customHeight="false" outlineLevel="0" collapsed="false">
      <c r="A177" s="30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3" t="str">
        <f aca="false">IF(D177="","",IF(SUM(I177:L177)&gt;0,1,0))</f>
        <v/>
      </c>
      <c r="O177" s="34" t="str">
        <f aca="false">IF(D177="","",IF(OR(COUNTIF('Target &amp; Team Lists'!$J$5:$J$204,D177)&gt;0,AND(H177&lt;&gt;"",COUNTIF('Target &amp; Team Lists'!$L$5:$L$204,H177)&gt;0),ISNUMBER(SEARCH("alpha nodus",(E177&amp;" "&amp;F177))),ISNUMBER(SEARCH("alphanodus",(E177&amp;" "&amp;F177)))),"Yes","No"))</f>
        <v/>
      </c>
      <c r="P177" s="34" t="str">
        <f aca="false">IF(D177="","",IF(O177="Yes","No",IF(OR(AND(F177&lt;&gt;"",COUNTIF('Target &amp; Team Lists'!$A$5:$A$504,F177)&gt;0),COUNTIF('Target &amp; Team Lists'!$E$5:$E$504,D177)&gt;0),"Yes",IF(AND(SUMPRODUCT(('Target &amp; Team Lists'!$N$5:$N$60&lt;&gt;"")*ISNUMBER(SEARCH('Target &amp; Team Lists'!$N$5:$N$60,(E177&amp;" "&amp;F177))))&gt;0,SUMPRODUCT(('Target &amp; Team Lists'!$O$5:$O$60&lt;&gt;"")*ISNUMBER(SEARCH('Target &amp; Team Lists'!$O$5:$O$60,(E177&amp;" "&amp;F177))))=0),"Yes","No"))))</f>
        <v/>
      </c>
      <c r="Q177" s="32"/>
    </row>
    <row r="178" customFormat="false" ht="15" hidden="false" customHeight="false" outlineLevel="0" collapsed="false">
      <c r="A178" s="30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3" t="str">
        <f aca="false">IF(D178="","",IF(SUM(I178:L178)&gt;0,1,0))</f>
        <v/>
      </c>
      <c r="O178" s="34" t="str">
        <f aca="false">IF(D178="","",IF(OR(COUNTIF('Target &amp; Team Lists'!$J$5:$J$204,D178)&gt;0,AND(H178&lt;&gt;"",COUNTIF('Target &amp; Team Lists'!$L$5:$L$204,H178)&gt;0),ISNUMBER(SEARCH("alpha nodus",(E178&amp;" "&amp;F178))),ISNUMBER(SEARCH("alphanodus",(E178&amp;" "&amp;F178)))),"Yes","No"))</f>
        <v/>
      </c>
      <c r="P178" s="34" t="str">
        <f aca="false">IF(D178="","",IF(O178="Yes","No",IF(OR(AND(F178&lt;&gt;"",COUNTIF('Target &amp; Team Lists'!$A$5:$A$504,F178)&gt;0),COUNTIF('Target &amp; Team Lists'!$E$5:$E$504,D178)&gt;0),"Yes",IF(AND(SUMPRODUCT(('Target &amp; Team Lists'!$N$5:$N$60&lt;&gt;"")*ISNUMBER(SEARCH('Target &amp; Team Lists'!$N$5:$N$60,(E178&amp;" "&amp;F178))))&gt;0,SUMPRODUCT(('Target &amp; Team Lists'!$O$5:$O$60&lt;&gt;"")*ISNUMBER(SEARCH('Target &amp; Team Lists'!$O$5:$O$60,(E178&amp;" "&amp;F178))))=0),"Yes","No"))))</f>
        <v/>
      </c>
      <c r="Q178" s="32"/>
    </row>
    <row r="179" customFormat="false" ht="15" hidden="false" customHeight="false" outlineLevel="0" collapsed="false">
      <c r="A179" s="30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3" t="str">
        <f aca="false">IF(D179="","",IF(SUM(I179:L179)&gt;0,1,0))</f>
        <v/>
      </c>
      <c r="O179" s="34" t="str">
        <f aca="false">IF(D179="","",IF(OR(COUNTIF('Target &amp; Team Lists'!$J$5:$J$204,D179)&gt;0,AND(H179&lt;&gt;"",COUNTIF('Target &amp; Team Lists'!$L$5:$L$204,H179)&gt;0),ISNUMBER(SEARCH("alpha nodus",(E179&amp;" "&amp;F179))),ISNUMBER(SEARCH("alphanodus",(E179&amp;" "&amp;F179)))),"Yes","No"))</f>
        <v/>
      </c>
      <c r="P179" s="34" t="str">
        <f aca="false">IF(D179="","",IF(O179="Yes","No",IF(OR(AND(F179&lt;&gt;"",COUNTIF('Target &amp; Team Lists'!$A$5:$A$504,F179)&gt;0),COUNTIF('Target &amp; Team Lists'!$E$5:$E$504,D179)&gt;0),"Yes",IF(AND(SUMPRODUCT(('Target &amp; Team Lists'!$N$5:$N$60&lt;&gt;"")*ISNUMBER(SEARCH('Target &amp; Team Lists'!$N$5:$N$60,(E179&amp;" "&amp;F179))))&gt;0,SUMPRODUCT(('Target &amp; Team Lists'!$O$5:$O$60&lt;&gt;"")*ISNUMBER(SEARCH('Target &amp; Team Lists'!$O$5:$O$60,(E179&amp;" "&amp;F179))))=0),"Yes","No"))))</f>
        <v/>
      </c>
      <c r="Q179" s="32"/>
    </row>
    <row r="180" customFormat="false" ht="15" hidden="false" customHeight="false" outlineLevel="0" collapsed="false">
      <c r="A180" s="30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3" t="str">
        <f aca="false">IF(D180="","",IF(SUM(I180:L180)&gt;0,1,0))</f>
        <v/>
      </c>
      <c r="O180" s="34" t="str">
        <f aca="false">IF(D180="","",IF(OR(COUNTIF('Target &amp; Team Lists'!$J$5:$J$204,D180)&gt;0,AND(H180&lt;&gt;"",COUNTIF('Target &amp; Team Lists'!$L$5:$L$204,H180)&gt;0),ISNUMBER(SEARCH("alpha nodus",(E180&amp;" "&amp;F180))),ISNUMBER(SEARCH("alphanodus",(E180&amp;" "&amp;F180)))),"Yes","No"))</f>
        <v/>
      </c>
      <c r="P180" s="34" t="str">
        <f aca="false">IF(D180="","",IF(O180="Yes","No",IF(OR(AND(F180&lt;&gt;"",COUNTIF('Target &amp; Team Lists'!$A$5:$A$504,F180)&gt;0),COUNTIF('Target &amp; Team Lists'!$E$5:$E$504,D180)&gt;0),"Yes",IF(AND(SUMPRODUCT(('Target &amp; Team Lists'!$N$5:$N$60&lt;&gt;"")*ISNUMBER(SEARCH('Target &amp; Team Lists'!$N$5:$N$60,(E180&amp;" "&amp;F180))))&gt;0,SUMPRODUCT(('Target &amp; Team Lists'!$O$5:$O$60&lt;&gt;"")*ISNUMBER(SEARCH('Target &amp; Team Lists'!$O$5:$O$60,(E180&amp;" "&amp;F180))))=0),"Yes","No"))))</f>
        <v/>
      </c>
      <c r="Q180" s="32"/>
    </row>
    <row r="181" customFormat="false" ht="15" hidden="false" customHeight="false" outlineLevel="0" collapsed="false">
      <c r="A181" s="30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3" t="str">
        <f aca="false">IF(D181="","",IF(SUM(I181:L181)&gt;0,1,0))</f>
        <v/>
      </c>
      <c r="O181" s="34" t="str">
        <f aca="false">IF(D181="","",IF(OR(COUNTIF('Target &amp; Team Lists'!$J$5:$J$204,D181)&gt;0,AND(H181&lt;&gt;"",COUNTIF('Target &amp; Team Lists'!$L$5:$L$204,H181)&gt;0),ISNUMBER(SEARCH("alpha nodus",(E181&amp;" "&amp;F181))),ISNUMBER(SEARCH("alphanodus",(E181&amp;" "&amp;F181)))),"Yes","No"))</f>
        <v/>
      </c>
      <c r="P181" s="34" t="str">
        <f aca="false">IF(D181="","",IF(O181="Yes","No",IF(OR(AND(F181&lt;&gt;"",COUNTIF('Target &amp; Team Lists'!$A$5:$A$504,F181)&gt;0),COUNTIF('Target &amp; Team Lists'!$E$5:$E$504,D181)&gt;0),"Yes",IF(AND(SUMPRODUCT(('Target &amp; Team Lists'!$N$5:$N$60&lt;&gt;"")*ISNUMBER(SEARCH('Target &amp; Team Lists'!$N$5:$N$60,(E181&amp;" "&amp;F181))))&gt;0,SUMPRODUCT(('Target &amp; Team Lists'!$O$5:$O$60&lt;&gt;"")*ISNUMBER(SEARCH('Target &amp; Team Lists'!$O$5:$O$60,(E181&amp;" "&amp;F181))))=0),"Yes","No"))))</f>
        <v/>
      </c>
      <c r="Q181" s="32"/>
    </row>
    <row r="182" customFormat="false" ht="15" hidden="false" customHeight="false" outlineLevel="0" collapsed="false">
      <c r="A182" s="30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3" t="str">
        <f aca="false">IF(D182="","",IF(SUM(I182:L182)&gt;0,1,0))</f>
        <v/>
      </c>
      <c r="O182" s="34" t="str">
        <f aca="false">IF(D182="","",IF(OR(COUNTIF('Target &amp; Team Lists'!$J$5:$J$204,D182)&gt;0,AND(H182&lt;&gt;"",COUNTIF('Target &amp; Team Lists'!$L$5:$L$204,H182)&gt;0),ISNUMBER(SEARCH("alpha nodus",(E182&amp;" "&amp;F182))),ISNUMBER(SEARCH("alphanodus",(E182&amp;" "&amp;F182)))),"Yes","No"))</f>
        <v/>
      </c>
      <c r="P182" s="34" t="str">
        <f aca="false">IF(D182="","",IF(O182="Yes","No",IF(OR(AND(F182&lt;&gt;"",COUNTIF('Target &amp; Team Lists'!$A$5:$A$504,F182)&gt;0),COUNTIF('Target &amp; Team Lists'!$E$5:$E$504,D182)&gt;0),"Yes",IF(AND(SUMPRODUCT(('Target &amp; Team Lists'!$N$5:$N$60&lt;&gt;"")*ISNUMBER(SEARCH('Target &amp; Team Lists'!$N$5:$N$60,(E182&amp;" "&amp;F182))))&gt;0,SUMPRODUCT(('Target &amp; Team Lists'!$O$5:$O$60&lt;&gt;"")*ISNUMBER(SEARCH('Target &amp; Team Lists'!$O$5:$O$60,(E182&amp;" "&amp;F182))))=0),"Yes","No"))))</f>
        <v/>
      </c>
      <c r="Q182" s="32"/>
    </row>
    <row r="183" customFormat="false" ht="15" hidden="false" customHeight="false" outlineLevel="0" collapsed="false">
      <c r="A183" s="30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3" t="str">
        <f aca="false">IF(D183="","",IF(SUM(I183:L183)&gt;0,1,0))</f>
        <v/>
      </c>
      <c r="O183" s="34" t="str">
        <f aca="false">IF(D183="","",IF(OR(COUNTIF('Target &amp; Team Lists'!$J$5:$J$204,D183)&gt;0,AND(H183&lt;&gt;"",COUNTIF('Target &amp; Team Lists'!$L$5:$L$204,H183)&gt;0),ISNUMBER(SEARCH("alpha nodus",(E183&amp;" "&amp;F183))),ISNUMBER(SEARCH("alphanodus",(E183&amp;" "&amp;F183)))),"Yes","No"))</f>
        <v/>
      </c>
      <c r="P183" s="34" t="str">
        <f aca="false">IF(D183="","",IF(O183="Yes","No",IF(OR(AND(F183&lt;&gt;"",COUNTIF('Target &amp; Team Lists'!$A$5:$A$504,F183)&gt;0),COUNTIF('Target &amp; Team Lists'!$E$5:$E$504,D183)&gt;0),"Yes",IF(AND(SUMPRODUCT(('Target &amp; Team Lists'!$N$5:$N$60&lt;&gt;"")*ISNUMBER(SEARCH('Target &amp; Team Lists'!$N$5:$N$60,(E183&amp;" "&amp;F183))))&gt;0,SUMPRODUCT(('Target &amp; Team Lists'!$O$5:$O$60&lt;&gt;"")*ISNUMBER(SEARCH('Target &amp; Team Lists'!$O$5:$O$60,(E183&amp;" "&amp;F183))))=0),"Yes","No"))))</f>
        <v/>
      </c>
      <c r="Q183" s="32"/>
    </row>
    <row r="184" customFormat="false" ht="15" hidden="false" customHeight="false" outlineLevel="0" collapsed="false">
      <c r="A184" s="30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3" t="str">
        <f aca="false">IF(D184="","",IF(SUM(I184:L184)&gt;0,1,0))</f>
        <v/>
      </c>
      <c r="O184" s="34" t="str">
        <f aca="false">IF(D184="","",IF(OR(COUNTIF('Target &amp; Team Lists'!$J$5:$J$204,D184)&gt;0,AND(H184&lt;&gt;"",COUNTIF('Target &amp; Team Lists'!$L$5:$L$204,H184)&gt;0),ISNUMBER(SEARCH("alpha nodus",(E184&amp;" "&amp;F184))),ISNUMBER(SEARCH("alphanodus",(E184&amp;" "&amp;F184)))),"Yes","No"))</f>
        <v/>
      </c>
      <c r="P184" s="34" t="str">
        <f aca="false">IF(D184="","",IF(O184="Yes","No",IF(OR(AND(F184&lt;&gt;"",COUNTIF('Target &amp; Team Lists'!$A$5:$A$504,F184)&gt;0),COUNTIF('Target &amp; Team Lists'!$E$5:$E$504,D184)&gt;0),"Yes",IF(AND(SUMPRODUCT(('Target &amp; Team Lists'!$N$5:$N$60&lt;&gt;"")*ISNUMBER(SEARCH('Target &amp; Team Lists'!$N$5:$N$60,(E184&amp;" "&amp;F184))))&gt;0,SUMPRODUCT(('Target &amp; Team Lists'!$O$5:$O$60&lt;&gt;"")*ISNUMBER(SEARCH('Target &amp; Team Lists'!$O$5:$O$60,(E184&amp;" "&amp;F184))))=0),"Yes","No"))))</f>
        <v/>
      </c>
      <c r="Q184" s="32"/>
    </row>
    <row r="185" customFormat="false" ht="15" hidden="false" customHeight="false" outlineLevel="0" collapsed="false">
      <c r="A185" s="30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3" t="str">
        <f aca="false">IF(D185="","",IF(SUM(I185:L185)&gt;0,1,0))</f>
        <v/>
      </c>
      <c r="O185" s="34" t="str">
        <f aca="false">IF(D185="","",IF(OR(COUNTIF('Target &amp; Team Lists'!$J$5:$J$204,D185)&gt;0,AND(H185&lt;&gt;"",COUNTIF('Target &amp; Team Lists'!$L$5:$L$204,H185)&gt;0),ISNUMBER(SEARCH("alpha nodus",(E185&amp;" "&amp;F185))),ISNUMBER(SEARCH("alphanodus",(E185&amp;" "&amp;F185)))),"Yes","No"))</f>
        <v/>
      </c>
      <c r="P185" s="34" t="str">
        <f aca="false">IF(D185="","",IF(O185="Yes","No",IF(OR(AND(F185&lt;&gt;"",COUNTIF('Target &amp; Team Lists'!$A$5:$A$504,F185)&gt;0),COUNTIF('Target &amp; Team Lists'!$E$5:$E$504,D185)&gt;0),"Yes",IF(AND(SUMPRODUCT(('Target &amp; Team Lists'!$N$5:$N$60&lt;&gt;"")*ISNUMBER(SEARCH('Target &amp; Team Lists'!$N$5:$N$60,(E185&amp;" "&amp;F185))))&gt;0,SUMPRODUCT(('Target &amp; Team Lists'!$O$5:$O$60&lt;&gt;"")*ISNUMBER(SEARCH('Target &amp; Team Lists'!$O$5:$O$60,(E185&amp;" "&amp;F185))))=0),"Yes","No"))))</f>
        <v/>
      </c>
      <c r="Q185" s="32"/>
    </row>
    <row r="186" customFormat="false" ht="15" hidden="false" customHeight="false" outlineLevel="0" collapsed="false">
      <c r="A186" s="30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3" t="str">
        <f aca="false">IF(D186="","",IF(SUM(I186:L186)&gt;0,1,0))</f>
        <v/>
      </c>
      <c r="O186" s="34" t="str">
        <f aca="false">IF(D186="","",IF(OR(COUNTIF('Target &amp; Team Lists'!$J$5:$J$204,D186)&gt;0,AND(H186&lt;&gt;"",COUNTIF('Target &amp; Team Lists'!$L$5:$L$204,H186)&gt;0),ISNUMBER(SEARCH("alpha nodus",(E186&amp;" "&amp;F186))),ISNUMBER(SEARCH("alphanodus",(E186&amp;" "&amp;F186)))),"Yes","No"))</f>
        <v/>
      </c>
      <c r="P186" s="34" t="str">
        <f aca="false">IF(D186="","",IF(O186="Yes","No",IF(OR(AND(F186&lt;&gt;"",COUNTIF('Target &amp; Team Lists'!$A$5:$A$504,F186)&gt;0),COUNTIF('Target &amp; Team Lists'!$E$5:$E$504,D186)&gt;0),"Yes",IF(AND(SUMPRODUCT(('Target &amp; Team Lists'!$N$5:$N$60&lt;&gt;"")*ISNUMBER(SEARCH('Target &amp; Team Lists'!$N$5:$N$60,(E186&amp;" "&amp;F186))))&gt;0,SUMPRODUCT(('Target &amp; Team Lists'!$O$5:$O$60&lt;&gt;"")*ISNUMBER(SEARCH('Target &amp; Team Lists'!$O$5:$O$60,(E186&amp;" "&amp;F186))))=0),"Yes","No"))))</f>
        <v/>
      </c>
      <c r="Q186" s="32"/>
    </row>
    <row r="187" customFormat="false" ht="15" hidden="false" customHeight="false" outlineLevel="0" collapsed="false">
      <c r="A187" s="30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3" t="str">
        <f aca="false">IF(D187="","",IF(SUM(I187:L187)&gt;0,1,0))</f>
        <v/>
      </c>
      <c r="O187" s="34" t="str">
        <f aca="false">IF(D187="","",IF(OR(COUNTIF('Target &amp; Team Lists'!$J$5:$J$204,D187)&gt;0,AND(H187&lt;&gt;"",COUNTIF('Target &amp; Team Lists'!$L$5:$L$204,H187)&gt;0),ISNUMBER(SEARCH("alpha nodus",(E187&amp;" "&amp;F187))),ISNUMBER(SEARCH("alphanodus",(E187&amp;" "&amp;F187)))),"Yes","No"))</f>
        <v/>
      </c>
      <c r="P187" s="34" t="str">
        <f aca="false">IF(D187="","",IF(O187="Yes","No",IF(OR(AND(F187&lt;&gt;"",COUNTIF('Target &amp; Team Lists'!$A$5:$A$504,F187)&gt;0),COUNTIF('Target &amp; Team Lists'!$E$5:$E$504,D187)&gt;0),"Yes",IF(AND(SUMPRODUCT(('Target &amp; Team Lists'!$N$5:$N$60&lt;&gt;"")*ISNUMBER(SEARCH('Target &amp; Team Lists'!$N$5:$N$60,(E187&amp;" "&amp;F187))))&gt;0,SUMPRODUCT(('Target &amp; Team Lists'!$O$5:$O$60&lt;&gt;"")*ISNUMBER(SEARCH('Target &amp; Team Lists'!$O$5:$O$60,(E187&amp;" "&amp;F187))))=0),"Yes","No"))))</f>
        <v/>
      </c>
      <c r="Q187" s="32"/>
    </row>
    <row r="188" customFormat="false" ht="15" hidden="false" customHeight="false" outlineLevel="0" collapsed="false">
      <c r="A188" s="30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3" t="str">
        <f aca="false">IF(D188="","",IF(SUM(I188:L188)&gt;0,1,0))</f>
        <v/>
      </c>
      <c r="O188" s="34" t="str">
        <f aca="false">IF(D188="","",IF(OR(COUNTIF('Target &amp; Team Lists'!$J$5:$J$204,D188)&gt;0,AND(H188&lt;&gt;"",COUNTIF('Target &amp; Team Lists'!$L$5:$L$204,H188)&gt;0),ISNUMBER(SEARCH("alpha nodus",(E188&amp;" "&amp;F188))),ISNUMBER(SEARCH("alphanodus",(E188&amp;" "&amp;F188)))),"Yes","No"))</f>
        <v/>
      </c>
      <c r="P188" s="34" t="str">
        <f aca="false">IF(D188="","",IF(O188="Yes","No",IF(OR(AND(F188&lt;&gt;"",COUNTIF('Target &amp; Team Lists'!$A$5:$A$504,F188)&gt;0),COUNTIF('Target &amp; Team Lists'!$E$5:$E$504,D188)&gt;0),"Yes",IF(AND(SUMPRODUCT(('Target &amp; Team Lists'!$N$5:$N$60&lt;&gt;"")*ISNUMBER(SEARCH('Target &amp; Team Lists'!$N$5:$N$60,(E188&amp;" "&amp;F188))))&gt;0,SUMPRODUCT(('Target &amp; Team Lists'!$O$5:$O$60&lt;&gt;"")*ISNUMBER(SEARCH('Target &amp; Team Lists'!$O$5:$O$60,(E188&amp;" "&amp;F188))))=0),"Yes","No"))))</f>
        <v/>
      </c>
      <c r="Q188" s="32"/>
    </row>
    <row r="189" customFormat="false" ht="15" hidden="false" customHeight="false" outlineLevel="0" collapsed="false">
      <c r="A189" s="30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3" t="str">
        <f aca="false">IF(D189="","",IF(SUM(I189:L189)&gt;0,1,0))</f>
        <v/>
      </c>
      <c r="O189" s="34" t="str">
        <f aca="false">IF(D189="","",IF(OR(COUNTIF('Target &amp; Team Lists'!$J$5:$J$204,D189)&gt;0,AND(H189&lt;&gt;"",COUNTIF('Target &amp; Team Lists'!$L$5:$L$204,H189)&gt;0),ISNUMBER(SEARCH("alpha nodus",(E189&amp;" "&amp;F189))),ISNUMBER(SEARCH("alphanodus",(E189&amp;" "&amp;F189)))),"Yes","No"))</f>
        <v/>
      </c>
      <c r="P189" s="34" t="str">
        <f aca="false">IF(D189="","",IF(O189="Yes","No",IF(OR(AND(F189&lt;&gt;"",COUNTIF('Target &amp; Team Lists'!$A$5:$A$504,F189)&gt;0),COUNTIF('Target &amp; Team Lists'!$E$5:$E$504,D189)&gt;0),"Yes",IF(AND(SUMPRODUCT(('Target &amp; Team Lists'!$N$5:$N$60&lt;&gt;"")*ISNUMBER(SEARCH('Target &amp; Team Lists'!$N$5:$N$60,(E189&amp;" "&amp;F189))))&gt;0,SUMPRODUCT(('Target &amp; Team Lists'!$O$5:$O$60&lt;&gt;"")*ISNUMBER(SEARCH('Target &amp; Team Lists'!$O$5:$O$60,(E189&amp;" "&amp;F189))))=0),"Yes","No"))))</f>
        <v/>
      </c>
      <c r="Q189" s="32"/>
    </row>
    <row r="190" customFormat="false" ht="15" hidden="false" customHeight="false" outlineLevel="0" collapsed="false">
      <c r="A190" s="30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3" t="str">
        <f aca="false">IF(D190="","",IF(SUM(I190:L190)&gt;0,1,0))</f>
        <v/>
      </c>
      <c r="O190" s="34" t="str">
        <f aca="false">IF(D190="","",IF(OR(COUNTIF('Target &amp; Team Lists'!$J$5:$J$204,D190)&gt;0,AND(H190&lt;&gt;"",COUNTIF('Target &amp; Team Lists'!$L$5:$L$204,H190)&gt;0),ISNUMBER(SEARCH("alpha nodus",(E190&amp;" "&amp;F190))),ISNUMBER(SEARCH("alphanodus",(E190&amp;" "&amp;F190)))),"Yes","No"))</f>
        <v/>
      </c>
      <c r="P190" s="34" t="str">
        <f aca="false">IF(D190="","",IF(O190="Yes","No",IF(OR(AND(F190&lt;&gt;"",COUNTIF('Target &amp; Team Lists'!$A$5:$A$504,F190)&gt;0),COUNTIF('Target &amp; Team Lists'!$E$5:$E$504,D190)&gt;0),"Yes",IF(AND(SUMPRODUCT(('Target &amp; Team Lists'!$N$5:$N$60&lt;&gt;"")*ISNUMBER(SEARCH('Target &amp; Team Lists'!$N$5:$N$60,(E190&amp;" "&amp;F190))))&gt;0,SUMPRODUCT(('Target &amp; Team Lists'!$O$5:$O$60&lt;&gt;"")*ISNUMBER(SEARCH('Target &amp; Team Lists'!$O$5:$O$60,(E190&amp;" "&amp;F190))))=0),"Yes","No"))))</f>
        <v/>
      </c>
      <c r="Q190" s="32"/>
    </row>
    <row r="191" customFormat="false" ht="15" hidden="false" customHeight="false" outlineLevel="0" collapsed="false">
      <c r="A191" s="30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3" t="str">
        <f aca="false">IF(D191="","",IF(SUM(I191:L191)&gt;0,1,0))</f>
        <v/>
      </c>
      <c r="O191" s="34" t="str">
        <f aca="false">IF(D191="","",IF(OR(COUNTIF('Target &amp; Team Lists'!$J$5:$J$204,D191)&gt;0,AND(H191&lt;&gt;"",COUNTIF('Target &amp; Team Lists'!$L$5:$L$204,H191)&gt;0),ISNUMBER(SEARCH("alpha nodus",(E191&amp;" "&amp;F191))),ISNUMBER(SEARCH("alphanodus",(E191&amp;" "&amp;F191)))),"Yes","No"))</f>
        <v/>
      </c>
      <c r="P191" s="34" t="str">
        <f aca="false">IF(D191="","",IF(O191="Yes","No",IF(OR(AND(F191&lt;&gt;"",COUNTIF('Target &amp; Team Lists'!$A$5:$A$504,F191)&gt;0),COUNTIF('Target &amp; Team Lists'!$E$5:$E$504,D191)&gt;0),"Yes",IF(AND(SUMPRODUCT(('Target &amp; Team Lists'!$N$5:$N$60&lt;&gt;"")*ISNUMBER(SEARCH('Target &amp; Team Lists'!$N$5:$N$60,(E191&amp;" "&amp;F191))))&gt;0,SUMPRODUCT(('Target &amp; Team Lists'!$O$5:$O$60&lt;&gt;"")*ISNUMBER(SEARCH('Target &amp; Team Lists'!$O$5:$O$60,(E191&amp;" "&amp;F191))))=0),"Yes","No"))))</f>
        <v/>
      </c>
      <c r="Q191" s="32"/>
    </row>
    <row r="192" customFormat="false" ht="15" hidden="false" customHeight="false" outlineLevel="0" collapsed="false">
      <c r="A192" s="30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3" t="str">
        <f aca="false">IF(D192="","",IF(SUM(I192:L192)&gt;0,1,0))</f>
        <v/>
      </c>
      <c r="O192" s="34" t="str">
        <f aca="false">IF(D192="","",IF(OR(COUNTIF('Target &amp; Team Lists'!$J$5:$J$204,D192)&gt;0,AND(H192&lt;&gt;"",COUNTIF('Target &amp; Team Lists'!$L$5:$L$204,H192)&gt;0),ISNUMBER(SEARCH("alpha nodus",(E192&amp;" "&amp;F192))),ISNUMBER(SEARCH("alphanodus",(E192&amp;" "&amp;F192)))),"Yes","No"))</f>
        <v/>
      </c>
      <c r="P192" s="34" t="str">
        <f aca="false">IF(D192="","",IF(O192="Yes","No",IF(OR(AND(F192&lt;&gt;"",COUNTIF('Target &amp; Team Lists'!$A$5:$A$504,F192)&gt;0),COUNTIF('Target &amp; Team Lists'!$E$5:$E$504,D192)&gt;0),"Yes",IF(AND(SUMPRODUCT(('Target &amp; Team Lists'!$N$5:$N$60&lt;&gt;"")*ISNUMBER(SEARCH('Target &amp; Team Lists'!$N$5:$N$60,(E192&amp;" "&amp;F192))))&gt;0,SUMPRODUCT(('Target &amp; Team Lists'!$O$5:$O$60&lt;&gt;"")*ISNUMBER(SEARCH('Target &amp; Team Lists'!$O$5:$O$60,(E192&amp;" "&amp;F192))))=0),"Yes","No"))))</f>
        <v/>
      </c>
      <c r="Q192" s="32"/>
    </row>
    <row r="193" customFormat="false" ht="15" hidden="false" customHeight="false" outlineLevel="0" collapsed="false">
      <c r="A193" s="30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3" t="str">
        <f aca="false">IF(D193="","",IF(SUM(I193:L193)&gt;0,1,0))</f>
        <v/>
      </c>
      <c r="O193" s="34" t="str">
        <f aca="false">IF(D193="","",IF(OR(COUNTIF('Target &amp; Team Lists'!$J$5:$J$204,D193)&gt;0,AND(H193&lt;&gt;"",COUNTIF('Target &amp; Team Lists'!$L$5:$L$204,H193)&gt;0),ISNUMBER(SEARCH("alpha nodus",(E193&amp;" "&amp;F193))),ISNUMBER(SEARCH("alphanodus",(E193&amp;" "&amp;F193)))),"Yes","No"))</f>
        <v/>
      </c>
      <c r="P193" s="34" t="str">
        <f aca="false">IF(D193="","",IF(O193="Yes","No",IF(OR(AND(F193&lt;&gt;"",COUNTIF('Target &amp; Team Lists'!$A$5:$A$504,F193)&gt;0),COUNTIF('Target &amp; Team Lists'!$E$5:$E$504,D193)&gt;0),"Yes",IF(AND(SUMPRODUCT(('Target &amp; Team Lists'!$N$5:$N$60&lt;&gt;"")*ISNUMBER(SEARCH('Target &amp; Team Lists'!$N$5:$N$60,(E193&amp;" "&amp;F193))))&gt;0,SUMPRODUCT(('Target &amp; Team Lists'!$O$5:$O$60&lt;&gt;"")*ISNUMBER(SEARCH('Target &amp; Team Lists'!$O$5:$O$60,(E193&amp;" "&amp;F193))))=0),"Yes","No"))))</f>
        <v/>
      </c>
      <c r="Q193" s="32"/>
    </row>
    <row r="194" customFormat="false" ht="15" hidden="false" customHeight="false" outlineLevel="0" collapsed="false">
      <c r="A194" s="30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3" t="str">
        <f aca="false">IF(D194="","",IF(SUM(I194:L194)&gt;0,1,0))</f>
        <v/>
      </c>
      <c r="O194" s="34" t="str">
        <f aca="false">IF(D194="","",IF(OR(COUNTIF('Target &amp; Team Lists'!$J$5:$J$204,D194)&gt;0,AND(H194&lt;&gt;"",COUNTIF('Target &amp; Team Lists'!$L$5:$L$204,H194)&gt;0),ISNUMBER(SEARCH("alpha nodus",(E194&amp;" "&amp;F194))),ISNUMBER(SEARCH("alphanodus",(E194&amp;" "&amp;F194)))),"Yes","No"))</f>
        <v/>
      </c>
      <c r="P194" s="34" t="str">
        <f aca="false">IF(D194="","",IF(O194="Yes","No",IF(OR(AND(F194&lt;&gt;"",COUNTIF('Target &amp; Team Lists'!$A$5:$A$504,F194)&gt;0),COUNTIF('Target &amp; Team Lists'!$E$5:$E$504,D194)&gt;0),"Yes",IF(AND(SUMPRODUCT(('Target &amp; Team Lists'!$N$5:$N$60&lt;&gt;"")*ISNUMBER(SEARCH('Target &amp; Team Lists'!$N$5:$N$60,(E194&amp;" "&amp;F194))))&gt;0,SUMPRODUCT(('Target &amp; Team Lists'!$O$5:$O$60&lt;&gt;"")*ISNUMBER(SEARCH('Target &amp; Team Lists'!$O$5:$O$60,(E194&amp;" "&amp;F194))))=0),"Yes","No"))))</f>
        <v/>
      </c>
      <c r="Q194" s="32"/>
    </row>
    <row r="195" customFormat="false" ht="15" hidden="false" customHeight="false" outlineLevel="0" collapsed="false">
      <c r="A195" s="30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3" t="str">
        <f aca="false">IF(D195="","",IF(SUM(I195:L195)&gt;0,1,0))</f>
        <v/>
      </c>
      <c r="O195" s="34" t="str">
        <f aca="false">IF(D195="","",IF(OR(COUNTIF('Target &amp; Team Lists'!$J$5:$J$204,D195)&gt;0,AND(H195&lt;&gt;"",COUNTIF('Target &amp; Team Lists'!$L$5:$L$204,H195)&gt;0),ISNUMBER(SEARCH("alpha nodus",(E195&amp;" "&amp;F195))),ISNUMBER(SEARCH("alphanodus",(E195&amp;" "&amp;F195)))),"Yes","No"))</f>
        <v/>
      </c>
      <c r="P195" s="34" t="str">
        <f aca="false">IF(D195="","",IF(O195="Yes","No",IF(OR(AND(F195&lt;&gt;"",COUNTIF('Target &amp; Team Lists'!$A$5:$A$504,F195)&gt;0),COUNTIF('Target &amp; Team Lists'!$E$5:$E$504,D195)&gt;0),"Yes",IF(AND(SUMPRODUCT(('Target &amp; Team Lists'!$N$5:$N$60&lt;&gt;"")*ISNUMBER(SEARCH('Target &amp; Team Lists'!$N$5:$N$60,(E195&amp;" "&amp;F195))))&gt;0,SUMPRODUCT(('Target &amp; Team Lists'!$O$5:$O$60&lt;&gt;"")*ISNUMBER(SEARCH('Target &amp; Team Lists'!$O$5:$O$60,(E195&amp;" "&amp;F195))))=0),"Yes","No"))))</f>
        <v/>
      </c>
      <c r="Q195" s="32"/>
    </row>
    <row r="196" customFormat="false" ht="15" hidden="false" customHeight="false" outlineLevel="0" collapsed="false">
      <c r="A196" s="30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3" t="str">
        <f aca="false">IF(D196="","",IF(SUM(I196:L196)&gt;0,1,0))</f>
        <v/>
      </c>
      <c r="O196" s="34" t="str">
        <f aca="false">IF(D196="","",IF(OR(COUNTIF('Target &amp; Team Lists'!$J$5:$J$204,D196)&gt;0,AND(H196&lt;&gt;"",COUNTIF('Target &amp; Team Lists'!$L$5:$L$204,H196)&gt;0),ISNUMBER(SEARCH("alpha nodus",(E196&amp;" "&amp;F196))),ISNUMBER(SEARCH("alphanodus",(E196&amp;" "&amp;F196)))),"Yes","No"))</f>
        <v/>
      </c>
      <c r="P196" s="34" t="str">
        <f aca="false">IF(D196="","",IF(O196="Yes","No",IF(OR(AND(F196&lt;&gt;"",COUNTIF('Target &amp; Team Lists'!$A$5:$A$504,F196)&gt;0),COUNTIF('Target &amp; Team Lists'!$E$5:$E$504,D196)&gt;0),"Yes",IF(AND(SUMPRODUCT(('Target &amp; Team Lists'!$N$5:$N$60&lt;&gt;"")*ISNUMBER(SEARCH('Target &amp; Team Lists'!$N$5:$N$60,(E196&amp;" "&amp;F196))))&gt;0,SUMPRODUCT(('Target &amp; Team Lists'!$O$5:$O$60&lt;&gt;"")*ISNUMBER(SEARCH('Target &amp; Team Lists'!$O$5:$O$60,(E196&amp;" "&amp;F196))))=0),"Yes","No"))))</f>
        <v/>
      </c>
      <c r="Q196" s="32"/>
    </row>
    <row r="197" customFormat="false" ht="15" hidden="false" customHeight="false" outlineLevel="0" collapsed="false">
      <c r="A197" s="30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3" t="str">
        <f aca="false">IF(D197="","",IF(SUM(I197:L197)&gt;0,1,0))</f>
        <v/>
      </c>
      <c r="O197" s="34" t="str">
        <f aca="false">IF(D197="","",IF(OR(COUNTIF('Target &amp; Team Lists'!$J$5:$J$204,D197)&gt;0,AND(H197&lt;&gt;"",COUNTIF('Target &amp; Team Lists'!$L$5:$L$204,H197)&gt;0),ISNUMBER(SEARCH("alpha nodus",(E197&amp;" "&amp;F197))),ISNUMBER(SEARCH("alphanodus",(E197&amp;" "&amp;F197)))),"Yes","No"))</f>
        <v/>
      </c>
      <c r="P197" s="34" t="str">
        <f aca="false">IF(D197="","",IF(O197="Yes","No",IF(OR(AND(F197&lt;&gt;"",COUNTIF('Target &amp; Team Lists'!$A$5:$A$504,F197)&gt;0),COUNTIF('Target &amp; Team Lists'!$E$5:$E$504,D197)&gt;0),"Yes",IF(AND(SUMPRODUCT(('Target &amp; Team Lists'!$N$5:$N$60&lt;&gt;"")*ISNUMBER(SEARCH('Target &amp; Team Lists'!$N$5:$N$60,(E197&amp;" "&amp;F197))))&gt;0,SUMPRODUCT(('Target &amp; Team Lists'!$O$5:$O$60&lt;&gt;"")*ISNUMBER(SEARCH('Target &amp; Team Lists'!$O$5:$O$60,(E197&amp;" "&amp;F197))))=0),"Yes","No"))))</f>
        <v/>
      </c>
      <c r="Q197" s="32"/>
    </row>
    <row r="198" customFormat="false" ht="15" hidden="false" customHeight="false" outlineLevel="0" collapsed="false">
      <c r="A198" s="30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3" t="str">
        <f aca="false">IF(D198="","",IF(SUM(I198:L198)&gt;0,1,0))</f>
        <v/>
      </c>
      <c r="O198" s="34" t="str">
        <f aca="false">IF(D198="","",IF(OR(COUNTIF('Target &amp; Team Lists'!$J$5:$J$204,D198)&gt;0,AND(H198&lt;&gt;"",COUNTIF('Target &amp; Team Lists'!$L$5:$L$204,H198)&gt;0),ISNUMBER(SEARCH("alpha nodus",(E198&amp;" "&amp;F198))),ISNUMBER(SEARCH("alphanodus",(E198&amp;" "&amp;F198)))),"Yes","No"))</f>
        <v/>
      </c>
      <c r="P198" s="34" t="str">
        <f aca="false">IF(D198="","",IF(O198="Yes","No",IF(OR(AND(F198&lt;&gt;"",COUNTIF('Target &amp; Team Lists'!$A$5:$A$504,F198)&gt;0),COUNTIF('Target &amp; Team Lists'!$E$5:$E$504,D198)&gt;0),"Yes",IF(AND(SUMPRODUCT(('Target &amp; Team Lists'!$N$5:$N$60&lt;&gt;"")*ISNUMBER(SEARCH('Target &amp; Team Lists'!$N$5:$N$60,(E198&amp;" "&amp;F198))))&gt;0,SUMPRODUCT(('Target &amp; Team Lists'!$O$5:$O$60&lt;&gt;"")*ISNUMBER(SEARCH('Target &amp; Team Lists'!$O$5:$O$60,(E198&amp;" "&amp;F198))))=0),"Yes","No"))))</f>
        <v/>
      </c>
      <c r="Q198" s="32"/>
    </row>
    <row r="199" customFormat="false" ht="15" hidden="false" customHeight="false" outlineLevel="0" collapsed="false">
      <c r="A199" s="30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3" t="str">
        <f aca="false">IF(D199="","",IF(SUM(I199:L199)&gt;0,1,0))</f>
        <v/>
      </c>
      <c r="O199" s="34" t="str">
        <f aca="false">IF(D199="","",IF(OR(COUNTIF('Target &amp; Team Lists'!$J$5:$J$204,D199)&gt;0,AND(H199&lt;&gt;"",COUNTIF('Target &amp; Team Lists'!$L$5:$L$204,H199)&gt;0),ISNUMBER(SEARCH("alpha nodus",(E199&amp;" "&amp;F199))),ISNUMBER(SEARCH("alphanodus",(E199&amp;" "&amp;F199)))),"Yes","No"))</f>
        <v/>
      </c>
      <c r="P199" s="34" t="str">
        <f aca="false">IF(D199="","",IF(O199="Yes","No",IF(OR(AND(F199&lt;&gt;"",COUNTIF('Target &amp; Team Lists'!$A$5:$A$504,F199)&gt;0),COUNTIF('Target &amp; Team Lists'!$E$5:$E$504,D199)&gt;0),"Yes",IF(AND(SUMPRODUCT(('Target &amp; Team Lists'!$N$5:$N$60&lt;&gt;"")*ISNUMBER(SEARCH('Target &amp; Team Lists'!$N$5:$N$60,(E199&amp;" "&amp;F199))))&gt;0,SUMPRODUCT(('Target &amp; Team Lists'!$O$5:$O$60&lt;&gt;"")*ISNUMBER(SEARCH('Target &amp; Team Lists'!$O$5:$O$60,(E199&amp;" "&amp;F199))))=0),"Yes","No"))))</f>
        <v/>
      </c>
      <c r="Q199" s="32"/>
    </row>
    <row r="200" customFormat="false" ht="15" hidden="false" customHeight="false" outlineLevel="0" collapsed="false">
      <c r="A200" s="30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3" t="str">
        <f aca="false">IF(D200="","",IF(SUM(I200:L200)&gt;0,1,0))</f>
        <v/>
      </c>
      <c r="O200" s="34" t="str">
        <f aca="false">IF(D200="","",IF(OR(COUNTIF('Target &amp; Team Lists'!$J$5:$J$204,D200)&gt;0,AND(H200&lt;&gt;"",COUNTIF('Target &amp; Team Lists'!$L$5:$L$204,H200)&gt;0),ISNUMBER(SEARCH("alpha nodus",(E200&amp;" "&amp;F200))),ISNUMBER(SEARCH("alphanodus",(E200&amp;" "&amp;F200)))),"Yes","No"))</f>
        <v/>
      </c>
      <c r="P200" s="34" t="str">
        <f aca="false">IF(D200="","",IF(O200="Yes","No",IF(OR(AND(F200&lt;&gt;"",COUNTIF('Target &amp; Team Lists'!$A$5:$A$504,F200)&gt;0),COUNTIF('Target &amp; Team Lists'!$E$5:$E$504,D200)&gt;0),"Yes",IF(AND(SUMPRODUCT(('Target &amp; Team Lists'!$N$5:$N$60&lt;&gt;"")*ISNUMBER(SEARCH('Target &amp; Team Lists'!$N$5:$N$60,(E200&amp;" "&amp;F200))))&gt;0,SUMPRODUCT(('Target &amp; Team Lists'!$O$5:$O$60&lt;&gt;"")*ISNUMBER(SEARCH('Target &amp; Team Lists'!$O$5:$O$60,(E200&amp;" "&amp;F200))))=0),"Yes","No"))))</f>
        <v/>
      </c>
      <c r="Q200" s="32"/>
    </row>
    <row r="201" customFormat="false" ht="15" hidden="false" customHeight="false" outlineLevel="0" collapsed="false">
      <c r="A201" s="30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3" t="str">
        <f aca="false">IF(D201="","",IF(SUM(I201:L201)&gt;0,1,0))</f>
        <v/>
      </c>
      <c r="O201" s="34" t="str">
        <f aca="false">IF(D201="","",IF(OR(COUNTIF('Target &amp; Team Lists'!$J$5:$J$204,D201)&gt;0,AND(H201&lt;&gt;"",COUNTIF('Target &amp; Team Lists'!$L$5:$L$204,H201)&gt;0),ISNUMBER(SEARCH("alpha nodus",(E201&amp;" "&amp;F201))),ISNUMBER(SEARCH("alphanodus",(E201&amp;" "&amp;F201)))),"Yes","No"))</f>
        <v/>
      </c>
      <c r="P201" s="34" t="str">
        <f aca="false">IF(D201="","",IF(O201="Yes","No",IF(OR(AND(F201&lt;&gt;"",COUNTIF('Target &amp; Team Lists'!$A$5:$A$504,F201)&gt;0),COUNTIF('Target &amp; Team Lists'!$E$5:$E$504,D201)&gt;0),"Yes",IF(AND(SUMPRODUCT(('Target &amp; Team Lists'!$N$5:$N$60&lt;&gt;"")*ISNUMBER(SEARCH('Target &amp; Team Lists'!$N$5:$N$60,(E201&amp;" "&amp;F201))))&gt;0,SUMPRODUCT(('Target &amp; Team Lists'!$O$5:$O$60&lt;&gt;"")*ISNUMBER(SEARCH('Target &amp; Team Lists'!$O$5:$O$60,(E201&amp;" "&amp;F201))))=0),"Yes","No"))))</f>
        <v/>
      </c>
      <c r="Q201" s="32"/>
    </row>
    <row r="202" customFormat="false" ht="15" hidden="false" customHeight="false" outlineLevel="0" collapsed="false">
      <c r="A202" s="30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3" t="str">
        <f aca="false">IF(D202="","",IF(SUM(I202:L202)&gt;0,1,0))</f>
        <v/>
      </c>
      <c r="O202" s="34" t="str">
        <f aca="false">IF(D202="","",IF(OR(COUNTIF('Target &amp; Team Lists'!$J$5:$J$204,D202)&gt;0,AND(H202&lt;&gt;"",COUNTIF('Target &amp; Team Lists'!$L$5:$L$204,H202)&gt;0),ISNUMBER(SEARCH("alpha nodus",(E202&amp;" "&amp;F202))),ISNUMBER(SEARCH("alphanodus",(E202&amp;" "&amp;F202)))),"Yes","No"))</f>
        <v/>
      </c>
      <c r="P202" s="34" t="str">
        <f aca="false">IF(D202="","",IF(O202="Yes","No",IF(OR(AND(F202&lt;&gt;"",COUNTIF('Target &amp; Team Lists'!$A$5:$A$504,F202)&gt;0),COUNTIF('Target &amp; Team Lists'!$E$5:$E$504,D202)&gt;0),"Yes",IF(AND(SUMPRODUCT(('Target &amp; Team Lists'!$N$5:$N$60&lt;&gt;"")*ISNUMBER(SEARCH('Target &amp; Team Lists'!$N$5:$N$60,(E202&amp;" "&amp;F202))))&gt;0,SUMPRODUCT(('Target &amp; Team Lists'!$O$5:$O$60&lt;&gt;"")*ISNUMBER(SEARCH('Target &amp; Team Lists'!$O$5:$O$60,(E202&amp;" "&amp;F202))))=0),"Yes","No"))))</f>
        <v/>
      </c>
      <c r="Q202" s="32"/>
    </row>
    <row r="203" customFormat="false" ht="15" hidden="false" customHeight="false" outlineLevel="0" collapsed="false">
      <c r="A203" s="30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3" t="str">
        <f aca="false">IF(D203="","",IF(SUM(I203:L203)&gt;0,1,0))</f>
        <v/>
      </c>
      <c r="O203" s="34" t="str">
        <f aca="false">IF(D203="","",IF(OR(COUNTIF('Target &amp; Team Lists'!$J$5:$J$204,D203)&gt;0,AND(H203&lt;&gt;"",COUNTIF('Target &amp; Team Lists'!$L$5:$L$204,H203)&gt;0),ISNUMBER(SEARCH("alpha nodus",(E203&amp;" "&amp;F203))),ISNUMBER(SEARCH("alphanodus",(E203&amp;" "&amp;F203)))),"Yes","No"))</f>
        <v/>
      </c>
      <c r="P203" s="34" t="str">
        <f aca="false">IF(D203="","",IF(O203="Yes","No",IF(OR(AND(F203&lt;&gt;"",COUNTIF('Target &amp; Team Lists'!$A$5:$A$504,F203)&gt;0),COUNTIF('Target &amp; Team Lists'!$E$5:$E$504,D203)&gt;0),"Yes",IF(AND(SUMPRODUCT(('Target &amp; Team Lists'!$N$5:$N$60&lt;&gt;"")*ISNUMBER(SEARCH('Target &amp; Team Lists'!$N$5:$N$60,(E203&amp;" "&amp;F203))))&gt;0,SUMPRODUCT(('Target &amp; Team Lists'!$O$5:$O$60&lt;&gt;"")*ISNUMBER(SEARCH('Target &amp; Team Lists'!$O$5:$O$60,(E203&amp;" "&amp;F203))))=0),"Yes","No"))))</f>
        <v/>
      </c>
      <c r="Q203" s="32"/>
    </row>
    <row r="204" customFormat="false" ht="15" hidden="false" customHeight="false" outlineLevel="0" collapsed="false">
      <c r="A204" s="30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3" t="str">
        <f aca="false">IF(D204="","",IF(SUM(I204:L204)&gt;0,1,0))</f>
        <v/>
      </c>
      <c r="O204" s="34" t="str">
        <f aca="false">IF(D204="","",IF(OR(COUNTIF('Target &amp; Team Lists'!$J$5:$J$204,D204)&gt;0,AND(H204&lt;&gt;"",COUNTIF('Target &amp; Team Lists'!$L$5:$L$204,H204)&gt;0),ISNUMBER(SEARCH("alpha nodus",(E204&amp;" "&amp;F204))),ISNUMBER(SEARCH("alphanodus",(E204&amp;" "&amp;F204)))),"Yes","No"))</f>
        <v/>
      </c>
      <c r="P204" s="34" t="str">
        <f aca="false">IF(D204="","",IF(O204="Yes","No",IF(OR(AND(F204&lt;&gt;"",COUNTIF('Target &amp; Team Lists'!$A$5:$A$504,F204)&gt;0),COUNTIF('Target &amp; Team Lists'!$E$5:$E$504,D204)&gt;0),"Yes",IF(AND(SUMPRODUCT(('Target &amp; Team Lists'!$N$5:$N$60&lt;&gt;"")*ISNUMBER(SEARCH('Target &amp; Team Lists'!$N$5:$N$60,(E204&amp;" "&amp;F204))))&gt;0,SUMPRODUCT(('Target &amp; Team Lists'!$O$5:$O$60&lt;&gt;"")*ISNUMBER(SEARCH('Target &amp; Team Lists'!$O$5:$O$60,(E204&amp;" "&amp;F204))))=0),"Yes","No"))))</f>
        <v/>
      </c>
      <c r="Q204" s="32"/>
    </row>
    <row r="205" customFormat="false" ht="15" hidden="false" customHeight="false" outlineLevel="0" collapsed="false">
      <c r="A205" s="30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3" t="str">
        <f aca="false">IF(D205="","",IF(SUM(I205:L205)&gt;0,1,0))</f>
        <v/>
      </c>
      <c r="O205" s="34" t="str">
        <f aca="false">IF(D205="","",IF(OR(COUNTIF('Target &amp; Team Lists'!$J$5:$J$204,D205)&gt;0,AND(H205&lt;&gt;"",COUNTIF('Target &amp; Team Lists'!$L$5:$L$204,H205)&gt;0),ISNUMBER(SEARCH("alpha nodus",(E205&amp;" "&amp;F205))),ISNUMBER(SEARCH("alphanodus",(E205&amp;" "&amp;F205)))),"Yes","No"))</f>
        <v/>
      </c>
      <c r="P205" s="34" t="str">
        <f aca="false">IF(D205="","",IF(O205="Yes","No",IF(OR(AND(F205&lt;&gt;"",COUNTIF('Target &amp; Team Lists'!$A$5:$A$504,F205)&gt;0),COUNTIF('Target &amp; Team Lists'!$E$5:$E$504,D205)&gt;0),"Yes",IF(AND(SUMPRODUCT(('Target &amp; Team Lists'!$N$5:$N$60&lt;&gt;"")*ISNUMBER(SEARCH('Target &amp; Team Lists'!$N$5:$N$60,(E205&amp;" "&amp;F205))))&gt;0,SUMPRODUCT(('Target &amp; Team Lists'!$O$5:$O$60&lt;&gt;"")*ISNUMBER(SEARCH('Target &amp; Team Lists'!$O$5:$O$60,(E205&amp;" "&amp;F205))))=0),"Yes","No"))))</f>
        <v/>
      </c>
      <c r="Q205" s="32"/>
    </row>
    <row r="206" customFormat="false" ht="15" hidden="false" customHeight="false" outlineLevel="0" collapsed="false">
      <c r="A206" s="30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3" t="str">
        <f aca="false">IF(D206="","",IF(SUM(I206:L206)&gt;0,1,0))</f>
        <v/>
      </c>
      <c r="O206" s="34" t="str">
        <f aca="false">IF(D206="","",IF(OR(COUNTIF('Target &amp; Team Lists'!$J$5:$J$204,D206)&gt;0,AND(H206&lt;&gt;"",COUNTIF('Target &amp; Team Lists'!$L$5:$L$204,H206)&gt;0),ISNUMBER(SEARCH("alpha nodus",(E206&amp;" "&amp;F206))),ISNUMBER(SEARCH("alphanodus",(E206&amp;" "&amp;F206)))),"Yes","No"))</f>
        <v/>
      </c>
      <c r="P206" s="34" t="str">
        <f aca="false">IF(D206="","",IF(O206="Yes","No",IF(OR(AND(F206&lt;&gt;"",COUNTIF('Target &amp; Team Lists'!$A$5:$A$504,F206)&gt;0),COUNTIF('Target &amp; Team Lists'!$E$5:$E$504,D206)&gt;0),"Yes",IF(AND(SUMPRODUCT(('Target &amp; Team Lists'!$N$5:$N$60&lt;&gt;"")*ISNUMBER(SEARCH('Target &amp; Team Lists'!$N$5:$N$60,(E206&amp;" "&amp;F206))))&gt;0,SUMPRODUCT(('Target &amp; Team Lists'!$O$5:$O$60&lt;&gt;"")*ISNUMBER(SEARCH('Target &amp; Team Lists'!$O$5:$O$60,(E206&amp;" "&amp;F206))))=0),"Yes","No"))))</f>
        <v/>
      </c>
      <c r="Q206" s="32"/>
    </row>
    <row r="207" customFormat="false" ht="15" hidden="false" customHeight="false" outlineLevel="0" collapsed="false">
      <c r="A207" s="30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3" t="str">
        <f aca="false">IF(D207="","",IF(SUM(I207:L207)&gt;0,1,0))</f>
        <v/>
      </c>
      <c r="O207" s="34" t="str">
        <f aca="false">IF(D207="","",IF(OR(COUNTIF('Target &amp; Team Lists'!$J$5:$J$204,D207)&gt;0,AND(H207&lt;&gt;"",COUNTIF('Target &amp; Team Lists'!$L$5:$L$204,H207)&gt;0),ISNUMBER(SEARCH("alpha nodus",(E207&amp;" "&amp;F207))),ISNUMBER(SEARCH("alphanodus",(E207&amp;" "&amp;F207)))),"Yes","No"))</f>
        <v/>
      </c>
      <c r="P207" s="34" t="str">
        <f aca="false">IF(D207="","",IF(O207="Yes","No",IF(OR(AND(F207&lt;&gt;"",COUNTIF('Target &amp; Team Lists'!$A$5:$A$504,F207)&gt;0),COUNTIF('Target &amp; Team Lists'!$E$5:$E$504,D207)&gt;0),"Yes",IF(AND(SUMPRODUCT(('Target &amp; Team Lists'!$N$5:$N$60&lt;&gt;"")*ISNUMBER(SEARCH('Target &amp; Team Lists'!$N$5:$N$60,(E207&amp;" "&amp;F207))))&gt;0,SUMPRODUCT(('Target &amp; Team Lists'!$O$5:$O$60&lt;&gt;"")*ISNUMBER(SEARCH('Target &amp; Team Lists'!$O$5:$O$60,(E207&amp;" "&amp;F207))))=0),"Yes","No"))))</f>
        <v/>
      </c>
      <c r="Q207" s="32"/>
    </row>
    <row r="208" customFormat="false" ht="15" hidden="false" customHeight="false" outlineLevel="0" collapsed="false">
      <c r="A208" s="30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3" t="str">
        <f aca="false">IF(D208="","",IF(SUM(I208:L208)&gt;0,1,0))</f>
        <v/>
      </c>
      <c r="O208" s="34" t="str">
        <f aca="false">IF(D208="","",IF(OR(COUNTIF('Target &amp; Team Lists'!$J$5:$J$204,D208)&gt;0,AND(H208&lt;&gt;"",COUNTIF('Target &amp; Team Lists'!$L$5:$L$204,H208)&gt;0),ISNUMBER(SEARCH("alpha nodus",(E208&amp;" "&amp;F208))),ISNUMBER(SEARCH("alphanodus",(E208&amp;" "&amp;F208)))),"Yes","No"))</f>
        <v/>
      </c>
      <c r="P208" s="34" t="str">
        <f aca="false">IF(D208="","",IF(O208="Yes","No",IF(OR(AND(F208&lt;&gt;"",COUNTIF('Target &amp; Team Lists'!$A$5:$A$504,F208)&gt;0),COUNTIF('Target &amp; Team Lists'!$E$5:$E$504,D208)&gt;0),"Yes",IF(AND(SUMPRODUCT(('Target &amp; Team Lists'!$N$5:$N$60&lt;&gt;"")*ISNUMBER(SEARCH('Target &amp; Team Lists'!$N$5:$N$60,(E208&amp;" "&amp;F208))))&gt;0,SUMPRODUCT(('Target &amp; Team Lists'!$O$5:$O$60&lt;&gt;"")*ISNUMBER(SEARCH('Target &amp; Team Lists'!$O$5:$O$60,(E208&amp;" "&amp;F208))))=0),"Yes","No"))))</f>
        <v/>
      </c>
      <c r="Q208" s="32"/>
    </row>
    <row r="209" customFormat="false" ht="15" hidden="false" customHeight="false" outlineLevel="0" collapsed="false">
      <c r="A209" s="30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3" t="str">
        <f aca="false">IF(D209="","",IF(SUM(I209:L209)&gt;0,1,0))</f>
        <v/>
      </c>
      <c r="O209" s="34" t="str">
        <f aca="false">IF(D209="","",IF(OR(COUNTIF('Target &amp; Team Lists'!$J$5:$J$204,D209)&gt;0,AND(H209&lt;&gt;"",COUNTIF('Target &amp; Team Lists'!$L$5:$L$204,H209)&gt;0),ISNUMBER(SEARCH("alpha nodus",(E209&amp;" "&amp;F209))),ISNUMBER(SEARCH("alphanodus",(E209&amp;" "&amp;F209)))),"Yes","No"))</f>
        <v/>
      </c>
      <c r="P209" s="34" t="str">
        <f aca="false">IF(D209="","",IF(O209="Yes","No",IF(OR(AND(F209&lt;&gt;"",COUNTIF('Target &amp; Team Lists'!$A$5:$A$504,F209)&gt;0),COUNTIF('Target &amp; Team Lists'!$E$5:$E$504,D209)&gt;0),"Yes",IF(AND(SUMPRODUCT(('Target &amp; Team Lists'!$N$5:$N$60&lt;&gt;"")*ISNUMBER(SEARCH('Target &amp; Team Lists'!$N$5:$N$60,(E209&amp;" "&amp;F209))))&gt;0,SUMPRODUCT(('Target &amp; Team Lists'!$O$5:$O$60&lt;&gt;"")*ISNUMBER(SEARCH('Target &amp; Team Lists'!$O$5:$O$60,(E209&amp;" "&amp;F209))))=0),"Yes","No"))))</f>
        <v/>
      </c>
      <c r="Q209" s="32"/>
    </row>
    <row r="210" customFormat="false" ht="15" hidden="false" customHeight="false" outlineLevel="0" collapsed="false">
      <c r="A210" s="30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3" t="str">
        <f aca="false">IF(D210="","",IF(SUM(I210:L210)&gt;0,1,0))</f>
        <v/>
      </c>
      <c r="O210" s="34" t="str">
        <f aca="false">IF(D210="","",IF(OR(COUNTIF('Target &amp; Team Lists'!$J$5:$J$204,D210)&gt;0,AND(H210&lt;&gt;"",COUNTIF('Target &amp; Team Lists'!$L$5:$L$204,H210)&gt;0),ISNUMBER(SEARCH("alpha nodus",(E210&amp;" "&amp;F210))),ISNUMBER(SEARCH("alphanodus",(E210&amp;" "&amp;F210)))),"Yes","No"))</f>
        <v/>
      </c>
      <c r="P210" s="34" t="str">
        <f aca="false">IF(D210="","",IF(O210="Yes","No",IF(OR(AND(F210&lt;&gt;"",COUNTIF('Target &amp; Team Lists'!$A$5:$A$504,F210)&gt;0),COUNTIF('Target &amp; Team Lists'!$E$5:$E$504,D210)&gt;0),"Yes",IF(AND(SUMPRODUCT(('Target &amp; Team Lists'!$N$5:$N$60&lt;&gt;"")*ISNUMBER(SEARCH('Target &amp; Team Lists'!$N$5:$N$60,(E210&amp;" "&amp;F210))))&gt;0,SUMPRODUCT(('Target &amp; Team Lists'!$O$5:$O$60&lt;&gt;"")*ISNUMBER(SEARCH('Target &amp; Team Lists'!$O$5:$O$60,(E210&amp;" "&amp;F210))))=0),"Yes","No"))))</f>
        <v/>
      </c>
      <c r="Q210" s="32"/>
    </row>
    <row r="211" customFormat="false" ht="15" hidden="false" customHeight="false" outlineLevel="0" collapsed="false">
      <c r="A211" s="30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3" t="str">
        <f aca="false">IF(D211="","",IF(SUM(I211:L211)&gt;0,1,0))</f>
        <v/>
      </c>
      <c r="O211" s="34" t="str">
        <f aca="false">IF(D211="","",IF(OR(COUNTIF('Target &amp; Team Lists'!$J$5:$J$204,D211)&gt;0,AND(H211&lt;&gt;"",COUNTIF('Target &amp; Team Lists'!$L$5:$L$204,H211)&gt;0),ISNUMBER(SEARCH("alpha nodus",(E211&amp;" "&amp;F211))),ISNUMBER(SEARCH("alphanodus",(E211&amp;" "&amp;F211)))),"Yes","No"))</f>
        <v/>
      </c>
      <c r="P211" s="34" t="str">
        <f aca="false">IF(D211="","",IF(O211="Yes","No",IF(OR(AND(F211&lt;&gt;"",COUNTIF('Target &amp; Team Lists'!$A$5:$A$504,F211)&gt;0),COUNTIF('Target &amp; Team Lists'!$E$5:$E$504,D211)&gt;0),"Yes",IF(AND(SUMPRODUCT(('Target &amp; Team Lists'!$N$5:$N$60&lt;&gt;"")*ISNUMBER(SEARCH('Target &amp; Team Lists'!$N$5:$N$60,(E211&amp;" "&amp;F211))))&gt;0,SUMPRODUCT(('Target &amp; Team Lists'!$O$5:$O$60&lt;&gt;"")*ISNUMBER(SEARCH('Target &amp; Team Lists'!$O$5:$O$60,(E211&amp;" "&amp;F211))))=0),"Yes","No"))))</f>
        <v/>
      </c>
      <c r="Q211" s="32"/>
    </row>
    <row r="212" customFormat="false" ht="15" hidden="false" customHeight="false" outlineLevel="0" collapsed="false">
      <c r="A212" s="30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3" t="str">
        <f aca="false">IF(D212="","",IF(SUM(I212:L212)&gt;0,1,0))</f>
        <v/>
      </c>
      <c r="O212" s="34" t="str">
        <f aca="false">IF(D212="","",IF(OR(COUNTIF('Target &amp; Team Lists'!$J$5:$J$204,D212)&gt;0,AND(H212&lt;&gt;"",COUNTIF('Target &amp; Team Lists'!$L$5:$L$204,H212)&gt;0),ISNUMBER(SEARCH("alpha nodus",(E212&amp;" "&amp;F212))),ISNUMBER(SEARCH("alphanodus",(E212&amp;" "&amp;F212)))),"Yes","No"))</f>
        <v/>
      </c>
      <c r="P212" s="34" t="str">
        <f aca="false">IF(D212="","",IF(O212="Yes","No",IF(OR(AND(F212&lt;&gt;"",COUNTIF('Target &amp; Team Lists'!$A$5:$A$504,F212)&gt;0),COUNTIF('Target &amp; Team Lists'!$E$5:$E$504,D212)&gt;0),"Yes",IF(AND(SUMPRODUCT(('Target &amp; Team Lists'!$N$5:$N$60&lt;&gt;"")*ISNUMBER(SEARCH('Target &amp; Team Lists'!$N$5:$N$60,(E212&amp;" "&amp;F212))))&gt;0,SUMPRODUCT(('Target &amp; Team Lists'!$O$5:$O$60&lt;&gt;"")*ISNUMBER(SEARCH('Target &amp; Team Lists'!$O$5:$O$60,(E212&amp;" "&amp;F212))))=0),"Yes","No"))))</f>
        <v/>
      </c>
      <c r="Q212" s="32"/>
    </row>
    <row r="213" customFormat="false" ht="15" hidden="false" customHeight="false" outlineLevel="0" collapsed="false">
      <c r="A213" s="30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3" t="str">
        <f aca="false">IF(D213="","",IF(SUM(I213:L213)&gt;0,1,0))</f>
        <v/>
      </c>
      <c r="O213" s="34" t="str">
        <f aca="false">IF(D213="","",IF(OR(COUNTIF('Target &amp; Team Lists'!$J$5:$J$204,D213)&gt;0,AND(H213&lt;&gt;"",COUNTIF('Target &amp; Team Lists'!$L$5:$L$204,H213)&gt;0),ISNUMBER(SEARCH("alpha nodus",(E213&amp;" "&amp;F213))),ISNUMBER(SEARCH("alphanodus",(E213&amp;" "&amp;F213)))),"Yes","No"))</f>
        <v/>
      </c>
      <c r="P213" s="34" t="str">
        <f aca="false">IF(D213="","",IF(O213="Yes","No",IF(OR(AND(F213&lt;&gt;"",COUNTIF('Target &amp; Team Lists'!$A$5:$A$504,F213)&gt;0),COUNTIF('Target &amp; Team Lists'!$E$5:$E$504,D213)&gt;0),"Yes",IF(AND(SUMPRODUCT(('Target &amp; Team Lists'!$N$5:$N$60&lt;&gt;"")*ISNUMBER(SEARCH('Target &amp; Team Lists'!$N$5:$N$60,(E213&amp;" "&amp;F213))))&gt;0,SUMPRODUCT(('Target &amp; Team Lists'!$O$5:$O$60&lt;&gt;"")*ISNUMBER(SEARCH('Target &amp; Team Lists'!$O$5:$O$60,(E213&amp;" "&amp;F213))))=0),"Yes","No"))))</f>
        <v/>
      </c>
      <c r="Q213" s="32"/>
    </row>
    <row r="214" customFormat="false" ht="15" hidden="false" customHeight="false" outlineLevel="0" collapsed="false">
      <c r="A214" s="30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3" t="str">
        <f aca="false">IF(D214="","",IF(SUM(I214:L214)&gt;0,1,0))</f>
        <v/>
      </c>
      <c r="O214" s="34" t="str">
        <f aca="false">IF(D214="","",IF(OR(COUNTIF('Target &amp; Team Lists'!$J$5:$J$204,D214)&gt;0,AND(H214&lt;&gt;"",COUNTIF('Target &amp; Team Lists'!$L$5:$L$204,H214)&gt;0),ISNUMBER(SEARCH("alpha nodus",(E214&amp;" "&amp;F214))),ISNUMBER(SEARCH("alphanodus",(E214&amp;" "&amp;F214)))),"Yes","No"))</f>
        <v/>
      </c>
      <c r="P214" s="34" t="str">
        <f aca="false">IF(D214="","",IF(O214="Yes","No",IF(OR(AND(F214&lt;&gt;"",COUNTIF('Target &amp; Team Lists'!$A$5:$A$504,F214)&gt;0),COUNTIF('Target &amp; Team Lists'!$E$5:$E$504,D214)&gt;0),"Yes",IF(AND(SUMPRODUCT(('Target &amp; Team Lists'!$N$5:$N$60&lt;&gt;"")*ISNUMBER(SEARCH('Target &amp; Team Lists'!$N$5:$N$60,(E214&amp;" "&amp;F214))))&gt;0,SUMPRODUCT(('Target &amp; Team Lists'!$O$5:$O$60&lt;&gt;"")*ISNUMBER(SEARCH('Target &amp; Team Lists'!$O$5:$O$60,(E214&amp;" "&amp;F214))))=0),"Yes","No"))))</f>
        <v/>
      </c>
      <c r="Q214" s="32"/>
    </row>
    <row r="215" customFormat="false" ht="15" hidden="false" customHeight="false" outlineLevel="0" collapsed="false">
      <c r="A215" s="30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3" t="str">
        <f aca="false">IF(D215="","",IF(SUM(I215:L215)&gt;0,1,0))</f>
        <v/>
      </c>
      <c r="O215" s="34" t="str">
        <f aca="false">IF(D215="","",IF(OR(COUNTIF('Target &amp; Team Lists'!$J$5:$J$204,D215)&gt;0,AND(H215&lt;&gt;"",COUNTIF('Target &amp; Team Lists'!$L$5:$L$204,H215)&gt;0),ISNUMBER(SEARCH("alpha nodus",(E215&amp;" "&amp;F215))),ISNUMBER(SEARCH("alphanodus",(E215&amp;" "&amp;F215)))),"Yes","No"))</f>
        <v/>
      </c>
      <c r="P215" s="34" t="str">
        <f aca="false">IF(D215="","",IF(O215="Yes","No",IF(OR(AND(F215&lt;&gt;"",COUNTIF('Target &amp; Team Lists'!$A$5:$A$504,F215)&gt;0),COUNTIF('Target &amp; Team Lists'!$E$5:$E$504,D215)&gt;0),"Yes",IF(AND(SUMPRODUCT(('Target &amp; Team Lists'!$N$5:$N$60&lt;&gt;"")*ISNUMBER(SEARCH('Target &amp; Team Lists'!$N$5:$N$60,(E215&amp;" "&amp;F215))))&gt;0,SUMPRODUCT(('Target &amp; Team Lists'!$O$5:$O$60&lt;&gt;"")*ISNUMBER(SEARCH('Target &amp; Team Lists'!$O$5:$O$60,(E215&amp;" "&amp;F215))))=0),"Yes","No"))))</f>
        <v/>
      </c>
      <c r="Q215" s="32"/>
    </row>
    <row r="216" customFormat="false" ht="15" hidden="false" customHeight="false" outlineLevel="0" collapsed="false">
      <c r="A216" s="30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3" t="str">
        <f aca="false">IF(D216="","",IF(SUM(I216:L216)&gt;0,1,0))</f>
        <v/>
      </c>
      <c r="O216" s="34" t="str">
        <f aca="false">IF(D216="","",IF(OR(COUNTIF('Target &amp; Team Lists'!$J$5:$J$204,D216)&gt;0,AND(H216&lt;&gt;"",COUNTIF('Target &amp; Team Lists'!$L$5:$L$204,H216)&gt;0),ISNUMBER(SEARCH("alpha nodus",(E216&amp;" "&amp;F216))),ISNUMBER(SEARCH("alphanodus",(E216&amp;" "&amp;F216)))),"Yes","No"))</f>
        <v/>
      </c>
      <c r="P216" s="34" t="str">
        <f aca="false">IF(D216="","",IF(O216="Yes","No",IF(OR(AND(F216&lt;&gt;"",COUNTIF('Target &amp; Team Lists'!$A$5:$A$504,F216)&gt;0),COUNTIF('Target &amp; Team Lists'!$E$5:$E$504,D216)&gt;0),"Yes",IF(AND(SUMPRODUCT(('Target &amp; Team Lists'!$N$5:$N$60&lt;&gt;"")*ISNUMBER(SEARCH('Target &amp; Team Lists'!$N$5:$N$60,(E216&amp;" "&amp;F216))))&gt;0,SUMPRODUCT(('Target &amp; Team Lists'!$O$5:$O$60&lt;&gt;"")*ISNUMBER(SEARCH('Target &amp; Team Lists'!$O$5:$O$60,(E216&amp;" "&amp;F216))))=0),"Yes","No"))))</f>
        <v/>
      </c>
      <c r="Q216" s="32"/>
    </row>
    <row r="217" customFormat="false" ht="15" hidden="false" customHeight="false" outlineLevel="0" collapsed="false">
      <c r="A217" s="30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3" t="str">
        <f aca="false">IF(D217="","",IF(SUM(I217:L217)&gt;0,1,0))</f>
        <v/>
      </c>
      <c r="O217" s="34" t="str">
        <f aca="false">IF(D217="","",IF(OR(COUNTIF('Target &amp; Team Lists'!$J$5:$J$204,D217)&gt;0,AND(H217&lt;&gt;"",COUNTIF('Target &amp; Team Lists'!$L$5:$L$204,H217)&gt;0),ISNUMBER(SEARCH("alpha nodus",(E217&amp;" "&amp;F217))),ISNUMBER(SEARCH("alphanodus",(E217&amp;" "&amp;F217)))),"Yes","No"))</f>
        <v/>
      </c>
      <c r="P217" s="34" t="str">
        <f aca="false">IF(D217="","",IF(O217="Yes","No",IF(OR(AND(F217&lt;&gt;"",COUNTIF('Target &amp; Team Lists'!$A$5:$A$504,F217)&gt;0),COUNTIF('Target &amp; Team Lists'!$E$5:$E$504,D217)&gt;0),"Yes",IF(AND(SUMPRODUCT(('Target &amp; Team Lists'!$N$5:$N$60&lt;&gt;"")*ISNUMBER(SEARCH('Target &amp; Team Lists'!$N$5:$N$60,(E217&amp;" "&amp;F217))))&gt;0,SUMPRODUCT(('Target &amp; Team Lists'!$O$5:$O$60&lt;&gt;"")*ISNUMBER(SEARCH('Target &amp; Team Lists'!$O$5:$O$60,(E217&amp;" "&amp;F217))))=0),"Yes","No"))))</f>
        <v/>
      </c>
      <c r="Q217" s="32"/>
    </row>
    <row r="218" customFormat="false" ht="15" hidden="false" customHeight="false" outlineLevel="0" collapsed="false">
      <c r="A218" s="30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3" t="str">
        <f aca="false">IF(D218="","",IF(SUM(I218:L218)&gt;0,1,0))</f>
        <v/>
      </c>
      <c r="O218" s="34" t="str">
        <f aca="false">IF(D218="","",IF(OR(COUNTIF('Target &amp; Team Lists'!$J$5:$J$204,D218)&gt;0,AND(H218&lt;&gt;"",COUNTIF('Target &amp; Team Lists'!$L$5:$L$204,H218)&gt;0),ISNUMBER(SEARCH("alpha nodus",(E218&amp;" "&amp;F218))),ISNUMBER(SEARCH("alphanodus",(E218&amp;" "&amp;F218)))),"Yes","No"))</f>
        <v/>
      </c>
      <c r="P218" s="34" t="str">
        <f aca="false">IF(D218="","",IF(O218="Yes","No",IF(OR(AND(F218&lt;&gt;"",COUNTIF('Target &amp; Team Lists'!$A$5:$A$504,F218)&gt;0),COUNTIF('Target &amp; Team Lists'!$E$5:$E$504,D218)&gt;0),"Yes",IF(AND(SUMPRODUCT(('Target &amp; Team Lists'!$N$5:$N$60&lt;&gt;"")*ISNUMBER(SEARCH('Target &amp; Team Lists'!$N$5:$N$60,(E218&amp;" "&amp;F218))))&gt;0,SUMPRODUCT(('Target &amp; Team Lists'!$O$5:$O$60&lt;&gt;"")*ISNUMBER(SEARCH('Target &amp; Team Lists'!$O$5:$O$60,(E218&amp;" "&amp;F218))))=0),"Yes","No"))))</f>
        <v/>
      </c>
      <c r="Q218" s="32"/>
    </row>
    <row r="219" customFormat="false" ht="15" hidden="false" customHeight="false" outlineLevel="0" collapsed="false">
      <c r="A219" s="30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3" t="str">
        <f aca="false">IF(D219="","",IF(SUM(I219:L219)&gt;0,1,0))</f>
        <v/>
      </c>
      <c r="O219" s="34" t="str">
        <f aca="false">IF(D219="","",IF(OR(COUNTIF('Target &amp; Team Lists'!$J$5:$J$204,D219)&gt;0,AND(H219&lt;&gt;"",COUNTIF('Target &amp; Team Lists'!$L$5:$L$204,H219)&gt;0),ISNUMBER(SEARCH("alpha nodus",(E219&amp;" "&amp;F219))),ISNUMBER(SEARCH("alphanodus",(E219&amp;" "&amp;F219)))),"Yes","No"))</f>
        <v/>
      </c>
      <c r="P219" s="34" t="str">
        <f aca="false">IF(D219="","",IF(O219="Yes","No",IF(OR(AND(F219&lt;&gt;"",COUNTIF('Target &amp; Team Lists'!$A$5:$A$504,F219)&gt;0),COUNTIF('Target &amp; Team Lists'!$E$5:$E$504,D219)&gt;0),"Yes",IF(AND(SUMPRODUCT(('Target &amp; Team Lists'!$N$5:$N$60&lt;&gt;"")*ISNUMBER(SEARCH('Target &amp; Team Lists'!$N$5:$N$60,(E219&amp;" "&amp;F219))))&gt;0,SUMPRODUCT(('Target &amp; Team Lists'!$O$5:$O$60&lt;&gt;"")*ISNUMBER(SEARCH('Target &amp; Team Lists'!$O$5:$O$60,(E219&amp;" "&amp;F219))))=0),"Yes","No"))))</f>
        <v/>
      </c>
      <c r="Q219" s="32"/>
    </row>
    <row r="220" customFormat="false" ht="15" hidden="false" customHeight="false" outlineLevel="0" collapsed="false">
      <c r="A220" s="30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3" t="str">
        <f aca="false">IF(D220="","",IF(SUM(I220:L220)&gt;0,1,0))</f>
        <v/>
      </c>
      <c r="O220" s="34" t="str">
        <f aca="false">IF(D220="","",IF(OR(COUNTIF('Target &amp; Team Lists'!$J$5:$J$204,D220)&gt;0,AND(H220&lt;&gt;"",COUNTIF('Target &amp; Team Lists'!$L$5:$L$204,H220)&gt;0),ISNUMBER(SEARCH("alpha nodus",(E220&amp;" "&amp;F220))),ISNUMBER(SEARCH("alphanodus",(E220&amp;" "&amp;F220)))),"Yes","No"))</f>
        <v/>
      </c>
      <c r="P220" s="34" t="str">
        <f aca="false">IF(D220="","",IF(O220="Yes","No",IF(OR(AND(F220&lt;&gt;"",COUNTIF('Target &amp; Team Lists'!$A$5:$A$504,F220)&gt;0),COUNTIF('Target &amp; Team Lists'!$E$5:$E$504,D220)&gt;0),"Yes",IF(AND(SUMPRODUCT(('Target &amp; Team Lists'!$N$5:$N$60&lt;&gt;"")*ISNUMBER(SEARCH('Target &amp; Team Lists'!$N$5:$N$60,(E220&amp;" "&amp;F220))))&gt;0,SUMPRODUCT(('Target &amp; Team Lists'!$O$5:$O$60&lt;&gt;"")*ISNUMBER(SEARCH('Target &amp; Team Lists'!$O$5:$O$60,(E220&amp;" "&amp;F220))))=0),"Yes","No"))))</f>
        <v/>
      </c>
      <c r="Q220" s="32"/>
    </row>
    <row r="221" customFormat="false" ht="15" hidden="false" customHeight="false" outlineLevel="0" collapsed="false">
      <c r="A221" s="30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3" t="str">
        <f aca="false">IF(D221="","",IF(SUM(I221:L221)&gt;0,1,0))</f>
        <v/>
      </c>
      <c r="O221" s="34" t="str">
        <f aca="false">IF(D221="","",IF(OR(COUNTIF('Target &amp; Team Lists'!$J$5:$J$204,D221)&gt;0,AND(H221&lt;&gt;"",COUNTIF('Target &amp; Team Lists'!$L$5:$L$204,H221)&gt;0),ISNUMBER(SEARCH("alpha nodus",(E221&amp;" "&amp;F221))),ISNUMBER(SEARCH("alphanodus",(E221&amp;" "&amp;F221)))),"Yes","No"))</f>
        <v/>
      </c>
      <c r="P221" s="34" t="str">
        <f aca="false">IF(D221="","",IF(O221="Yes","No",IF(OR(AND(F221&lt;&gt;"",COUNTIF('Target &amp; Team Lists'!$A$5:$A$504,F221)&gt;0),COUNTIF('Target &amp; Team Lists'!$E$5:$E$504,D221)&gt;0),"Yes",IF(AND(SUMPRODUCT(('Target &amp; Team Lists'!$N$5:$N$60&lt;&gt;"")*ISNUMBER(SEARCH('Target &amp; Team Lists'!$N$5:$N$60,(E221&amp;" "&amp;F221))))&gt;0,SUMPRODUCT(('Target &amp; Team Lists'!$O$5:$O$60&lt;&gt;"")*ISNUMBER(SEARCH('Target &amp; Team Lists'!$O$5:$O$60,(E221&amp;" "&amp;F221))))=0),"Yes","No"))))</f>
        <v/>
      </c>
      <c r="Q221" s="32"/>
    </row>
    <row r="222" customFormat="false" ht="15" hidden="false" customHeight="false" outlineLevel="0" collapsed="false">
      <c r="A222" s="30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3" t="str">
        <f aca="false">IF(D222="","",IF(SUM(I222:L222)&gt;0,1,0))</f>
        <v/>
      </c>
      <c r="O222" s="34" t="str">
        <f aca="false">IF(D222="","",IF(OR(COUNTIF('Target &amp; Team Lists'!$J$5:$J$204,D222)&gt;0,AND(H222&lt;&gt;"",COUNTIF('Target &amp; Team Lists'!$L$5:$L$204,H222)&gt;0),ISNUMBER(SEARCH("alpha nodus",(E222&amp;" "&amp;F222))),ISNUMBER(SEARCH("alphanodus",(E222&amp;" "&amp;F222)))),"Yes","No"))</f>
        <v/>
      </c>
      <c r="P222" s="34" t="str">
        <f aca="false">IF(D222="","",IF(O222="Yes","No",IF(OR(AND(F222&lt;&gt;"",COUNTIF('Target &amp; Team Lists'!$A$5:$A$504,F222)&gt;0),COUNTIF('Target &amp; Team Lists'!$E$5:$E$504,D222)&gt;0),"Yes",IF(AND(SUMPRODUCT(('Target &amp; Team Lists'!$N$5:$N$60&lt;&gt;"")*ISNUMBER(SEARCH('Target &amp; Team Lists'!$N$5:$N$60,(E222&amp;" "&amp;F222))))&gt;0,SUMPRODUCT(('Target &amp; Team Lists'!$O$5:$O$60&lt;&gt;"")*ISNUMBER(SEARCH('Target &amp; Team Lists'!$O$5:$O$60,(E222&amp;" "&amp;F222))))=0),"Yes","No"))))</f>
        <v/>
      </c>
      <c r="Q222" s="32"/>
    </row>
    <row r="223" customFormat="false" ht="15" hidden="false" customHeight="false" outlineLevel="0" collapsed="false">
      <c r="A223" s="30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3" t="str">
        <f aca="false">IF(D223="","",IF(SUM(I223:L223)&gt;0,1,0))</f>
        <v/>
      </c>
      <c r="O223" s="34" t="str">
        <f aca="false">IF(D223="","",IF(OR(COUNTIF('Target &amp; Team Lists'!$J$5:$J$204,D223)&gt;0,AND(H223&lt;&gt;"",COUNTIF('Target &amp; Team Lists'!$L$5:$L$204,H223)&gt;0),ISNUMBER(SEARCH("alpha nodus",(E223&amp;" "&amp;F223))),ISNUMBER(SEARCH("alphanodus",(E223&amp;" "&amp;F223)))),"Yes","No"))</f>
        <v/>
      </c>
      <c r="P223" s="34" t="str">
        <f aca="false">IF(D223="","",IF(O223="Yes","No",IF(OR(AND(F223&lt;&gt;"",COUNTIF('Target &amp; Team Lists'!$A$5:$A$504,F223)&gt;0),COUNTIF('Target &amp; Team Lists'!$E$5:$E$504,D223)&gt;0),"Yes",IF(AND(SUMPRODUCT(('Target &amp; Team Lists'!$N$5:$N$60&lt;&gt;"")*ISNUMBER(SEARCH('Target &amp; Team Lists'!$N$5:$N$60,(E223&amp;" "&amp;F223))))&gt;0,SUMPRODUCT(('Target &amp; Team Lists'!$O$5:$O$60&lt;&gt;"")*ISNUMBER(SEARCH('Target &amp; Team Lists'!$O$5:$O$60,(E223&amp;" "&amp;F223))))=0),"Yes","No"))))</f>
        <v/>
      </c>
      <c r="Q223" s="32"/>
    </row>
    <row r="224" customFormat="false" ht="15" hidden="false" customHeight="false" outlineLevel="0" collapsed="false">
      <c r="A224" s="30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3" t="str">
        <f aca="false">IF(D224="","",IF(SUM(I224:L224)&gt;0,1,0))</f>
        <v/>
      </c>
      <c r="O224" s="34" t="str">
        <f aca="false">IF(D224="","",IF(OR(COUNTIF('Target &amp; Team Lists'!$J$5:$J$204,D224)&gt;0,AND(H224&lt;&gt;"",COUNTIF('Target &amp; Team Lists'!$L$5:$L$204,H224)&gt;0),ISNUMBER(SEARCH("alpha nodus",(E224&amp;" "&amp;F224))),ISNUMBER(SEARCH("alphanodus",(E224&amp;" "&amp;F224)))),"Yes","No"))</f>
        <v/>
      </c>
      <c r="P224" s="34" t="str">
        <f aca="false">IF(D224="","",IF(O224="Yes","No",IF(OR(AND(F224&lt;&gt;"",COUNTIF('Target &amp; Team Lists'!$A$5:$A$504,F224)&gt;0),COUNTIF('Target &amp; Team Lists'!$E$5:$E$504,D224)&gt;0),"Yes",IF(AND(SUMPRODUCT(('Target &amp; Team Lists'!$N$5:$N$60&lt;&gt;"")*ISNUMBER(SEARCH('Target &amp; Team Lists'!$N$5:$N$60,(E224&amp;" "&amp;F224))))&gt;0,SUMPRODUCT(('Target &amp; Team Lists'!$O$5:$O$60&lt;&gt;"")*ISNUMBER(SEARCH('Target &amp; Team Lists'!$O$5:$O$60,(E224&amp;" "&amp;F224))))=0),"Yes","No"))))</f>
        <v/>
      </c>
      <c r="Q224" s="32"/>
    </row>
    <row r="225" customFormat="false" ht="15" hidden="false" customHeight="false" outlineLevel="0" collapsed="false">
      <c r="A225" s="30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3" t="str">
        <f aca="false">IF(D225="","",IF(SUM(I225:L225)&gt;0,1,0))</f>
        <v/>
      </c>
      <c r="O225" s="34" t="str">
        <f aca="false">IF(D225="","",IF(OR(COUNTIF('Target &amp; Team Lists'!$J$5:$J$204,D225)&gt;0,AND(H225&lt;&gt;"",COUNTIF('Target &amp; Team Lists'!$L$5:$L$204,H225)&gt;0),ISNUMBER(SEARCH("alpha nodus",(E225&amp;" "&amp;F225))),ISNUMBER(SEARCH("alphanodus",(E225&amp;" "&amp;F225)))),"Yes","No"))</f>
        <v/>
      </c>
      <c r="P225" s="34" t="str">
        <f aca="false">IF(D225="","",IF(O225="Yes","No",IF(OR(AND(F225&lt;&gt;"",COUNTIF('Target &amp; Team Lists'!$A$5:$A$504,F225)&gt;0),COUNTIF('Target &amp; Team Lists'!$E$5:$E$504,D225)&gt;0),"Yes",IF(AND(SUMPRODUCT(('Target &amp; Team Lists'!$N$5:$N$60&lt;&gt;"")*ISNUMBER(SEARCH('Target &amp; Team Lists'!$N$5:$N$60,(E225&amp;" "&amp;F225))))&gt;0,SUMPRODUCT(('Target &amp; Team Lists'!$O$5:$O$60&lt;&gt;"")*ISNUMBER(SEARCH('Target &amp; Team Lists'!$O$5:$O$60,(E225&amp;" "&amp;F225))))=0),"Yes","No"))))</f>
        <v/>
      </c>
      <c r="Q225" s="32"/>
    </row>
    <row r="226" customFormat="false" ht="15" hidden="false" customHeight="false" outlineLevel="0" collapsed="false">
      <c r="A226" s="30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3" t="str">
        <f aca="false">IF(D226="","",IF(SUM(I226:L226)&gt;0,1,0))</f>
        <v/>
      </c>
      <c r="O226" s="34" t="str">
        <f aca="false">IF(D226="","",IF(OR(COUNTIF('Target &amp; Team Lists'!$J$5:$J$204,D226)&gt;0,AND(H226&lt;&gt;"",COUNTIF('Target &amp; Team Lists'!$L$5:$L$204,H226)&gt;0),ISNUMBER(SEARCH("alpha nodus",(E226&amp;" "&amp;F226))),ISNUMBER(SEARCH("alphanodus",(E226&amp;" "&amp;F226)))),"Yes","No"))</f>
        <v/>
      </c>
      <c r="P226" s="34" t="str">
        <f aca="false">IF(D226="","",IF(O226="Yes","No",IF(OR(AND(F226&lt;&gt;"",COUNTIF('Target &amp; Team Lists'!$A$5:$A$504,F226)&gt;0),COUNTIF('Target &amp; Team Lists'!$E$5:$E$504,D226)&gt;0),"Yes",IF(AND(SUMPRODUCT(('Target &amp; Team Lists'!$N$5:$N$60&lt;&gt;"")*ISNUMBER(SEARCH('Target &amp; Team Lists'!$N$5:$N$60,(E226&amp;" "&amp;F226))))&gt;0,SUMPRODUCT(('Target &amp; Team Lists'!$O$5:$O$60&lt;&gt;"")*ISNUMBER(SEARCH('Target &amp; Team Lists'!$O$5:$O$60,(E226&amp;" "&amp;F226))))=0),"Yes","No"))))</f>
        <v/>
      </c>
      <c r="Q226" s="32"/>
    </row>
    <row r="227" customFormat="false" ht="15" hidden="false" customHeight="false" outlineLevel="0" collapsed="false">
      <c r="A227" s="30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3" t="str">
        <f aca="false">IF(D227="","",IF(SUM(I227:L227)&gt;0,1,0))</f>
        <v/>
      </c>
      <c r="O227" s="34" t="str">
        <f aca="false">IF(D227="","",IF(OR(COUNTIF('Target &amp; Team Lists'!$J$5:$J$204,D227)&gt;0,AND(H227&lt;&gt;"",COUNTIF('Target &amp; Team Lists'!$L$5:$L$204,H227)&gt;0),ISNUMBER(SEARCH("alpha nodus",(E227&amp;" "&amp;F227))),ISNUMBER(SEARCH("alphanodus",(E227&amp;" "&amp;F227)))),"Yes","No"))</f>
        <v/>
      </c>
      <c r="P227" s="34" t="str">
        <f aca="false">IF(D227="","",IF(O227="Yes","No",IF(OR(AND(F227&lt;&gt;"",COUNTIF('Target &amp; Team Lists'!$A$5:$A$504,F227)&gt;0),COUNTIF('Target &amp; Team Lists'!$E$5:$E$504,D227)&gt;0),"Yes",IF(AND(SUMPRODUCT(('Target &amp; Team Lists'!$N$5:$N$60&lt;&gt;"")*ISNUMBER(SEARCH('Target &amp; Team Lists'!$N$5:$N$60,(E227&amp;" "&amp;F227))))&gt;0,SUMPRODUCT(('Target &amp; Team Lists'!$O$5:$O$60&lt;&gt;"")*ISNUMBER(SEARCH('Target &amp; Team Lists'!$O$5:$O$60,(E227&amp;" "&amp;F227))))=0),"Yes","No"))))</f>
        <v/>
      </c>
      <c r="Q227" s="32"/>
    </row>
    <row r="228" customFormat="false" ht="15" hidden="false" customHeight="false" outlineLevel="0" collapsed="false">
      <c r="A228" s="30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3" t="str">
        <f aca="false">IF(D228="","",IF(SUM(I228:L228)&gt;0,1,0))</f>
        <v/>
      </c>
      <c r="O228" s="34" t="str">
        <f aca="false">IF(D228="","",IF(OR(COUNTIF('Target &amp; Team Lists'!$J$5:$J$204,D228)&gt;0,AND(H228&lt;&gt;"",COUNTIF('Target &amp; Team Lists'!$L$5:$L$204,H228)&gt;0),ISNUMBER(SEARCH("alpha nodus",(E228&amp;" "&amp;F228))),ISNUMBER(SEARCH("alphanodus",(E228&amp;" "&amp;F228)))),"Yes","No"))</f>
        <v/>
      </c>
      <c r="P228" s="34" t="str">
        <f aca="false">IF(D228="","",IF(O228="Yes","No",IF(OR(AND(F228&lt;&gt;"",COUNTIF('Target &amp; Team Lists'!$A$5:$A$504,F228)&gt;0),COUNTIF('Target &amp; Team Lists'!$E$5:$E$504,D228)&gt;0),"Yes",IF(AND(SUMPRODUCT(('Target &amp; Team Lists'!$N$5:$N$60&lt;&gt;"")*ISNUMBER(SEARCH('Target &amp; Team Lists'!$N$5:$N$60,(E228&amp;" "&amp;F228))))&gt;0,SUMPRODUCT(('Target &amp; Team Lists'!$O$5:$O$60&lt;&gt;"")*ISNUMBER(SEARCH('Target &amp; Team Lists'!$O$5:$O$60,(E228&amp;" "&amp;F228))))=0),"Yes","No"))))</f>
        <v/>
      </c>
      <c r="Q228" s="32"/>
    </row>
    <row r="229" customFormat="false" ht="15" hidden="false" customHeight="false" outlineLevel="0" collapsed="false">
      <c r="A229" s="30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3" t="str">
        <f aca="false">IF(D229="","",IF(SUM(I229:L229)&gt;0,1,0))</f>
        <v/>
      </c>
      <c r="O229" s="34" t="str">
        <f aca="false">IF(D229="","",IF(OR(COUNTIF('Target &amp; Team Lists'!$J$5:$J$204,D229)&gt;0,AND(H229&lt;&gt;"",COUNTIF('Target &amp; Team Lists'!$L$5:$L$204,H229)&gt;0),ISNUMBER(SEARCH("alpha nodus",(E229&amp;" "&amp;F229))),ISNUMBER(SEARCH("alphanodus",(E229&amp;" "&amp;F229)))),"Yes","No"))</f>
        <v/>
      </c>
      <c r="P229" s="34" t="str">
        <f aca="false">IF(D229="","",IF(O229="Yes","No",IF(OR(AND(F229&lt;&gt;"",COUNTIF('Target &amp; Team Lists'!$A$5:$A$504,F229)&gt;0),COUNTIF('Target &amp; Team Lists'!$E$5:$E$504,D229)&gt;0),"Yes",IF(AND(SUMPRODUCT(('Target &amp; Team Lists'!$N$5:$N$60&lt;&gt;"")*ISNUMBER(SEARCH('Target &amp; Team Lists'!$N$5:$N$60,(E229&amp;" "&amp;F229))))&gt;0,SUMPRODUCT(('Target &amp; Team Lists'!$O$5:$O$60&lt;&gt;"")*ISNUMBER(SEARCH('Target &amp; Team Lists'!$O$5:$O$60,(E229&amp;" "&amp;F229))))=0),"Yes","No"))))</f>
        <v/>
      </c>
      <c r="Q229" s="32"/>
    </row>
    <row r="230" customFormat="false" ht="15" hidden="false" customHeight="false" outlineLevel="0" collapsed="false">
      <c r="A230" s="30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3" t="str">
        <f aca="false">IF(D230="","",IF(SUM(I230:L230)&gt;0,1,0))</f>
        <v/>
      </c>
      <c r="O230" s="34" t="str">
        <f aca="false">IF(D230="","",IF(OR(COUNTIF('Target &amp; Team Lists'!$J$5:$J$204,D230)&gt;0,AND(H230&lt;&gt;"",COUNTIF('Target &amp; Team Lists'!$L$5:$L$204,H230)&gt;0),ISNUMBER(SEARCH("alpha nodus",(E230&amp;" "&amp;F230))),ISNUMBER(SEARCH("alphanodus",(E230&amp;" "&amp;F230)))),"Yes","No"))</f>
        <v/>
      </c>
      <c r="P230" s="34" t="str">
        <f aca="false">IF(D230="","",IF(O230="Yes","No",IF(OR(AND(F230&lt;&gt;"",COUNTIF('Target &amp; Team Lists'!$A$5:$A$504,F230)&gt;0),COUNTIF('Target &amp; Team Lists'!$E$5:$E$504,D230)&gt;0),"Yes",IF(AND(SUMPRODUCT(('Target &amp; Team Lists'!$N$5:$N$60&lt;&gt;"")*ISNUMBER(SEARCH('Target &amp; Team Lists'!$N$5:$N$60,(E230&amp;" "&amp;F230))))&gt;0,SUMPRODUCT(('Target &amp; Team Lists'!$O$5:$O$60&lt;&gt;"")*ISNUMBER(SEARCH('Target &amp; Team Lists'!$O$5:$O$60,(E230&amp;" "&amp;F230))))=0),"Yes","No"))))</f>
        <v/>
      </c>
      <c r="Q230" s="32"/>
    </row>
    <row r="231" customFormat="false" ht="15" hidden="false" customHeight="false" outlineLevel="0" collapsed="false">
      <c r="A231" s="30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3" t="str">
        <f aca="false">IF(D231="","",IF(SUM(I231:L231)&gt;0,1,0))</f>
        <v/>
      </c>
      <c r="O231" s="34" t="str">
        <f aca="false">IF(D231="","",IF(OR(COUNTIF('Target &amp; Team Lists'!$J$5:$J$204,D231)&gt;0,AND(H231&lt;&gt;"",COUNTIF('Target &amp; Team Lists'!$L$5:$L$204,H231)&gt;0),ISNUMBER(SEARCH("alpha nodus",(E231&amp;" "&amp;F231))),ISNUMBER(SEARCH("alphanodus",(E231&amp;" "&amp;F231)))),"Yes","No"))</f>
        <v/>
      </c>
      <c r="P231" s="34" t="str">
        <f aca="false">IF(D231="","",IF(O231="Yes","No",IF(OR(AND(F231&lt;&gt;"",COUNTIF('Target &amp; Team Lists'!$A$5:$A$504,F231)&gt;0),COUNTIF('Target &amp; Team Lists'!$E$5:$E$504,D231)&gt;0),"Yes",IF(AND(SUMPRODUCT(('Target &amp; Team Lists'!$N$5:$N$60&lt;&gt;"")*ISNUMBER(SEARCH('Target &amp; Team Lists'!$N$5:$N$60,(E231&amp;" "&amp;F231))))&gt;0,SUMPRODUCT(('Target &amp; Team Lists'!$O$5:$O$60&lt;&gt;"")*ISNUMBER(SEARCH('Target &amp; Team Lists'!$O$5:$O$60,(E231&amp;" "&amp;F231))))=0),"Yes","No"))))</f>
        <v/>
      </c>
      <c r="Q231" s="32"/>
    </row>
    <row r="232" customFormat="false" ht="15" hidden="false" customHeight="false" outlineLevel="0" collapsed="false">
      <c r="A232" s="30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3" t="str">
        <f aca="false">IF(D232="","",IF(SUM(I232:L232)&gt;0,1,0))</f>
        <v/>
      </c>
      <c r="O232" s="34" t="str">
        <f aca="false">IF(D232="","",IF(OR(COUNTIF('Target &amp; Team Lists'!$J$5:$J$204,D232)&gt;0,AND(H232&lt;&gt;"",COUNTIF('Target &amp; Team Lists'!$L$5:$L$204,H232)&gt;0),ISNUMBER(SEARCH("alpha nodus",(E232&amp;" "&amp;F232))),ISNUMBER(SEARCH("alphanodus",(E232&amp;" "&amp;F232)))),"Yes","No"))</f>
        <v/>
      </c>
      <c r="P232" s="34" t="str">
        <f aca="false">IF(D232="","",IF(O232="Yes","No",IF(OR(AND(F232&lt;&gt;"",COUNTIF('Target &amp; Team Lists'!$A$5:$A$504,F232)&gt;0),COUNTIF('Target &amp; Team Lists'!$E$5:$E$504,D232)&gt;0),"Yes",IF(AND(SUMPRODUCT(('Target &amp; Team Lists'!$N$5:$N$60&lt;&gt;"")*ISNUMBER(SEARCH('Target &amp; Team Lists'!$N$5:$N$60,(E232&amp;" "&amp;F232))))&gt;0,SUMPRODUCT(('Target &amp; Team Lists'!$O$5:$O$60&lt;&gt;"")*ISNUMBER(SEARCH('Target &amp; Team Lists'!$O$5:$O$60,(E232&amp;" "&amp;F232))))=0),"Yes","No"))))</f>
        <v/>
      </c>
      <c r="Q232" s="32"/>
    </row>
    <row r="233" customFormat="false" ht="15" hidden="false" customHeight="false" outlineLevel="0" collapsed="false">
      <c r="A233" s="30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3" t="str">
        <f aca="false">IF(D233="","",IF(SUM(I233:L233)&gt;0,1,0))</f>
        <v/>
      </c>
      <c r="O233" s="34" t="str">
        <f aca="false">IF(D233="","",IF(OR(COUNTIF('Target &amp; Team Lists'!$J$5:$J$204,D233)&gt;0,AND(H233&lt;&gt;"",COUNTIF('Target &amp; Team Lists'!$L$5:$L$204,H233)&gt;0),ISNUMBER(SEARCH("alpha nodus",(E233&amp;" "&amp;F233))),ISNUMBER(SEARCH("alphanodus",(E233&amp;" "&amp;F233)))),"Yes","No"))</f>
        <v/>
      </c>
      <c r="P233" s="34" t="str">
        <f aca="false">IF(D233="","",IF(O233="Yes","No",IF(OR(AND(F233&lt;&gt;"",COUNTIF('Target &amp; Team Lists'!$A$5:$A$504,F233)&gt;0),COUNTIF('Target &amp; Team Lists'!$E$5:$E$504,D233)&gt;0),"Yes",IF(AND(SUMPRODUCT(('Target &amp; Team Lists'!$N$5:$N$60&lt;&gt;"")*ISNUMBER(SEARCH('Target &amp; Team Lists'!$N$5:$N$60,(E233&amp;" "&amp;F233))))&gt;0,SUMPRODUCT(('Target &amp; Team Lists'!$O$5:$O$60&lt;&gt;"")*ISNUMBER(SEARCH('Target &amp; Team Lists'!$O$5:$O$60,(E233&amp;" "&amp;F233))))=0),"Yes","No"))))</f>
        <v/>
      </c>
      <c r="Q233" s="32"/>
    </row>
    <row r="234" customFormat="false" ht="15" hidden="false" customHeight="false" outlineLevel="0" collapsed="false">
      <c r="A234" s="30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3" t="str">
        <f aca="false">IF(D234="","",IF(SUM(I234:L234)&gt;0,1,0))</f>
        <v/>
      </c>
      <c r="O234" s="34" t="str">
        <f aca="false">IF(D234="","",IF(OR(COUNTIF('Target &amp; Team Lists'!$J$5:$J$204,D234)&gt;0,AND(H234&lt;&gt;"",COUNTIF('Target &amp; Team Lists'!$L$5:$L$204,H234)&gt;0),ISNUMBER(SEARCH("alpha nodus",(E234&amp;" "&amp;F234))),ISNUMBER(SEARCH("alphanodus",(E234&amp;" "&amp;F234)))),"Yes","No"))</f>
        <v/>
      </c>
      <c r="P234" s="34" t="str">
        <f aca="false">IF(D234="","",IF(O234="Yes","No",IF(OR(AND(F234&lt;&gt;"",COUNTIF('Target &amp; Team Lists'!$A$5:$A$504,F234)&gt;0),COUNTIF('Target &amp; Team Lists'!$E$5:$E$504,D234)&gt;0),"Yes",IF(AND(SUMPRODUCT(('Target &amp; Team Lists'!$N$5:$N$60&lt;&gt;"")*ISNUMBER(SEARCH('Target &amp; Team Lists'!$N$5:$N$60,(E234&amp;" "&amp;F234))))&gt;0,SUMPRODUCT(('Target &amp; Team Lists'!$O$5:$O$60&lt;&gt;"")*ISNUMBER(SEARCH('Target &amp; Team Lists'!$O$5:$O$60,(E234&amp;" "&amp;F234))))=0),"Yes","No"))))</f>
        <v/>
      </c>
      <c r="Q234" s="32"/>
    </row>
    <row r="235" customFormat="false" ht="15" hidden="false" customHeight="false" outlineLevel="0" collapsed="false">
      <c r="A235" s="30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3" t="str">
        <f aca="false">IF(D235="","",IF(SUM(I235:L235)&gt;0,1,0))</f>
        <v/>
      </c>
      <c r="O235" s="34" t="str">
        <f aca="false">IF(D235="","",IF(OR(COUNTIF('Target &amp; Team Lists'!$J$5:$J$204,D235)&gt;0,AND(H235&lt;&gt;"",COUNTIF('Target &amp; Team Lists'!$L$5:$L$204,H235)&gt;0),ISNUMBER(SEARCH("alpha nodus",(E235&amp;" "&amp;F235))),ISNUMBER(SEARCH("alphanodus",(E235&amp;" "&amp;F235)))),"Yes","No"))</f>
        <v/>
      </c>
      <c r="P235" s="34" t="str">
        <f aca="false">IF(D235="","",IF(O235="Yes","No",IF(OR(AND(F235&lt;&gt;"",COUNTIF('Target &amp; Team Lists'!$A$5:$A$504,F235)&gt;0),COUNTIF('Target &amp; Team Lists'!$E$5:$E$504,D235)&gt;0),"Yes",IF(AND(SUMPRODUCT(('Target &amp; Team Lists'!$N$5:$N$60&lt;&gt;"")*ISNUMBER(SEARCH('Target &amp; Team Lists'!$N$5:$N$60,(E235&amp;" "&amp;F235))))&gt;0,SUMPRODUCT(('Target &amp; Team Lists'!$O$5:$O$60&lt;&gt;"")*ISNUMBER(SEARCH('Target &amp; Team Lists'!$O$5:$O$60,(E235&amp;" "&amp;F235))))=0),"Yes","No"))))</f>
        <v/>
      </c>
      <c r="Q235" s="32"/>
    </row>
    <row r="236" customFormat="false" ht="15" hidden="false" customHeight="false" outlineLevel="0" collapsed="false">
      <c r="A236" s="30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3" t="str">
        <f aca="false">IF(D236="","",IF(SUM(I236:L236)&gt;0,1,0))</f>
        <v/>
      </c>
      <c r="O236" s="34" t="str">
        <f aca="false">IF(D236="","",IF(OR(COUNTIF('Target &amp; Team Lists'!$J$5:$J$204,D236)&gt;0,AND(H236&lt;&gt;"",COUNTIF('Target &amp; Team Lists'!$L$5:$L$204,H236)&gt;0),ISNUMBER(SEARCH("alpha nodus",(E236&amp;" "&amp;F236))),ISNUMBER(SEARCH("alphanodus",(E236&amp;" "&amp;F236)))),"Yes","No"))</f>
        <v/>
      </c>
      <c r="P236" s="34" t="str">
        <f aca="false">IF(D236="","",IF(O236="Yes","No",IF(OR(AND(F236&lt;&gt;"",COUNTIF('Target &amp; Team Lists'!$A$5:$A$504,F236)&gt;0),COUNTIF('Target &amp; Team Lists'!$E$5:$E$504,D236)&gt;0),"Yes",IF(AND(SUMPRODUCT(('Target &amp; Team Lists'!$N$5:$N$60&lt;&gt;"")*ISNUMBER(SEARCH('Target &amp; Team Lists'!$N$5:$N$60,(E236&amp;" "&amp;F236))))&gt;0,SUMPRODUCT(('Target &amp; Team Lists'!$O$5:$O$60&lt;&gt;"")*ISNUMBER(SEARCH('Target &amp; Team Lists'!$O$5:$O$60,(E236&amp;" "&amp;F236))))=0),"Yes","No"))))</f>
        <v/>
      </c>
      <c r="Q236" s="32"/>
    </row>
    <row r="237" customFormat="false" ht="15" hidden="false" customHeight="false" outlineLevel="0" collapsed="false">
      <c r="A237" s="30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3" t="str">
        <f aca="false">IF(D237="","",IF(SUM(I237:L237)&gt;0,1,0))</f>
        <v/>
      </c>
      <c r="O237" s="34" t="str">
        <f aca="false">IF(D237="","",IF(OR(COUNTIF('Target &amp; Team Lists'!$J$5:$J$204,D237)&gt;0,AND(H237&lt;&gt;"",COUNTIF('Target &amp; Team Lists'!$L$5:$L$204,H237)&gt;0),ISNUMBER(SEARCH("alpha nodus",(E237&amp;" "&amp;F237))),ISNUMBER(SEARCH("alphanodus",(E237&amp;" "&amp;F237)))),"Yes","No"))</f>
        <v/>
      </c>
      <c r="P237" s="34" t="str">
        <f aca="false">IF(D237="","",IF(O237="Yes","No",IF(OR(AND(F237&lt;&gt;"",COUNTIF('Target &amp; Team Lists'!$A$5:$A$504,F237)&gt;0),COUNTIF('Target &amp; Team Lists'!$E$5:$E$504,D237)&gt;0),"Yes",IF(AND(SUMPRODUCT(('Target &amp; Team Lists'!$N$5:$N$60&lt;&gt;"")*ISNUMBER(SEARCH('Target &amp; Team Lists'!$N$5:$N$60,(E237&amp;" "&amp;F237))))&gt;0,SUMPRODUCT(('Target &amp; Team Lists'!$O$5:$O$60&lt;&gt;"")*ISNUMBER(SEARCH('Target &amp; Team Lists'!$O$5:$O$60,(E237&amp;" "&amp;F237))))=0),"Yes","No"))))</f>
        <v/>
      </c>
      <c r="Q237" s="32"/>
    </row>
    <row r="238" customFormat="false" ht="15" hidden="false" customHeight="false" outlineLevel="0" collapsed="false">
      <c r="A238" s="30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3" t="str">
        <f aca="false">IF(D238="","",IF(SUM(I238:L238)&gt;0,1,0))</f>
        <v/>
      </c>
      <c r="O238" s="34" t="str">
        <f aca="false">IF(D238="","",IF(OR(COUNTIF('Target &amp; Team Lists'!$J$5:$J$204,D238)&gt;0,AND(H238&lt;&gt;"",COUNTIF('Target &amp; Team Lists'!$L$5:$L$204,H238)&gt;0),ISNUMBER(SEARCH("alpha nodus",(E238&amp;" "&amp;F238))),ISNUMBER(SEARCH("alphanodus",(E238&amp;" "&amp;F238)))),"Yes","No"))</f>
        <v/>
      </c>
      <c r="P238" s="34" t="str">
        <f aca="false">IF(D238="","",IF(O238="Yes","No",IF(OR(AND(F238&lt;&gt;"",COUNTIF('Target &amp; Team Lists'!$A$5:$A$504,F238)&gt;0),COUNTIF('Target &amp; Team Lists'!$E$5:$E$504,D238)&gt;0),"Yes",IF(AND(SUMPRODUCT(('Target &amp; Team Lists'!$N$5:$N$60&lt;&gt;"")*ISNUMBER(SEARCH('Target &amp; Team Lists'!$N$5:$N$60,(E238&amp;" "&amp;F238))))&gt;0,SUMPRODUCT(('Target &amp; Team Lists'!$O$5:$O$60&lt;&gt;"")*ISNUMBER(SEARCH('Target &amp; Team Lists'!$O$5:$O$60,(E238&amp;" "&amp;F238))))=0),"Yes","No"))))</f>
        <v/>
      </c>
      <c r="Q238" s="32"/>
    </row>
    <row r="239" customFormat="false" ht="15" hidden="false" customHeight="false" outlineLevel="0" collapsed="false">
      <c r="A239" s="30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3" t="str">
        <f aca="false">IF(D239="","",IF(SUM(I239:L239)&gt;0,1,0))</f>
        <v/>
      </c>
      <c r="O239" s="34" t="str">
        <f aca="false">IF(D239="","",IF(OR(COUNTIF('Target &amp; Team Lists'!$J$5:$J$204,D239)&gt;0,AND(H239&lt;&gt;"",COUNTIF('Target &amp; Team Lists'!$L$5:$L$204,H239)&gt;0),ISNUMBER(SEARCH("alpha nodus",(E239&amp;" "&amp;F239))),ISNUMBER(SEARCH("alphanodus",(E239&amp;" "&amp;F239)))),"Yes","No"))</f>
        <v/>
      </c>
      <c r="P239" s="34" t="str">
        <f aca="false">IF(D239="","",IF(O239="Yes","No",IF(OR(AND(F239&lt;&gt;"",COUNTIF('Target &amp; Team Lists'!$A$5:$A$504,F239)&gt;0),COUNTIF('Target &amp; Team Lists'!$E$5:$E$504,D239)&gt;0),"Yes",IF(AND(SUMPRODUCT(('Target &amp; Team Lists'!$N$5:$N$60&lt;&gt;"")*ISNUMBER(SEARCH('Target &amp; Team Lists'!$N$5:$N$60,(E239&amp;" "&amp;F239))))&gt;0,SUMPRODUCT(('Target &amp; Team Lists'!$O$5:$O$60&lt;&gt;"")*ISNUMBER(SEARCH('Target &amp; Team Lists'!$O$5:$O$60,(E239&amp;" "&amp;F239))))=0),"Yes","No"))))</f>
        <v/>
      </c>
      <c r="Q239" s="32"/>
    </row>
    <row r="240" customFormat="false" ht="15" hidden="false" customHeight="false" outlineLevel="0" collapsed="false">
      <c r="A240" s="30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3" t="str">
        <f aca="false">IF(D240="","",IF(SUM(I240:L240)&gt;0,1,0))</f>
        <v/>
      </c>
      <c r="O240" s="34" t="str">
        <f aca="false">IF(D240="","",IF(OR(COUNTIF('Target &amp; Team Lists'!$J$5:$J$204,D240)&gt;0,AND(H240&lt;&gt;"",COUNTIF('Target &amp; Team Lists'!$L$5:$L$204,H240)&gt;0),ISNUMBER(SEARCH("alpha nodus",(E240&amp;" "&amp;F240))),ISNUMBER(SEARCH("alphanodus",(E240&amp;" "&amp;F240)))),"Yes","No"))</f>
        <v/>
      </c>
      <c r="P240" s="34" t="str">
        <f aca="false">IF(D240="","",IF(O240="Yes","No",IF(OR(AND(F240&lt;&gt;"",COUNTIF('Target &amp; Team Lists'!$A$5:$A$504,F240)&gt;0),COUNTIF('Target &amp; Team Lists'!$E$5:$E$504,D240)&gt;0),"Yes",IF(AND(SUMPRODUCT(('Target &amp; Team Lists'!$N$5:$N$60&lt;&gt;"")*ISNUMBER(SEARCH('Target &amp; Team Lists'!$N$5:$N$60,(E240&amp;" "&amp;F240))))&gt;0,SUMPRODUCT(('Target &amp; Team Lists'!$O$5:$O$60&lt;&gt;"")*ISNUMBER(SEARCH('Target &amp; Team Lists'!$O$5:$O$60,(E240&amp;" "&amp;F240))))=0),"Yes","No"))))</f>
        <v/>
      </c>
      <c r="Q240" s="32"/>
    </row>
    <row r="241" customFormat="false" ht="15" hidden="false" customHeight="false" outlineLevel="0" collapsed="false">
      <c r="A241" s="30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3" t="str">
        <f aca="false">IF(D241="","",IF(SUM(I241:L241)&gt;0,1,0))</f>
        <v/>
      </c>
      <c r="O241" s="34" t="str">
        <f aca="false">IF(D241="","",IF(OR(COUNTIF('Target &amp; Team Lists'!$J$5:$J$204,D241)&gt;0,AND(H241&lt;&gt;"",COUNTIF('Target &amp; Team Lists'!$L$5:$L$204,H241)&gt;0),ISNUMBER(SEARCH("alpha nodus",(E241&amp;" "&amp;F241))),ISNUMBER(SEARCH("alphanodus",(E241&amp;" "&amp;F241)))),"Yes","No"))</f>
        <v/>
      </c>
      <c r="P241" s="34" t="str">
        <f aca="false">IF(D241="","",IF(O241="Yes","No",IF(OR(AND(F241&lt;&gt;"",COUNTIF('Target &amp; Team Lists'!$A$5:$A$504,F241)&gt;0),COUNTIF('Target &amp; Team Lists'!$E$5:$E$504,D241)&gt;0),"Yes",IF(AND(SUMPRODUCT(('Target &amp; Team Lists'!$N$5:$N$60&lt;&gt;"")*ISNUMBER(SEARCH('Target &amp; Team Lists'!$N$5:$N$60,(E241&amp;" "&amp;F241))))&gt;0,SUMPRODUCT(('Target &amp; Team Lists'!$O$5:$O$60&lt;&gt;"")*ISNUMBER(SEARCH('Target &amp; Team Lists'!$O$5:$O$60,(E241&amp;" "&amp;F241))))=0),"Yes","No"))))</f>
        <v/>
      </c>
      <c r="Q241" s="32"/>
    </row>
    <row r="242" customFormat="false" ht="15" hidden="false" customHeight="false" outlineLevel="0" collapsed="false">
      <c r="A242" s="30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3" t="str">
        <f aca="false">IF(D242="","",IF(SUM(I242:L242)&gt;0,1,0))</f>
        <v/>
      </c>
      <c r="O242" s="34" t="str">
        <f aca="false">IF(D242="","",IF(OR(COUNTIF('Target &amp; Team Lists'!$J$5:$J$204,D242)&gt;0,AND(H242&lt;&gt;"",COUNTIF('Target &amp; Team Lists'!$L$5:$L$204,H242)&gt;0),ISNUMBER(SEARCH("alpha nodus",(E242&amp;" "&amp;F242))),ISNUMBER(SEARCH("alphanodus",(E242&amp;" "&amp;F242)))),"Yes","No"))</f>
        <v/>
      </c>
      <c r="P242" s="34" t="str">
        <f aca="false">IF(D242="","",IF(O242="Yes","No",IF(OR(AND(F242&lt;&gt;"",COUNTIF('Target &amp; Team Lists'!$A$5:$A$504,F242)&gt;0),COUNTIF('Target &amp; Team Lists'!$E$5:$E$504,D242)&gt;0),"Yes",IF(AND(SUMPRODUCT(('Target &amp; Team Lists'!$N$5:$N$60&lt;&gt;"")*ISNUMBER(SEARCH('Target &amp; Team Lists'!$N$5:$N$60,(E242&amp;" "&amp;F242))))&gt;0,SUMPRODUCT(('Target &amp; Team Lists'!$O$5:$O$60&lt;&gt;"")*ISNUMBER(SEARCH('Target &amp; Team Lists'!$O$5:$O$60,(E242&amp;" "&amp;F242))))=0),"Yes","No"))))</f>
        <v/>
      </c>
      <c r="Q242" s="32"/>
    </row>
    <row r="243" customFormat="false" ht="15" hidden="false" customHeight="false" outlineLevel="0" collapsed="false">
      <c r="A243" s="30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3" t="str">
        <f aca="false">IF(D243="","",IF(SUM(I243:L243)&gt;0,1,0))</f>
        <v/>
      </c>
      <c r="O243" s="34" t="str">
        <f aca="false">IF(D243="","",IF(OR(COUNTIF('Target &amp; Team Lists'!$J$5:$J$204,D243)&gt;0,AND(H243&lt;&gt;"",COUNTIF('Target &amp; Team Lists'!$L$5:$L$204,H243)&gt;0),ISNUMBER(SEARCH("alpha nodus",(E243&amp;" "&amp;F243))),ISNUMBER(SEARCH("alphanodus",(E243&amp;" "&amp;F243)))),"Yes","No"))</f>
        <v/>
      </c>
      <c r="P243" s="34" t="str">
        <f aca="false">IF(D243="","",IF(O243="Yes","No",IF(OR(AND(F243&lt;&gt;"",COUNTIF('Target &amp; Team Lists'!$A$5:$A$504,F243)&gt;0),COUNTIF('Target &amp; Team Lists'!$E$5:$E$504,D243)&gt;0),"Yes",IF(AND(SUMPRODUCT(('Target &amp; Team Lists'!$N$5:$N$60&lt;&gt;"")*ISNUMBER(SEARCH('Target &amp; Team Lists'!$N$5:$N$60,(E243&amp;" "&amp;F243))))&gt;0,SUMPRODUCT(('Target &amp; Team Lists'!$O$5:$O$60&lt;&gt;"")*ISNUMBER(SEARCH('Target &amp; Team Lists'!$O$5:$O$60,(E243&amp;" "&amp;F243))))=0),"Yes","No"))))</f>
        <v/>
      </c>
      <c r="Q243" s="32"/>
    </row>
    <row r="244" customFormat="false" ht="15" hidden="false" customHeight="false" outlineLevel="0" collapsed="false">
      <c r="A244" s="30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3" t="str">
        <f aca="false">IF(D244="","",IF(SUM(I244:L244)&gt;0,1,0))</f>
        <v/>
      </c>
      <c r="O244" s="34" t="str">
        <f aca="false">IF(D244="","",IF(OR(COUNTIF('Target &amp; Team Lists'!$J$5:$J$204,D244)&gt;0,AND(H244&lt;&gt;"",COUNTIF('Target &amp; Team Lists'!$L$5:$L$204,H244)&gt;0),ISNUMBER(SEARCH("alpha nodus",(E244&amp;" "&amp;F244))),ISNUMBER(SEARCH("alphanodus",(E244&amp;" "&amp;F244)))),"Yes","No"))</f>
        <v/>
      </c>
      <c r="P244" s="34" t="str">
        <f aca="false">IF(D244="","",IF(O244="Yes","No",IF(OR(AND(F244&lt;&gt;"",COUNTIF('Target &amp; Team Lists'!$A$5:$A$504,F244)&gt;0),COUNTIF('Target &amp; Team Lists'!$E$5:$E$504,D244)&gt;0),"Yes",IF(AND(SUMPRODUCT(('Target &amp; Team Lists'!$N$5:$N$60&lt;&gt;"")*ISNUMBER(SEARCH('Target &amp; Team Lists'!$N$5:$N$60,(E244&amp;" "&amp;F244))))&gt;0,SUMPRODUCT(('Target &amp; Team Lists'!$O$5:$O$60&lt;&gt;"")*ISNUMBER(SEARCH('Target &amp; Team Lists'!$O$5:$O$60,(E244&amp;" "&amp;F244))))=0),"Yes","No"))))</f>
        <v/>
      </c>
      <c r="Q244" s="32"/>
    </row>
    <row r="245" customFormat="false" ht="15" hidden="false" customHeight="false" outlineLevel="0" collapsed="false">
      <c r="A245" s="30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3" t="str">
        <f aca="false">IF(D245="","",IF(SUM(I245:L245)&gt;0,1,0))</f>
        <v/>
      </c>
      <c r="O245" s="34" t="str">
        <f aca="false">IF(D245="","",IF(OR(COUNTIF('Target &amp; Team Lists'!$J$5:$J$204,D245)&gt;0,AND(H245&lt;&gt;"",COUNTIF('Target &amp; Team Lists'!$L$5:$L$204,H245)&gt;0),ISNUMBER(SEARCH("alpha nodus",(E245&amp;" "&amp;F245))),ISNUMBER(SEARCH("alphanodus",(E245&amp;" "&amp;F245)))),"Yes","No"))</f>
        <v/>
      </c>
      <c r="P245" s="34" t="str">
        <f aca="false">IF(D245="","",IF(O245="Yes","No",IF(OR(AND(F245&lt;&gt;"",COUNTIF('Target &amp; Team Lists'!$A$5:$A$504,F245)&gt;0),COUNTIF('Target &amp; Team Lists'!$E$5:$E$504,D245)&gt;0),"Yes",IF(AND(SUMPRODUCT(('Target &amp; Team Lists'!$N$5:$N$60&lt;&gt;"")*ISNUMBER(SEARCH('Target &amp; Team Lists'!$N$5:$N$60,(E245&amp;" "&amp;F245))))&gt;0,SUMPRODUCT(('Target &amp; Team Lists'!$O$5:$O$60&lt;&gt;"")*ISNUMBER(SEARCH('Target &amp; Team Lists'!$O$5:$O$60,(E245&amp;" "&amp;F245))))=0),"Yes","No"))))</f>
        <v/>
      </c>
      <c r="Q245" s="32"/>
    </row>
    <row r="246" customFormat="false" ht="15" hidden="false" customHeight="false" outlineLevel="0" collapsed="false">
      <c r="A246" s="30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3" t="str">
        <f aca="false">IF(D246="","",IF(SUM(I246:L246)&gt;0,1,0))</f>
        <v/>
      </c>
      <c r="O246" s="34" t="str">
        <f aca="false">IF(D246="","",IF(OR(COUNTIF('Target &amp; Team Lists'!$J$5:$J$204,D246)&gt;0,AND(H246&lt;&gt;"",COUNTIF('Target &amp; Team Lists'!$L$5:$L$204,H246)&gt;0),ISNUMBER(SEARCH("alpha nodus",(E246&amp;" "&amp;F246))),ISNUMBER(SEARCH("alphanodus",(E246&amp;" "&amp;F246)))),"Yes","No"))</f>
        <v/>
      </c>
      <c r="P246" s="34" t="str">
        <f aca="false">IF(D246="","",IF(O246="Yes","No",IF(OR(AND(F246&lt;&gt;"",COUNTIF('Target &amp; Team Lists'!$A$5:$A$504,F246)&gt;0),COUNTIF('Target &amp; Team Lists'!$E$5:$E$504,D246)&gt;0),"Yes",IF(AND(SUMPRODUCT(('Target &amp; Team Lists'!$N$5:$N$60&lt;&gt;"")*ISNUMBER(SEARCH('Target &amp; Team Lists'!$N$5:$N$60,(E246&amp;" "&amp;F246))))&gt;0,SUMPRODUCT(('Target &amp; Team Lists'!$O$5:$O$60&lt;&gt;"")*ISNUMBER(SEARCH('Target &amp; Team Lists'!$O$5:$O$60,(E246&amp;" "&amp;F246))))=0),"Yes","No"))))</f>
        <v/>
      </c>
      <c r="Q246" s="32"/>
    </row>
    <row r="247" customFormat="false" ht="15" hidden="false" customHeight="false" outlineLevel="0" collapsed="false">
      <c r="A247" s="30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3" t="str">
        <f aca="false">IF(D247="","",IF(SUM(I247:L247)&gt;0,1,0))</f>
        <v/>
      </c>
      <c r="O247" s="34" t="str">
        <f aca="false">IF(D247="","",IF(OR(COUNTIF('Target &amp; Team Lists'!$J$5:$J$204,D247)&gt;0,AND(H247&lt;&gt;"",COUNTIF('Target &amp; Team Lists'!$L$5:$L$204,H247)&gt;0),ISNUMBER(SEARCH("alpha nodus",(E247&amp;" "&amp;F247))),ISNUMBER(SEARCH("alphanodus",(E247&amp;" "&amp;F247)))),"Yes","No"))</f>
        <v/>
      </c>
      <c r="P247" s="34" t="str">
        <f aca="false">IF(D247="","",IF(O247="Yes","No",IF(OR(AND(F247&lt;&gt;"",COUNTIF('Target &amp; Team Lists'!$A$5:$A$504,F247)&gt;0),COUNTIF('Target &amp; Team Lists'!$E$5:$E$504,D247)&gt;0),"Yes",IF(AND(SUMPRODUCT(('Target &amp; Team Lists'!$N$5:$N$60&lt;&gt;"")*ISNUMBER(SEARCH('Target &amp; Team Lists'!$N$5:$N$60,(E247&amp;" "&amp;F247))))&gt;0,SUMPRODUCT(('Target &amp; Team Lists'!$O$5:$O$60&lt;&gt;"")*ISNUMBER(SEARCH('Target &amp; Team Lists'!$O$5:$O$60,(E247&amp;" "&amp;F247))))=0),"Yes","No"))))</f>
        <v/>
      </c>
      <c r="Q247" s="32"/>
    </row>
    <row r="248" customFormat="false" ht="15" hidden="false" customHeight="false" outlineLevel="0" collapsed="false">
      <c r="A248" s="30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3" t="str">
        <f aca="false">IF(D248="","",IF(SUM(I248:L248)&gt;0,1,0))</f>
        <v/>
      </c>
      <c r="O248" s="34" t="str">
        <f aca="false">IF(D248="","",IF(OR(COUNTIF('Target &amp; Team Lists'!$J$5:$J$204,D248)&gt;0,AND(H248&lt;&gt;"",COUNTIF('Target &amp; Team Lists'!$L$5:$L$204,H248)&gt;0),ISNUMBER(SEARCH("alpha nodus",(E248&amp;" "&amp;F248))),ISNUMBER(SEARCH("alphanodus",(E248&amp;" "&amp;F248)))),"Yes","No"))</f>
        <v/>
      </c>
      <c r="P248" s="34" t="str">
        <f aca="false">IF(D248="","",IF(O248="Yes","No",IF(OR(AND(F248&lt;&gt;"",COUNTIF('Target &amp; Team Lists'!$A$5:$A$504,F248)&gt;0),COUNTIF('Target &amp; Team Lists'!$E$5:$E$504,D248)&gt;0),"Yes",IF(AND(SUMPRODUCT(('Target &amp; Team Lists'!$N$5:$N$60&lt;&gt;"")*ISNUMBER(SEARCH('Target &amp; Team Lists'!$N$5:$N$60,(E248&amp;" "&amp;F248))))&gt;0,SUMPRODUCT(('Target &amp; Team Lists'!$O$5:$O$60&lt;&gt;"")*ISNUMBER(SEARCH('Target &amp; Team Lists'!$O$5:$O$60,(E248&amp;" "&amp;F248))))=0),"Yes","No"))))</f>
        <v/>
      </c>
      <c r="Q248" s="32"/>
    </row>
    <row r="249" customFormat="false" ht="15" hidden="false" customHeight="false" outlineLevel="0" collapsed="false">
      <c r="A249" s="30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3" t="str">
        <f aca="false">IF(D249="","",IF(SUM(I249:L249)&gt;0,1,0))</f>
        <v/>
      </c>
      <c r="O249" s="34" t="str">
        <f aca="false">IF(D249="","",IF(OR(COUNTIF('Target &amp; Team Lists'!$J$5:$J$204,D249)&gt;0,AND(H249&lt;&gt;"",COUNTIF('Target &amp; Team Lists'!$L$5:$L$204,H249)&gt;0),ISNUMBER(SEARCH("alpha nodus",(E249&amp;" "&amp;F249))),ISNUMBER(SEARCH("alphanodus",(E249&amp;" "&amp;F249)))),"Yes","No"))</f>
        <v/>
      </c>
      <c r="P249" s="34" t="str">
        <f aca="false">IF(D249="","",IF(O249="Yes","No",IF(OR(AND(F249&lt;&gt;"",COUNTIF('Target &amp; Team Lists'!$A$5:$A$504,F249)&gt;0),COUNTIF('Target &amp; Team Lists'!$E$5:$E$504,D249)&gt;0),"Yes",IF(AND(SUMPRODUCT(('Target &amp; Team Lists'!$N$5:$N$60&lt;&gt;"")*ISNUMBER(SEARCH('Target &amp; Team Lists'!$N$5:$N$60,(E249&amp;" "&amp;F249))))&gt;0,SUMPRODUCT(('Target &amp; Team Lists'!$O$5:$O$60&lt;&gt;"")*ISNUMBER(SEARCH('Target &amp; Team Lists'!$O$5:$O$60,(E249&amp;" "&amp;F249))))=0),"Yes","No"))))</f>
        <v/>
      </c>
      <c r="Q249" s="32"/>
    </row>
    <row r="250" customFormat="false" ht="15" hidden="false" customHeight="false" outlineLevel="0" collapsed="false">
      <c r="A250" s="30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3" t="str">
        <f aca="false">IF(D250="","",IF(SUM(I250:L250)&gt;0,1,0))</f>
        <v/>
      </c>
      <c r="O250" s="34" t="str">
        <f aca="false">IF(D250="","",IF(OR(COUNTIF('Target &amp; Team Lists'!$J$5:$J$204,D250)&gt;0,AND(H250&lt;&gt;"",COUNTIF('Target &amp; Team Lists'!$L$5:$L$204,H250)&gt;0),ISNUMBER(SEARCH("alpha nodus",(E250&amp;" "&amp;F250))),ISNUMBER(SEARCH("alphanodus",(E250&amp;" "&amp;F250)))),"Yes","No"))</f>
        <v/>
      </c>
      <c r="P250" s="34" t="str">
        <f aca="false">IF(D250="","",IF(O250="Yes","No",IF(OR(AND(F250&lt;&gt;"",COUNTIF('Target &amp; Team Lists'!$A$5:$A$504,F250)&gt;0),COUNTIF('Target &amp; Team Lists'!$E$5:$E$504,D250)&gt;0),"Yes",IF(AND(SUMPRODUCT(('Target &amp; Team Lists'!$N$5:$N$60&lt;&gt;"")*ISNUMBER(SEARCH('Target &amp; Team Lists'!$N$5:$N$60,(E250&amp;" "&amp;F250))))&gt;0,SUMPRODUCT(('Target &amp; Team Lists'!$O$5:$O$60&lt;&gt;"")*ISNUMBER(SEARCH('Target &amp; Team Lists'!$O$5:$O$60,(E250&amp;" "&amp;F250))))=0),"Yes","No"))))</f>
        <v/>
      </c>
      <c r="Q250" s="32"/>
    </row>
    <row r="251" customFormat="false" ht="15" hidden="false" customHeight="false" outlineLevel="0" collapsed="false">
      <c r="A251" s="30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3" t="str">
        <f aca="false">IF(D251="","",IF(SUM(I251:L251)&gt;0,1,0))</f>
        <v/>
      </c>
      <c r="O251" s="34" t="str">
        <f aca="false">IF(D251="","",IF(OR(COUNTIF('Target &amp; Team Lists'!$J$5:$J$204,D251)&gt;0,AND(H251&lt;&gt;"",COUNTIF('Target &amp; Team Lists'!$L$5:$L$204,H251)&gt;0),ISNUMBER(SEARCH("alpha nodus",(E251&amp;" "&amp;F251))),ISNUMBER(SEARCH("alphanodus",(E251&amp;" "&amp;F251)))),"Yes","No"))</f>
        <v/>
      </c>
      <c r="P251" s="34" t="str">
        <f aca="false">IF(D251="","",IF(O251="Yes","No",IF(OR(AND(F251&lt;&gt;"",COUNTIF('Target &amp; Team Lists'!$A$5:$A$504,F251)&gt;0),COUNTIF('Target &amp; Team Lists'!$E$5:$E$504,D251)&gt;0),"Yes",IF(AND(SUMPRODUCT(('Target &amp; Team Lists'!$N$5:$N$60&lt;&gt;"")*ISNUMBER(SEARCH('Target &amp; Team Lists'!$N$5:$N$60,(E251&amp;" "&amp;F251))))&gt;0,SUMPRODUCT(('Target &amp; Team Lists'!$O$5:$O$60&lt;&gt;"")*ISNUMBER(SEARCH('Target &amp; Team Lists'!$O$5:$O$60,(E251&amp;" "&amp;F251))))=0),"Yes","No"))))</f>
        <v/>
      </c>
      <c r="Q251" s="32"/>
    </row>
    <row r="252" customFormat="false" ht="15" hidden="false" customHeight="false" outlineLevel="0" collapsed="false">
      <c r="A252" s="30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3" t="str">
        <f aca="false">IF(D252="","",IF(SUM(I252:L252)&gt;0,1,0))</f>
        <v/>
      </c>
      <c r="O252" s="34" t="str">
        <f aca="false">IF(D252="","",IF(OR(COUNTIF('Target &amp; Team Lists'!$J$5:$J$204,D252)&gt;0,AND(H252&lt;&gt;"",COUNTIF('Target &amp; Team Lists'!$L$5:$L$204,H252)&gt;0),ISNUMBER(SEARCH("alpha nodus",(E252&amp;" "&amp;F252))),ISNUMBER(SEARCH("alphanodus",(E252&amp;" "&amp;F252)))),"Yes","No"))</f>
        <v/>
      </c>
      <c r="P252" s="34" t="str">
        <f aca="false">IF(D252="","",IF(O252="Yes","No",IF(OR(AND(F252&lt;&gt;"",COUNTIF('Target &amp; Team Lists'!$A$5:$A$504,F252)&gt;0),COUNTIF('Target &amp; Team Lists'!$E$5:$E$504,D252)&gt;0),"Yes",IF(AND(SUMPRODUCT(('Target &amp; Team Lists'!$N$5:$N$60&lt;&gt;"")*ISNUMBER(SEARCH('Target &amp; Team Lists'!$N$5:$N$60,(E252&amp;" "&amp;F252))))&gt;0,SUMPRODUCT(('Target &amp; Team Lists'!$O$5:$O$60&lt;&gt;"")*ISNUMBER(SEARCH('Target &amp; Team Lists'!$O$5:$O$60,(E252&amp;" "&amp;F252))))=0),"Yes","No"))))</f>
        <v/>
      </c>
      <c r="Q252" s="32"/>
    </row>
    <row r="253" customFormat="false" ht="15" hidden="false" customHeight="false" outlineLevel="0" collapsed="false">
      <c r="A253" s="30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3" t="str">
        <f aca="false">IF(D253="","",IF(SUM(I253:L253)&gt;0,1,0))</f>
        <v/>
      </c>
      <c r="O253" s="34" t="str">
        <f aca="false">IF(D253="","",IF(OR(COUNTIF('Target &amp; Team Lists'!$J$5:$J$204,D253)&gt;0,AND(H253&lt;&gt;"",COUNTIF('Target &amp; Team Lists'!$L$5:$L$204,H253)&gt;0),ISNUMBER(SEARCH("alpha nodus",(E253&amp;" "&amp;F253))),ISNUMBER(SEARCH("alphanodus",(E253&amp;" "&amp;F253)))),"Yes","No"))</f>
        <v/>
      </c>
      <c r="P253" s="34" t="str">
        <f aca="false">IF(D253="","",IF(O253="Yes","No",IF(OR(AND(F253&lt;&gt;"",COUNTIF('Target &amp; Team Lists'!$A$5:$A$504,F253)&gt;0),COUNTIF('Target &amp; Team Lists'!$E$5:$E$504,D253)&gt;0),"Yes",IF(AND(SUMPRODUCT(('Target &amp; Team Lists'!$N$5:$N$60&lt;&gt;"")*ISNUMBER(SEARCH('Target &amp; Team Lists'!$N$5:$N$60,(E253&amp;" "&amp;F253))))&gt;0,SUMPRODUCT(('Target &amp; Team Lists'!$O$5:$O$60&lt;&gt;"")*ISNUMBER(SEARCH('Target &amp; Team Lists'!$O$5:$O$60,(E253&amp;" "&amp;F253))))=0),"Yes","No"))))</f>
        <v/>
      </c>
      <c r="Q253" s="32"/>
    </row>
    <row r="254" customFormat="false" ht="15" hidden="false" customHeight="false" outlineLevel="0" collapsed="false">
      <c r="A254" s="30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3" t="str">
        <f aca="false">IF(D254="","",IF(SUM(I254:L254)&gt;0,1,0))</f>
        <v/>
      </c>
      <c r="O254" s="34" t="str">
        <f aca="false">IF(D254="","",IF(OR(COUNTIF('Target &amp; Team Lists'!$J$5:$J$204,D254)&gt;0,AND(H254&lt;&gt;"",COUNTIF('Target &amp; Team Lists'!$L$5:$L$204,H254)&gt;0),ISNUMBER(SEARCH("alpha nodus",(E254&amp;" "&amp;F254))),ISNUMBER(SEARCH("alphanodus",(E254&amp;" "&amp;F254)))),"Yes","No"))</f>
        <v/>
      </c>
      <c r="P254" s="34" t="str">
        <f aca="false">IF(D254="","",IF(O254="Yes","No",IF(OR(AND(F254&lt;&gt;"",COUNTIF('Target &amp; Team Lists'!$A$5:$A$504,F254)&gt;0),COUNTIF('Target &amp; Team Lists'!$E$5:$E$504,D254)&gt;0),"Yes",IF(AND(SUMPRODUCT(('Target &amp; Team Lists'!$N$5:$N$60&lt;&gt;"")*ISNUMBER(SEARCH('Target &amp; Team Lists'!$N$5:$N$60,(E254&amp;" "&amp;F254))))&gt;0,SUMPRODUCT(('Target &amp; Team Lists'!$O$5:$O$60&lt;&gt;"")*ISNUMBER(SEARCH('Target &amp; Team Lists'!$O$5:$O$60,(E254&amp;" "&amp;F254))))=0),"Yes","No"))))</f>
        <v/>
      </c>
      <c r="Q254" s="32"/>
    </row>
    <row r="255" customFormat="false" ht="15" hidden="false" customHeight="false" outlineLevel="0" collapsed="false">
      <c r="A255" s="30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3" t="str">
        <f aca="false">IF(D255="","",IF(SUM(I255:L255)&gt;0,1,0))</f>
        <v/>
      </c>
      <c r="O255" s="34" t="str">
        <f aca="false">IF(D255="","",IF(OR(COUNTIF('Target &amp; Team Lists'!$J$5:$J$204,D255)&gt;0,AND(H255&lt;&gt;"",COUNTIF('Target &amp; Team Lists'!$L$5:$L$204,H255)&gt;0),ISNUMBER(SEARCH("alpha nodus",(E255&amp;" "&amp;F255))),ISNUMBER(SEARCH("alphanodus",(E255&amp;" "&amp;F255)))),"Yes","No"))</f>
        <v/>
      </c>
      <c r="P255" s="34" t="str">
        <f aca="false">IF(D255="","",IF(O255="Yes","No",IF(OR(AND(F255&lt;&gt;"",COUNTIF('Target &amp; Team Lists'!$A$5:$A$504,F255)&gt;0),COUNTIF('Target &amp; Team Lists'!$E$5:$E$504,D255)&gt;0),"Yes",IF(AND(SUMPRODUCT(('Target &amp; Team Lists'!$N$5:$N$60&lt;&gt;"")*ISNUMBER(SEARCH('Target &amp; Team Lists'!$N$5:$N$60,(E255&amp;" "&amp;F255))))&gt;0,SUMPRODUCT(('Target &amp; Team Lists'!$O$5:$O$60&lt;&gt;"")*ISNUMBER(SEARCH('Target &amp; Team Lists'!$O$5:$O$60,(E255&amp;" "&amp;F255))))=0),"Yes","No"))))</f>
        <v/>
      </c>
      <c r="Q255" s="32"/>
    </row>
    <row r="256" customFormat="false" ht="15" hidden="false" customHeight="false" outlineLevel="0" collapsed="false">
      <c r="A256" s="30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3" t="str">
        <f aca="false">IF(D256="","",IF(SUM(I256:L256)&gt;0,1,0))</f>
        <v/>
      </c>
      <c r="O256" s="34" t="str">
        <f aca="false">IF(D256="","",IF(OR(COUNTIF('Target &amp; Team Lists'!$J$5:$J$204,D256)&gt;0,AND(H256&lt;&gt;"",COUNTIF('Target &amp; Team Lists'!$L$5:$L$204,H256)&gt;0),ISNUMBER(SEARCH("alpha nodus",(E256&amp;" "&amp;F256))),ISNUMBER(SEARCH("alphanodus",(E256&amp;" "&amp;F256)))),"Yes","No"))</f>
        <v/>
      </c>
      <c r="P256" s="34" t="str">
        <f aca="false">IF(D256="","",IF(O256="Yes","No",IF(OR(AND(F256&lt;&gt;"",COUNTIF('Target &amp; Team Lists'!$A$5:$A$504,F256)&gt;0),COUNTIF('Target &amp; Team Lists'!$E$5:$E$504,D256)&gt;0),"Yes",IF(AND(SUMPRODUCT(('Target &amp; Team Lists'!$N$5:$N$60&lt;&gt;"")*ISNUMBER(SEARCH('Target &amp; Team Lists'!$N$5:$N$60,(E256&amp;" "&amp;F256))))&gt;0,SUMPRODUCT(('Target &amp; Team Lists'!$O$5:$O$60&lt;&gt;"")*ISNUMBER(SEARCH('Target &amp; Team Lists'!$O$5:$O$60,(E256&amp;" "&amp;F256))))=0),"Yes","No"))))</f>
        <v/>
      </c>
      <c r="Q256" s="32"/>
    </row>
    <row r="257" customFormat="false" ht="15" hidden="false" customHeight="false" outlineLevel="0" collapsed="false">
      <c r="A257" s="30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3" t="str">
        <f aca="false">IF(D257="","",IF(SUM(I257:L257)&gt;0,1,0))</f>
        <v/>
      </c>
      <c r="O257" s="34" t="str">
        <f aca="false">IF(D257="","",IF(OR(COUNTIF('Target &amp; Team Lists'!$J$5:$J$204,D257)&gt;0,AND(H257&lt;&gt;"",COUNTIF('Target &amp; Team Lists'!$L$5:$L$204,H257)&gt;0),ISNUMBER(SEARCH("alpha nodus",(E257&amp;" "&amp;F257))),ISNUMBER(SEARCH("alphanodus",(E257&amp;" "&amp;F257)))),"Yes","No"))</f>
        <v/>
      </c>
      <c r="P257" s="34" t="str">
        <f aca="false">IF(D257="","",IF(O257="Yes","No",IF(OR(AND(F257&lt;&gt;"",COUNTIF('Target &amp; Team Lists'!$A$5:$A$504,F257)&gt;0),COUNTIF('Target &amp; Team Lists'!$E$5:$E$504,D257)&gt;0),"Yes",IF(AND(SUMPRODUCT(('Target &amp; Team Lists'!$N$5:$N$60&lt;&gt;"")*ISNUMBER(SEARCH('Target &amp; Team Lists'!$N$5:$N$60,(E257&amp;" "&amp;F257))))&gt;0,SUMPRODUCT(('Target &amp; Team Lists'!$O$5:$O$60&lt;&gt;"")*ISNUMBER(SEARCH('Target &amp; Team Lists'!$O$5:$O$60,(E257&amp;" "&amp;F257))))=0),"Yes","No"))))</f>
        <v/>
      </c>
      <c r="Q257" s="32"/>
    </row>
    <row r="258" customFormat="false" ht="15" hidden="false" customHeight="false" outlineLevel="0" collapsed="false">
      <c r="A258" s="30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3" t="str">
        <f aca="false">IF(D258="","",IF(SUM(I258:L258)&gt;0,1,0))</f>
        <v/>
      </c>
      <c r="O258" s="34" t="str">
        <f aca="false">IF(D258="","",IF(OR(COUNTIF('Target &amp; Team Lists'!$J$5:$J$204,D258)&gt;0,AND(H258&lt;&gt;"",COUNTIF('Target &amp; Team Lists'!$L$5:$L$204,H258)&gt;0),ISNUMBER(SEARCH("alpha nodus",(E258&amp;" "&amp;F258))),ISNUMBER(SEARCH("alphanodus",(E258&amp;" "&amp;F258)))),"Yes","No"))</f>
        <v/>
      </c>
      <c r="P258" s="34" t="str">
        <f aca="false">IF(D258="","",IF(O258="Yes","No",IF(OR(AND(F258&lt;&gt;"",COUNTIF('Target &amp; Team Lists'!$A$5:$A$504,F258)&gt;0),COUNTIF('Target &amp; Team Lists'!$E$5:$E$504,D258)&gt;0),"Yes",IF(AND(SUMPRODUCT(('Target &amp; Team Lists'!$N$5:$N$60&lt;&gt;"")*ISNUMBER(SEARCH('Target &amp; Team Lists'!$N$5:$N$60,(E258&amp;" "&amp;F258))))&gt;0,SUMPRODUCT(('Target &amp; Team Lists'!$O$5:$O$60&lt;&gt;"")*ISNUMBER(SEARCH('Target &amp; Team Lists'!$O$5:$O$60,(E258&amp;" "&amp;F258))))=0),"Yes","No"))))</f>
        <v/>
      </c>
      <c r="Q258" s="32"/>
    </row>
    <row r="259" customFormat="false" ht="15" hidden="false" customHeight="false" outlineLevel="0" collapsed="false">
      <c r="A259" s="30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3" t="str">
        <f aca="false">IF(D259="","",IF(SUM(I259:L259)&gt;0,1,0))</f>
        <v/>
      </c>
      <c r="O259" s="34" t="str">
        <f aca="false">IF(D259="","",IF(OR(COUNTIF('Target &amp; Team Lists'!$J$5:$J$204,D259)&gt;0,AND(H259&lt;&gt;"",COUNTIF('Target &amp; Team Lists'!$L$5:$L$204,H259)&gt;0),ISNUMBER(SEARCH("alpha nodus",(E259&amp;" "&amp;F259))),ISNUMBER(SEARCH("alphanodus",(E259&amp;" "&amp;F259)))),"Yes","No"))</f>
        <v/>
      </c>
      <c r="P259" s="34" t="str">
        <f aca="false">IF(D259="","",IF(O259="Yes","No",IF(OR(AND(F259&lt;&gt;"",COUNTIF('Target &amp; Team Lists'!$A$5:$A$504,F259)&gt;0),COUNTIF('Target &amp; Team Lists'!$E$5:$E$504,D259)&gt;0),"Yes",IF(AND(SUMPRODUCT(('Target &amp; Team Lists'!$N$5:$N$60&lt;&gt;"")*ISNUMBER(SEARCH('Target &amp; Team Lists'!$N$5:$N$60,(E259&amp;" "&amp;F259))))&gt;0,SUMPRODUCT(('Target &amp; Team Lists'!$O$5:$O$60&lt;&gt;"")*ISNUMBER(SEARCH('Target &amp; Team Lists'!$O$5:$O$60,(E259&amp;" "&amp;F259))))=0),"Yes","No"))))</f>
        <v/>
      </c>
      <c r="Q259" s="32"/>
    </row>
    <row r="260" customFormat="false" ht="15" hidden="false" customHeight="false" outlineLevel="0" collapsed="false">
      <c r="A260" s="30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3" t="str">
        <f aca="false">IF(D260="","",IF(SUM(I260:L260)&gt;0,1,0))</f>
        <v/>
      </c>
      <c r="O260" s="34" t="str">
        <f aca="false">IF(D260="","",IF(OR(COUNTIF('Target &amp; Team Lists'!$J$5:$J$204,D260)&gt;0,AND(H260&lt;&gt;"",COUNTIF('Target &amp; Team Lists'!$L$5:$L$204,H260)&gt;0),ISNUMBER(SEARCH("alpha nodus",(E260&amp;" "&amp;F260))),ISNUMBER(SEARCH("alphanodus",(E260&amp;" "&amp;F260)))),"Yes","No"))</f>
        <v/>
      </c>
      <c r="P260" s="34" t="str">
        <f aca="false">IF(D260="","",IF(O260="Yes","No",IF(OR(AND(F260&lt;&gt;"",COUNTIF('Target &amp; Team Lists'!$A$5:$A$504,F260)&gt;0),COUNTIF('Target &amp; Team Lists'!$E$5:$E$504,D260)&gt;0),"Yes",IF(AND(SUMPRODUCT(('Target &amp; Team Lists'!$N$5:$N$60&lt;&gt;"")*ISNUMBER(SEARCH('Target &amp; Team Lists'!$N$5:$N$60,(E260&amp;" "&amp;F260))))&gt;0,SUMPRODUCT(('Target &amp; Team Lists'!$O$5:$O$60&lt;&gt;"")*ISNUMBER(SEARCH('Target &amp; Team Lists'!$O$5:$O$60,(E260&amp;" "&amp;F260))))=0),"Yes","No"))))</f>
        <v/>
      </c>
      <c r="Q260" s="32"/>
    </row>
    <row r="261" customFormat="false" ht="15" hidden="false" customHeight="false" outlineLevel="0" collapsed="false">
      <c r="A261" s="30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3" t="str">
        <f aca="false">IF(D261="","",IF(SUM(I261:L261)&gt;0,1,0))</f>
        <v/>
      </c>
      <c r="O261" s="34" t="str">
        <f aca="false">IF(D261="","",IF(OR(COUNTIF('Target &amp; Team Lists'!$J$5:$J$204,D261)&gt;0,AND(H261&lt;&gt;"",COUNTIF('Target &amp; Team Lists'!$L$5:$L$204,H261)&gt;0),ISNUMBER(SEARCH("alpha nodus",(E261&amp;" "&amp;F261))),ISNUMBER(SEARCH("alphanodus",(E261&amp;" "&amp;F261)))),"Yes","No"))</f>
        <v/>
      </c>
      <c r="P261" s="34" t="str">
        <f aca="false">IF(D261="","",IF(O261="Yes","No",IF(OR(AND(F261&lt;&gt;"",COUNTIF('Target &amp; Team Lists'!$A$5:$A$504,F261)&gt;0),COUNTIF('Target &amp; Team Lists'!$E$5:$E$504,D261)&gt;0),"Yes",IF(AND(SUMPRODUCT(('Target &amp; Team Lists'!$N$5:$N$60&lt;&gt;"")*ISNUMBER(SEARCH('Target &amp; Team Lists'!$N$5:$N$60,(E261&amp;" "&amp;F261))))&gt;0,SUMPRODUCT(('Target &amp; Team Lists'!$O$5:$O$60&lt;&gt;"")*ISNUMBER(SEARCH('Target &amp; Team Lists'!$O$5:$O$60,(E261&amp;" "&amp;F261))))=0),"Yes","No"))))</f>
        <v/>
      </c>
      <c r="Q261" s="32"/>
    </row>
    <row r="262" customFormat="false" ht="15" hidden="false" customHeight="false" outlineLevel="0" collapsed="false">
      <c r="A262" s="30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3" t="str">
        <f aca="false">IF(D262="","",IF(SUM(I262:L262)&gt;0,1,0))</f>
        <v/>
      </c>
      <c r="O262" s="34" t="str">
        <f aca="false">IF(D262="","",IF(OR(COUNTIF('Target &amp; Team Lists'!$J$5:$J$204,D262)&gt;0,AND(H262&lt;&gt;"",COUNTIF('Target &amp; Team Lists'!$L$5:$L$204,H262)&gt;0),ISNUMBER(SEARCH("alpha nodus",(E262&amp;" "&amp;F262))),ISNUMBER(SEARCH("alphanodus",(E262&amp;" "&amp;F262)))),"Yes","No"))</f>
        <v/>
      </c>
      <c r="P262" s="34" t="str">
        <f aca="false">IF(D262="","",IF(O262="Yes","No",IF(OR(AND(F262&lt;&gt;"",COUNTIF('Target &amp; Team Lists'!$A$5:$A$504,F262)&gt;0),COUNTIF('Target &amp; Team Lists'!$E$5:$E$504,D262)&gt;0),"Yes",IF(AND(SUMPRODUCT(('Target &amp; Team Lists'!$N$5:$N$60&lt;&gt;"")*ISNUMBER(SEARCH('Target &amp; Team Lists'!$N$5:$N$60,(E262&amp;" "&amp;F262))))&gt;0,SUMPRODUCT(('Target &amp; Team Lists'!$O$5:$O$60&lt;&gt;"")*ISNUMBER(SEARCH('Target &amp; Team Lists'!$O$5:$O$60,(E262&amp;" "&amp;F262))))=0),"Yes","No"))))</f>
        <v/>
      </c>
      <c r="Q262" s="32"/>
    </row>
    <row r="263" customFormat="false" ht="15" hidden="false" customHeight="false" outlineLevel="0" collapsed="false">
      <c r="A263" s="30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3" t="str">
        <f aca="false">IF(D263="","",IF(SUM(I263:L263)&gt;0,1,0))</f>
        <v/>
      </c>
      <c r="O263" s="34" t="str">
        <f aca="false">IF(D263="","",IF(OR(COUNTIF('Target &amp; Team Lists'!$J$5:$J$204,D263)&gt;0,AND(H263&lt;&gt;"",COUNTIF('Target &amp; Team Lists'!$L$5:$L$204,H263)&gt;0),ISNUMBER(SEARCH("alpha nodus",(E263&amp;" "&amp;F263))),ISNUMBER(SEARCH("alphanodus",(E263&amp;" "&amp;F263)))),"Yes","No"))</f>
        <v/>
      </c>
      <c r="P263" s="34" t="str">
        <f aca="false">IF(D263="","",IF(O263="Yes","No",IF(OR(AND(F263&lt;&gt;"",COUNTIF('Target &amp; Team Lists'!$A$5:$A$504,F263)&gt;0),COUNTIF('Target &amp; Team Lists'!$E$5:$E$504,D263)&gt;0),"Yes",IF(AND(SUMPRODUCT(('Target &amp; Team Lists'!$N$5:$N$60&lt;&gt;"")*ISNUMBER(SEARCH('Target &amp; Team Lists'!$N$5:$N$60,(E263&amp;" "&amp;F263))))&gt;0,SUMPRODUCT(('Target &amp; Team Lists'!$O$5:$O$60&lt;&gt;"")*ISNUMBER(SEARCH('Target &amp; Team Lists'!$O$5:$O$60,(E263&amp;" "&amp;F263))))=0),"Yes","No"))))</f>
        <v/>
      </c>
      <c r="Q263" s="32"/>
    </row>
    <row r="264" customFormat="false" ht="15" hidden="false" customHeight="false" outlineLevel="0" collapsed="false">
      <c r="A264" s="30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3" t="str">
        <f aca="false">IF(D264="","",IF(SUM(I264:L264)&gt;0,1,0))</f>
        <v/>
      </c>
      <c r="O264" s="34" t="str">
        <f aca="false">IF(D264="","",IF(OR(COUNTIF('Target &amp; Team Lists'!$J$5:$J$204,D264)&gt;0,AND(H264&lt;&gt;"",COUNTIF('Target &amp; Team Lists'!$L$5:$L$204,H264)&gt;0),ISNUMBER(SEARCH("alpha nodus",(E264&amp;" "&amp;F264))),ISNUMBER(SEARCH("alphanodus",(E264&amp;" "&amp;F264)))),"Yes","No"))</f>
        <v/>
      </c>
      <c r="P264" s="34" t="str">
        <f aca="false">IF(D264="","",IF(O264="Yes","No",IF(OR(AND(F264&lt;&gt;"",COUNTIF('Target &amp; Team Lists'!$A$5:$A$504,F264)&gt;0),COUNTIF('Target &amp; Team Lists'!$E$5:$E$504,D264)&gt;0),"Yes",IF(AND(SUMPRODUCT(('Target &amp; Team Lists'!$N$5:$N$60&lt;&gt;"")*ISNUMBER(SEARCH('Target &amp; Team Lists'!$N$5:$N$60,(E264&amp;" "&amp;F264))))&gt;0,SUMPRODUCT(('Target &amp; Team Lists'!$O$5:$O$60&lt;&gt;"")*ISNUMBER(SEARCH('Target &amp; Team Lists'!$O$5:$O$60,(E264&amp;" "&amp;F264))))=0),"Yes","No"))))</f>
        <v/>
      </c>
      <c r="Q264" s="32"/>
    </row>
    <row r="265" customFormat="false" ht="15" hidden="false" customHeight="false" outlineLevel="0" collapsed="false">
      <c r="A265" s="30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3" t="str">
        <f aca="false">IF(D265="","",IF(SUM(I265:L265)&gt;0,1,0))</f>
        <v/>
      </c>
      <c r="O265" s="34" t="str">
        <f aca="false">IF(D265="","",IF(OR(COUNTIF('Target &amp; Team Lists'!$J$5:$J$204,D265)&gt;0,AND(H265&lt;&gt;"",COUNTIF('Target &amp; Team Lists'!$L$5:$L$204,H265)&gt;0),ISNUMBER(SEARCH("alpha nodus",(E265&amp;" "&amp;F265))),ISNUMBER(SEARCH("alphanodus",(E265&amp;" "&amp;F265)))),"Yes","No"))</f>
        <v/>
      </c>
      <c r="P265" s="34" t="str">
        <f aca="false">IF(D265="","",IF(O265="Yes","No",IF(OR(AND(F265&lt;&gt;"",COUNTIF('Target &amp; Team Lists'!$A$5:$A$504,F265)&gt;0),COUNTIF('Target &amp; Team Lists'!$E$5:$E$504,D265)&gt;0),"Yes",IF(AND(SUMPRODUCT(('Target &amp; Team Lists'!$N$5:$N$60&lt;&gt;"")*ISNUMBER(SEARCH('Target &amp; Team Lists'!$N$5:$N$60,(E265&amp;" "&amp;F265))))&gt;0,SUMPRODUCT(('Target &amp; Team Lists'!$O$5:$O$60&lt;&gt;"")*ISNUMBER(SEARCH('Target &amp; Team Lists'!$O$5:$O$60,(E265&amp;" "&amp;F265))))=0),"Yes","No"))))</f>
        <v/>
      </c>
      <c r="Q265" s="32"/>
    </row>
    <row r="266" customFormat="false" ht="15" hidden="false" customHeight="false" outlineLevel="0" collapsed="false">
      <c r="A266" s="30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3" t="str">
        <f aca="false">IF(D266="","",IF(SUM(I266:L266)&gt;0,1,0))</f>
        <v/>
      </c>
      <c r="O266" s="34" t="str">
        <f aca="false">IF(D266="","",IF(OR(COUNTIF('Target &amp; Team Lists'!$J$5:$J$204,D266)&gt;0,AND(H266&lt;&gt;"",COUNTIF('Target &amp; Team Lists'!$L$5:$L$204,H266)&gt;0),ISNUMBER(SEARCH("alpha nodus",(E266&amp;" "&amp;F266))),ISNUMBER(SEARCH("alphanodus",(E266&amp;" "&amp;F266)))),"Yes","No"))</f>
        <v/>
      </c>
      <c r="P266" s="34" t="str">
        <f aca="false">IF(D266="","",IF(O266="Yes","No",IF(OR(AND(F266&lt;&gt;"",COUNTIF('Target &amp; Team Lists'!$A$5:$A$504,F266)&gt;0),COUNTIF('Target &amp; Team Lists'!$E$5:$E$504,D266)&gt;0),"Yes",IF(AND(SUMPRODUCT(('Target &amp; Team Lists'!$N$5:$N$60&lt;&gt;"")*ISNUMBER(SEARCH('Target &amp; Team Lists'!$N$5:$N$60,(E266&amp;" "&amp;F266))))&gt;0,SUMPRODUCT(('Target &amp; Team Lists'!$O$5:$O$60&lt;&gt;"")*ISNUMBER(SEARCH('Target &amp; Team Lists'!$O$5:$O$60,(E266&amp;" "&amp;F266))))=0),"Yes","No"))))</f>
        <v/>
      </c>
      <c r="Q266" s="32"/>
    </row>
    <row r="267" customFormat="false" ht="15" hidden="false" customHeight="false" outlineLevel="0" collapsed="false">
      <c r="A267" s="30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3" t="str">
        <f aca="false">IF(D267="","",IF(SUM(I267:L267)&gt;0,1,0))</f>
        <v/>
      </c>
      <c r="O267" s="34" t="str">
        <f aca="false">IF(D267="","",IF(OR(COUNTIF('Target &amp; Team Lists'!$J$5:$J$204,D267)&gt;0,AND(H267&lt;&gt;"",COUNTIF('Target &amp; Team Lists'!$L$5:$L$204,H267)&gt;0),ISNUMBER(SEARCH("alpha nodus",(E267&amp;" "&amp;F267))),ISNUMBER(SEARCH("alphanodus",(E267&amp;" "&amp;F267)))),"Yes","No"))</f>
        <v/>
      </c>
      <c r="P267" s="34" t="str">
        <f aca="false">IF(D267="","",IF(O267="Yes","No",IF(OR(AND(F267&lt;&gt;"",COUNTIF('Target &amp; Team Lists'!$A$5:$A$504,F267)&gt;0),COUNTIF('Target &amp; Team Lists'!$E$5:$E$504,D267)&gt;0),"Yes",IF(AND(SUMPRODUCT(('Target &amp; Team Lists'!$N$5:$N$60&lt;&gt;"")*ISNUMBER(SEARCH('Target &amp; Team Lists'!$N$5:$N$60,(E267&amp;" "&amp;F267))))&gt;0,SUMPRODUCT(('Target &amp; Team Lists'!$O$5:$O$60&lt;&gt;"")*ISNUMBER(SEARCH('Target &amp; Team Lists'!$O$5:$O$60,(E267&amp;" "&amp;F267))))=0),"Yes","No"))))</f>
        <v/>
      </c>
      <c r="Q267" s="32"/>
    </row>
    <row r="268" customFormat="false" ht="15" hidden="false" customHeight="false" outlineLevel="0" collapsed="false">
      <c r="A268" s="30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3" t="str">
        <f aca="false">IF(D268="","",IF(SUM(I268:L268)&gt;0,1,0))</f>
        <v/>
      </c>
      <c r="O268" s="34" t="str">
        <f aca="false">IF(D268="","",IF(OR(COUNTIF('Target &amp; Team Lists'!$J$5:$J$204,D268)&gt;0,AND(H268&lt;&gt;"",COUNTIF('Target &amp; Team Lists'!$L$5:$L$204,H268)&gt;0),ISNUMBER(SEARCH("alpha nodus",(E268&amp;" "&amp;F268))),ISNUMBER(SEARCH("alphanodus",(E268&amp;" "&amp;F268)))),"Yes","No"))</f>
        <v/>
      </c>
      <c r="P268" s="34" t="str">
        <f aca="false">IF(D268="","",IF(O268="Yes","No",IF(OR(AND(F268&lt;&gt;"",COUNTIF('Target &amp; Team Lists'!$A$5:$A$504,F268)&gt;0),COUNTIF('Target &amp; Team Lists'!$E$5:$E$504,D268)&gt;0),"Yes",IF(AND(SUMPRODUCT(('Target &amp; Team Lists'!$N$5:$N$60&lt;&gt;"")*ISNUMBER(SEARCH('Target &amp; Team Lists'!$N$5:$N$60,(E268&amp;" "&amp;F268))))&gt;0,SUMPRODUCT(('Target &amp; Team Lists'!$O$5:$O$60&lt;&gt;"")*ISNUMBER(SEARCH('Target &amp; Team Lists'!$O$5:$O$60,(E268&amp;" "&amp;F268))))=0),"Yes","No"))))</f>
        <v/>
      </c>
      <c r="Q268" s="32"/>
    </row>
    <row r="269" customFormat="false" ht="15" hidden="false" customHeight="false" outlineLevel="0" collapsed="false">
      <c r="A269" s="30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3" t="str">
        <f aca="false">IF(D269="","",IF(SUM(I269:L269)&gt;0,1,0))</f>
        <v/>
      </c>
      <c r="O269" s="34" t="str">
        <f aca="false">IF(D269="","",IF(OR(COUNTIF('Target &amp; Team Lists'!$J$5:$J$204,D269)&gt;0,AND(H269&lt;&gt;"",COUNTIF('Target &amp; Team Lists'!$L$5:$L$204,H269)&gt;0),ISNUMBER(SEARCH("alpha nodus",(E269&amp;" "&amp;F269))),ISNUMBER(SEARCH("alphanodus",(E269&amp;" "&amp;F269)))),"Yes","No"))</f>
        <v/>
      </c>
      <c r="P269" s="34" t="str">
        <f aca="false">IF(D269="","",IF(O269="Yes","No",IF(OR(AND(F269&lt;&gt;"",COUNTIF('Target &amp; Team Lists'!$A$5:$A$504,F269)&gt;0),COUNTIF('Target &amp; Team Lists'!$E$5:$E$504,D269)&gt;0),"Yes",IF(AND(SUMPRODUCT(('Target &amp; Team Lists'!$N$5:$N$60&lt;&gt;"")*ISNUMBER(SEARCH('Target &amp; Team Lists'!$N$5:$N$60,(E269&amp;" "&amp;F269))))&gt;0,SUMPRODUCT(('Target &amp; Team Lists'!$O$5:$O$60&lt;&gt;"")*ISNUMBER(SEARCH('Target &amp; Team Lists'!$O$5:$O$60,(E269&amp;" "&amp;F269))))=0),"Yes","No"))))</f>
        <v/>
      </c>
      <c r="Q269" s="32"/>
    </row>
    <row r="270" customFormat="false" ht="15" hidden="false" customHeight="false" outlineLevel="0" collapsed="false">
      <c r="A270" s="30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3" t="str">
        <f aca="false">IF(D270="","",IF(SUM(I270:L270)&gt;0,1,0))</f>
        <v/>
      </c>
      <c r="O270" s="34" t="str">
        <f aca="false">IF(D270="","",IF(OR(COUNTIF('Target &amp; Team Lists'!$J$5:$J$204,D270)&gt;0,AND(H270&lt;&gt;"",COUNTIF('Target &amp; Team Lists'!$L$5:$L$204,H270)&gt;0),ISNUMBER(SEARCH("alpha nodus",(E270&amp;" "&amp;F270))),ISNUMBER(SEARCH("alphanodus",(E270&amp;" "&amp;F270)))),"Yes","No"))</f>
        <v/>
      </c>
      <c r="P270" s="34" t="str">
        <f aca="false">IF(D270="","",IF(O270="Yes","No",IF(OR(AND(F270&lt;&gt;"",COUNTIF('Target &amp; Team Lists'!$A$5:$A$504,F270)&gt;0),COUNTIF('Target &amp; Team Lists'!$E$5:$E$504,D270)&gt;0),"Yes",IF(AND(SUMPRODUCT(('Target &amp; Team Lists'!$N$5:$N$60&lt;&gt;"")*ISNUMBER(SEARCH('Target &amp; Team Lists'!$N$5:$N$60,(E270&amp;" "&amp;F270))))&gt;0,SUMPRODUCT(('Target &amp; Team Lists'!$O$5:$O$60&lt;&gt;"")*ISNUMBER(SEARCH('Target &amp; Team Lists'!$O$5:$O$60,(E270&amp;" "&amp;F270))))=0),"Yes","No"))))</f>
        <v/>
      </c>
      <c r="Q270" s="32"/>
    </row>
    <row r="271" customFormat="false" ht="15" hidden="false" customHeight="false" outlineLevel="0" collapsed="false">
      <c r="A271" s="30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3" t="str">
        <f aca="false">IF(D271="","",IF(SUM(I271:L271)&gt;0,1,0))</f>
        <v/>
      </c>
      <c r="O271" s="34" t="str">
        <f aca="false">IF(D271="","",IF(OR(COUNTIF('Target &amp; Team Lists'!$J$5:$J$204,D271)&gt;0,AND(H271&lt;&gt;"",COUNTIF('Target &amp; Team Lists'!$L$5:$L$204,H271)&gt;0),ISNUMBER(SEARCH("alpha nodus",(E271&amp;" "&amp;F271))),ISNUMBER(SEARCH("alphanodus",(E271&amp;" "&amp;F271)))),"Yes","No"))</f>
        <v/>
      </c>
      <c r="P271" s="34" t="str">
        <f aca="false">IF(D271="","",IF(O271="Yes","No",IF(OR(AND(F271&lt;&gt;"",COUNTIF('Target &amp; Team Lists'!$A$5:$A$504,F271)&gt;0),COUNTIF('Target &amp; Team Lists'!$E$5:$E$504,D271)&gt;0),"Yes",IF(AND(SUMPRODUCT(('Target &amp; Team Lists'!$N$5:$N$60&lt;&gt;"")*ISNUMBER(SEARCH('Target &amp; Team Lists'!$N$5:$N$60,(E271&amp;" "&amp;F271))))&gt;0,SUMPRODUCT(('Target &amp; Team Lists'!$O$5:$O$60&lt;&gt;"")*ISNUMBER(SEARCH('Target &amp; Team Lists'!$O$5:$O$60,(E271&amp;" "&amp;F271))))=0),"Yes","No"))))</f>
        <v/>
      </c>
      <c r="Q271" s="32"/>
    </row>
    <row r="272" customFormat="false" ht="15" hidden="false" customHeight="false" outlineLevel="0" collapsed="false">
      <c r="A272" s="30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3" t="str">
        <f aca="false">IF(D272="","",IF(SUM(I272:L272)&gt;0,1,0))</f>
        <v/>
      </c>
      <c r="O272" s="34" t="str">
        <f aca="false">IF(D272="","",IF(OR(COUNTIF('Target &amp; Team Lists'!$J$5:$J$204,D272)&gt;0,AND(H272&lt;&gt;"",COUNTIF('Target &amp; Team Lists'!$L$5:$L$204,H272)&gt;0),ISNUMBER(SEARCH("alpha nodus",(E272&amp;" "&amp;F272))),ISNUMBER(SEARCH("alphanodus",(E272&amp;" "&amp;F272)))),"Yes","No"))</f>
        <v/>
      </c>
      <c r="P272" s="34" t="str">
        <f aca="false">IF(D272="","",IF(O272="Yes","No",IF(OR(AND(F272&lt;&gt;"",COUNTIF('Target &amp; Team Lists'!$A$5:$A$504,F272)&gt;0),COUNTIF('Target &amp; Team Lists'!$E$5:$E$504,D272)&gt;0),"Yes",IF(AND(SUMPRODUCT(('Target &amp; Team Lists'!$N$5:$N$60&lt;&gt;"")*ISNUMBER(SEARCH('Target &amp; Team Lists'!$N$5:$N$60,(E272&amp;" "&amp;F272))))&gt;0,SUMPRODUCT(('Target &amp; Team Lists'!$O$5:$O$60&lt;&gt;"")*ISNUMBER(SEARCH('Target &amp; Team Lists'!$O$5:$O$60,(E272&amp;" "&amp;F272))))=0),"Yes","No"))))</f>
        <v/>
      </c>
      <c r="Q272" s="32"/>
    </row>
    <row r="273" customFormat="false" ht="15" hidden="false" customHeight="false" outlineLevel="0" collapsed="false">
      <c r="A273" s="30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3" t="str">
        <f aca="false">IF(D273="","",IF(SUM(I273:L273)&gt;0,1,0))</f>
        <v/>
      </c>
      <c r="O273" s="34" t="str">
        <f aca="false">IF(D273="","",IF(OR(COUNTIF('Target &amp; Team Lists'!$J$5:$J$204,D273)&gt;0,AND(H273&lt;&gt;"",COUNTIF('Target &amp; Team Lists'!$L$5:$L$204,H273)&gt;0),ISNUMBER(SEARCH("alpha nodus",(E273&amp;" "&amp;F273))),ISNUMBER(SEARCH("alphanodus",(E273&amp;" "&amp;F273)))),"Yes","No"))</f>
        <v/>
      </c>
      <c r="P273" s="34" t="str">
        <f aca="false">IF(D273="","",IF(O273="Yes","No",IF(OR(AND(F273&lt;&gt;"",COUNTIF('Target &amp; Team Lists'!$A$5:$A$504,F273)&gt;0),COUNTIF('Target &amp; Team Lists'!$E$5:$E$504,D273)&gt;0),"Yes",IF(AND(SUMPRODUCT(('Target &amp; Team Lists'!$N$5:$N$60&lt;&gt;"")*ISNUMBER(SEARCH('Target &amp; Team Lists'!$N$5:$N$60,(E273&amp;" "&amp;F273))))&gt;0,SUMPRODUCT(('Target &amp; Team Lists'!$O$5:$O$60&lt;&gt;"")*ISNUMBER(SEARCH('Target &amp; Team Lists'!$O$5:$O$60,(E273&amp;" "&amp;F273))))=0),"Yes","No"))))</f>
        <v/>
      </c>
      <c r="Q273" s="32"/>
    </row>
    <row r="274" customFormat="false" ht="15" hidden="false" customHeight="false" outlineLevel="0" collapsed="false">
      <c r="A274" s="30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3" t="str">
        <f aca="false">IF(D274="","",IF(SUM(I274:L274)&gt;0,1,0))</f>
        <v/>
      </c>
      <c r="O274" s="34" t="str">
        <f aca="false">IF(D274="","",IF(OR(COUNTIF('Target &amp; Team Lists'!$J$5:$J$204,D274)&gt;0,AND(H274&lt;&gt;"",COUNTIF('Target &amp; Team Lists'!$L$5:$L$204,H274)&gt;0),ISNUMBER(SEARCH("alpha nodus",(E274&amp;" "&amp;F274))),ISNUMBER(SEARCH("alphanodus",(E274&amp;" "&amp;F274)))),"Yes","No"))</f>
        <v/>
      </c>
      <c r="P274" s="34" t="str">
        <f aca="false">IF(D274="","",IF(O274="Yes","No",IF(OR(AND(F274&lt;&gt;"",COUNTIF('Target &amp; Team Lists'!$A$5:$A$504,F274)&gt;0),COUNTIF('Target &amp; Team Lists'!$E$5:$E$504,D274)&gt;0),"Yes",IF(AND(SUMPRODUCT(('Target &amp; Team Lists'!$N$5:$N$60&lt;&gt;"")*ISNUMBER(SEARCH('Target &amp; Team Lists'!$N$5:$N$60,(E274&amp;" "&amp;F274))))&gt;0,SUMPRODUCT(('Target &amp; Team Lists'!$O$5:$O$60&lt;&gt;"")*ISNUMBER(SEARCH('Target &amp; Team Lists'!$O$5:$O$60,(E274&amp;" "&amp;F274))))=0),"Yes","No"))))</f>
        <v/>
      </c>
      <c r="Q274" s="32"/>
    </row>
    <row r="275" customFormat="false" ht="15" hidden="false" customHeight="false" outlineLevel="0" collapsed="false">
      <c r="A275" s="30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3" t="str">
        <f aca="false">IF(D275="","",IF(SUM(I275:L275)&gt;0,1,0))</f>
        <v/>
      </c>
      <c r="O275" s="34" t="str">
        <f aca="false">IF(D275="","",IF(OR(COUNTIF('Target &amp; Team Lists'!$J$5:$J$204,D275)&gt;0,AND(H275&lt;&gt;"",COUNTIF('Target &amp; Team Lists'!$L$5:$L$204,H275)&gt;0),ISNUMBER(SEARCH("alpha nodus",(E275&amp;" "&amp;F275))),ISNUMBER(SEARCH("alphanodus",(E275&amp;" "&amp;F275)))),"Yes","No"))</f>
        <v/>
      </c>
      <c r="P275" s="34" t="str">
        <f aca="false">IF(D275="","",IF(O275="Yes","No",IF(OR(AND(F275&lt;&gt;"",COUNTIF('Target &amp; Team Lists'!$A$5:$A$504,F275)&gt;0),COUNTIF('Target &amp; Team Lists'!$E$5:$E$504,D275)&gt;0),"Yes",IF(AND(SUMPRODUCT(('Target &amp; Team Lists'!$N$5:$N$60&lt;&gt;"")*ISNUMBER(SEARCH('Target &amp; Team Lists'!$N$5:$N$60,(E275&amp;" "&amp;F275))))&gt;0,SUMPRODUCT(('Target &amp; Team Lists'!$O$5:$O$60&lt;&gt;"")*ISNUMBER(SEARCH('Target &amp; Team Lists'!$O$5:$O$60,(E275&amp;" "&amp;F275))))=0),"Yes","No"))))</f>
        <v/>
      </c>
      <c r="Q275" s="32"/>
    </row>
    <row r="276" customFormat="false" ht="15" hidden="false" customHeight="false" outlineLevel="0" collapsed="false">
      <c r="A276" s="30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3" t="str">
        <f aca="false">IF(D276="","",IF(SUM(I276:L276)&gt;0,1,0))</f>
        <v/>
      </c>
      <c r="O276" s="34" t="str">
        <f aca="false">IF(D276="","",IF(OR(COUNTIF('Target &amp; Team Lists'!$J$5:$J$204,D276)&gt;0,AND(H276&lt;&gt;"",COUNTIF('Target &amp; Team Lists'!$L$5:$L$204,H276)&gt;0),ISNUMBER(SEARCH("alpha nodus",(E276&amp;" "&amp;F276))),ISNUMBER(SEARCH("alphanodus",(E276&amp;" "&amp;F276)))),"Yes","No"))</f>
        <v/>
      </c>
      <c r="P276" s="34" t="str">
        <f aca="false">IF(D276="","",IF(O276="Yes","No",IF(OR(AND(F276&lt;&gt;"",COUNTIF('Target &amp; Team Lists'!$A$5:$A$504,F276)&gt;0),COUNTIF('Target &amp; Team Lists'!$E$5:$E$504,D276)&gt;0),"Yes",IF(AND(SUMPRODUCT(('Target &amp; Team Lists'!$N$5:$N$60&lt;&gt;"")*ISNUMBER(SEARCH('Target &amp; Team Lists'!$N$5:$N$60,(E276&amp;" "&amp;F276))))&gt;0,SUMPRODUCT(('Target &amp; Team Lists'!$O$5:$O$60&lt;&gt;"")*ISNUMBER(SEARCH('Target &amp; Team Lists'!$O$5:$O$60,(E276&amp;" "&amp;F276))))=0),"Yes","No"))))</f>
        <v/>
      </c>
      <c r="Q276" s="32"/>
    </row>
    <row r="277" customFormat="false" ht="15" hidden="false" customHeight="false" outlineLevel="0" collapsed="false">
      <c r="A277" s="30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3" t="str">
        <f aca="false">IF(D277="","",IF(SUM(I277:L277)&gt;0,1,0))</f>
        <v/>
      </c>
      <c r="O277" s="34" t="str">
        <f aca="false">IF(D277="","",IF(OR(COUNTIF('Target &amp; Team Lists'!$J$5:$J$204,D277)&gt;0,AND(H277&lt;&gt;"",COUNTIF('Target &amp; Team Lists'!$L$5:$L$204,H277)&gt;0),ISNUMBER(SEARCH("alpha nodus",(E277&amp;" "&amp;F277))),ISNUMBER(SEARCH("alphanodus",(E277&amp;" "&amp;F277)))),"Yes","No"))</f>
        <v/>
      </c>
      <c r="P277" s="34" t="str">
        <f aca="false">IF(D277="","",IF(O277="Yes","No",IF(OR(AND(F277&lt;&gt;"",COUNTIF('Target &amp; Team Lists'!$A$5:$A$504,F277)&gt;0),COUNTIF('Target &amp; Team Lists'!$E$5:$E$504,D277)&gt;0),"Yes",IF(AND(SUMPRODUCT(('Target &amp; Team Lists'!$N$5:$N$60&lt;&gt;"")*ISNUMBER(SEARCH('Target &amp; Team Lists'!$N$5:$N$60,(E277&amp;" "&amp;F277))))&gt;0,SUMPRODUCT(('Target &amp; Team Lists'!$O$5:$O$60&lt;&gt;"")*ISNUMBER(SEARCH('Target &amp; Team Lists'!$O$5:$O$60,(E277&amp;" "&amp;F277))))=0),"Yes","No"))))</f>
        <v/>
      </c>
      <c r="Q277" s="32"/>
    </row>
    <row r="278" customFormat="false" ht="15" hidden="false" customHeight="false" outlineLevel="0" collapsed="false">
      <c r="A278" s="30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3" t="str">
        <f aca="false">IF(D278="","",IF(SUM(I278:L278)&gt;0,1,0))</f>
        <v/>
      </c>
      <c r="O278" s="34" t="str">
        <f aca="false">IF(D278="","",IF(OR(COUNTIF('Target &amp; Team Lists'!$J$5:$J$204,D278)&gt;0,AND(H278&lt;&gt;"",COUNTIF('Target &amp; Team Lists'!$L$5:$L$204,H278)&gt;0),ISNUMBER(SEARCH("alpha nodus",(E278&amp;" "&amp;F278))),ISNUMBER(SEARCH("alphanodus",(E278&amp;" "&amp;F278)))),"Yes","No"))</f>
        <v/>
      </c>
      <c r="P278" s="34" t="str">
        <f aca="false">IF(D278="","",IF(O278="Yes","No",IF(OR(AND(F278&lt;&gt;"",COUNTIF('Target &amp; Team Lists'!$A$5:$A$504,F278)&gt;0),COUNTIF('Target &amp; Team Lists'!$E$5:$E$504,D278)&gt;0),"Yes",IF(AND(SUMPRODUCT(('Target &amp; Team Lists'!$N$5:$N$60&lt;&gt;"")*ISNUMBER(SEARCH('Target &amp; Team Lists'!$N$5:$N$60,(E278&amp;" "&amp;F278))))&gt;0,SUMPRODUCT(('Target &amp; Team Lists'!$O$5:$O$60&lt;&gt;"")*ISNUMBER(SEARCH('Target &amp; Team Lists'!$O$5:$O$60,(E278&amp;" "&amp;F278))))=0),"Yes","No"))))</f>
        <v/>
      </c>
      <c r="Q278" s="32"/>
    </row>
    <row r="279" customFormat="false" ht="15" hidden="false" customHeight="false" outlineLevel="0" collapsed="false">
      <c r="A279" s="30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3" t="str">
        <f aca="false">IF(D279="","",IF(SUM(I279:L279)&gt;0,1,0))</f>
        <v/>
      </c>
      <c r="O279" s="34" t="str">
        <f aca="false">IF(D279="","",IF(OR(COUNTIF('Target &amp; Team Lists'!$J$5:$J$204,D279)&gt;0,AND(H279&lt;&gt;"",COUNTIF('Target &amp; Team Lists'!$L$5:$L$204,H279)&gt;0),ISNUMBER(SEARCH("alpha nodus",(E279&amp;" "&amp;F279))),ISNUMBER(SEARCH("alphanodus",(E279&amp;" "&amp;F279)))),"Yes","No"))</f>
        <v/>
      </c>
      <c r="P279" s="34" t="str">
        <f aca="false">IF(D279="","",IF(O279="Yes","No",IF(OR(AND(F279&lt;&gt;"",COUNTIF('Target &amp; Team Lists'!$A$5:$A$504,F279)&gt;0),COUNTIF('Target &amp; Team Lists'!$E$5:$E$504,D279)&gt;0),"Yes",IF(AND(SUMPRODUCT(('Target &amp; Team Lists'!$N$5:$N$60&lt;&gt;"")*ISNUMBER(SEARCH('Target &amp; Team Lists'!$N$5:$N$60,(E279&amp;" "&amp;F279))))&gt;0,SUMPRODUCT(('Target &amp; Team Lists'!$O$5:$O$60&lt;&gt;"")*ISNUMBER(SEARCH('Target &amp; Team Lists'!$O$5:$O$60,(E279&amp;" "&amp;F279))))=0),"Yes","No"))))</f>
        <v/>
      </c>
      <c r="Q279" s="32"/>
    </row>
    <row r="280" customFormat="false" ht="15" hidden="false" customHeight="false" outlineLevel="0" collapsed="false">
      <c r="A280" s="30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3" t="str">
        <f aca="false">IF(D280="","",IF(SUM(I280:L280)&gt;0,1,0))</f>
        <v/>
      </c>
      <c r="O280" s="34" t="str">
        <f aca="false">IF(D280="","",IF(OR(COUNTIF('Target &amp; Team Lists'!$J$5:$J$204,D280)&gt;0,AND(H280&lt;&gt;"",COUNTIF('Target &amp; Team Lists'!$L$5:$L$204,H280)&gt;0),ISNUMBER(SEARCH("alpha nodus",(E280&amp;" "&amp;F280))),ISNUMBER(SEARCH("alphanodus",(E280&amp;" "&amp;F280)))),"Yes","No"))</f>
        <v/>
      </c>
      <c r="P280" s="34" t="str">
        <f aca="false">IF(D280="","",IF(O280="Yes","No",IF(OR(AND(F280&lt;&gt;"",COUNTIF('Target &amp; Team Lists'!$A$5:$A$504,F280)&gt;0),COUNTIF('Target &amp; Team Lists'!$E$5:$E$504,D280)&gt;0),"Yes",IF(AND(SUMPRODUCT(('Target &amp; Team Lists'!$N$5:$N$60&lt;&gt;"")*ISNUMBER(SEARCH('Target &amp; Team Lists'!$N$5:$N$60,(E280&amp;" "&amp;F280))))&gt;0,SUMPRODUCT(('Target &amp; Team Lists'!$O$5:$O$60&lt;&gt;"")*ISNUMBER(SEARCH('Target &amp; Team Lists'!$O$5:$O$60,(E280&amp;" "&amp;F280))))=0),"Yes","No"))))</f>
        <v/>
      </c>
      <c r="Q280" s="32"/>
    </row>
    <row r="281" customFormat="false" ht="15" hidden="false" customHeight="false" outlineLevel="0" collapsed="false">
      <c r="A281" s="30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3" t="str">
        <f aca="false">IF(D281="","",IF(SUM(I281:L281)&gt;0,1,0))</f>
        <v/>
      </c>
      <c r="O281" s="34" t="str">
        <f aca="false">IF(D281="","",IF(OR(COUNTIF('Target &amp; Team Lists'!$J$5:$J$204,D281)&gt;0,AND(H281&lt;&gt;"",COUNTIF('Target &amp; Team Lists'!$L$5:$L$204,H281)&gt;0),ISNUMBER(SEARCH("alpha nodus",(E281&amp;" "&amp;F281))),ISNUMBER(SEARCH("alphanodus",(E281&amp;" "&amp;F281)))),"Yes","No"))</f>
        <v/>
      </c>
      <c r="P281" s="34" t="str">
        <f aca="false">IF(D281="","",IF(O281="Yes","No",IF(OR(AND(F281&lt;&gt;"",COUNTIF('Target &amp; Team Lists'!$A$5:$A$504,F281)&gt;0),COUNTIF('Target &amp; Team Lists'!$E$5:$E$504,D281)&gt;0),"Yes",IF(AND(SUMPRODUCT(('Target &amp; Team Lists'!$N$5:$N$60&lt;&gt;"")*ISNUMBER(SEARCH('Target &amp; Team Lists'!$N$5:$N$60,(E281&amp;" "&amp;F281))))&gt;0,SUMPRODUCT(('Target &amp; Team Lists'!$O$5:$O$60&lt;&gt;"")*ISNUMBER(SEARCH('Target &amp; Team Lists'!$O$5:$O$60,(E281&amp;" "&amp;F281))))=0),"Yes","No"))))</f>
        <v/>
      </c>
      <c r="Q281" s="32"/>
    </row>
    <row r="282" customFormat="false" ht="15" hidden="false" customHeight="false" outlineLevel="0" collapsed="false">
      <c r="A282" s="30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3" t="str">
        <f aca="false">IF(D282="","",IF(SUM(I282:L282)&gt;0,1,0))</f>
        <v/>
      </c>
      <c r="O282" s="34" t="str">
        <f aca="false">IF(D282="","",IF(OR(COUNTIF('Target &amp; Team Lists'!$J$5:$J$204,D282)&gt;0,AND(H282&lt;&gt;"",COUNTIF('Target &amp; Team Lists'!$L$5:$L$204,H282)&gt;0),ISNUMBER(SEARCH("alpha nodus",(E282&amp;" "&amp;F282))),ISNUMBER(SEARCH("alphanodus",(E282&amp;" "&amp;F282)))),"Yes","No"))</f>
        <v/>
      </c>
      <c r="P282" s="34" t="str">
        <f aca="false">IF(D282="","",IF(O282="Yes","No",IF(OR(AND(F282&lt;&gt;"",COUNTIF('Target &amp; Team Lists'!$A$5:$A$504,F282)&gt;0),COUNTIF('Target &amp; Team Lists'!$E$5:$E$504,D282)&gt;0),"Yes",IF(AND(SUMPRODUCT(('Target &amp; Team Lists'!$N$5:$N$60&lt;&gt;"")*ISNUMBER(SEARCH('Target &amp; Team Lists'!$N$5:$N$60,(E282&amp;" "&amp;F282))))&gt;0,SUMPRODUCT(('Target &amp; Team Lists'!$O$5:$O$60&lt;&gt;"")*ISNUMBER(SEARCH('Target &amp; Team Lists'!$O$5:$O$60,(E282&amp;" "&amp;F282))))=0),"Yes","No"))))</f>
        <v/>
      </c>
      <c r="Q282" s="32"/>
    </row>
    <row r="283" customFormat="false" ht="15" hidden="false" customHeight="false" outlineLevel="0" collapsed="false">
      <c r="A283" s="30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3" t="str">
        <f aca="false">IF(D283="","",IF(SUM(I283:L283)&gt;0,1,0))</f>
        <v/>
      </c>
      <c r="O283" s="34" t="str">
        <f aca="false">IF(D283="","",IF(OR(COUNTIF('Target &amp; Team Lists'!$J$5:$J$204,D283)&gt;0,AND(H283&lt;&gt;"",COUNTIF('Target &amp; Team Lists'!$L$5:$L$204,H283)&gt;0),ISNUMBER(SEARCH("alpha nodus",(E283&amp;" "&amp;F283))),ISNUMBER(SEARCH("alphanodus",(E283&amp;" "&amp;F283)))),"Yes","No"))</f>
        <v/>
      </c>
      <c r="P283" s="34" t="str">
        <f aca="false">IF(D283="","",IF(O283="Yes","No",IF(OR(AND(F283&lt;&gt;"",COUNTIF('Target &amp; Team Lists'!$A$5:$A$504,F283)&gt;0),COUNTIF('Target &amp; Team Lists'!$E$5:$E$504,D283)&gt;0),"Yes",IF(AND(SUMPRODUCT(('Target &amp; Team Lists'!$N$5:$N$60&lt;&gt;"")*ISNUMBER(SEARCH('Target &amp; Team Lists'!$N$5:$N$60,(E283&amp;" "&amp;F283))))&gt;0,SUMPRODUCT(('Target &amp; Team Lists'!$O$5:$O$60&lt;&gt;"")*ISNUMBER(SEARCH('Target &amp; Team Lists'!$O$5:$O$60,(E283&amp;" "&amp;F283))))=0),"Yes","No"))))</f>
        <v/>
      </c>
      <c r="Q283" s="32"/>
    </row>
    <row r="284" customFormat="false" ht="15" hidden="false" customHeight="false" outlineLevel="0" collapsed="false">
      <c r="A284" s="30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3" t="str">
        <f aca="false">IF(D284="","",IF(SUM(I284:L284)&gt;0,1,0))</f>
        <v/>
      </c>
      <c r="O284" s="34" t="str">
        <f aca="false">IF(D284="","",IF(OR(COUNTIF('Target &amp; Team Lists'!$J$5:$J$204,D284)&gt;0,AND(H284&lt;&gt;"",COUNTIF('Target &amp; Team Lists'!$L$5:$L$204,H284)&gt;0),ISNUMBER(SEARCH("alpha nodus",(E284&amp;" "&amp;F284))),ISNUMBER(SEARCH("alphanodus",(E284&amp;" "&amp;F284)))),"Yes","No"))</f>
        <v/>
      </c>
      <c r="P284" s="34" t="str">
        <f aca="false">IF(D284="","",IF(O284="Yes","No",IF(OR(AND(F284&lt;&gt;"",COUNTIF('Target &amp; Team Lists'!$A$5:$A$504,F284)&gt;0),COUNTIF('Target &amp; Team Lists'!$E$5:$E$504,D284)&gt;0),"Yes",IF(AND(SUMPRODUCT(('Target &amp; Team Lists'!$N$5:$N$60&lt;&gt;"")*ISNUMBER(SEARCH('Target &amp; Team Lists'!$N$5:$N$60,(E284&amp;" "&amp;F284))))&gt;0,SUMPRODUCT(('Target &amp; Team Lists'!$O$5:$O$60&lt;&gt;"")*ISNUMBER(SEARCH('Target &amp; Team Lists'!$O$5:$O$60,(E284&amp;" "&amp;F284))))=0),"Yes","No"))))</f>
        <v/>
      </c>
      <c r="Q284" s="32"/>
    </row>
    <row r="285" customFormat="false" ht="15" hidden="false" customHeight="false" outlineLevel="0" collapsed="false">
      <c r="A285" s="30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3" t="str">
        <f aca="false">IF(D285="","",IF(SUM(I285:L285)&gt;0,1,0))</f>
        <v/>
      </c>
      <c r="O285" s="34" t="str">
        <f aca="false">IF(D285="","",IF(OR(COUNTIF('Target &amp; Team Lists'!$J$5:$J$204,D285)&gt;0,AND(H285&lt;&gt;"",COUNTIF('Target &amp; Team Lists'!$L$5:$L$204,H285)&gt;0),ISNUMBER(SEARCH("alpha nodus",(E285&amp;" "&amp;F285))),ISNUMBER(SEARCH("alphanodus",(E285&amp;" "&amp;F285)))),"Yes","No"))</f>
        <v/>
      </c>
      <c r="P285" s="34" t="str">
        <f aca="false">IF(D285="","",IF(O285="Yes","No",IF(OR(AND(F285&lt;&gt;"",COUNTIF('Target &amp; Team Lists'!$A$5:$A$504,F285)&gt;0),COUNTIF('Target &amp; Team Lists'!$E$5:$E$504,D285)&gt;0),"Yes",IF(AND(SUMPRODUCT(('Target &amp; Team Lists'!$N$5:$N$60&lt;&gt;"")*ISNUMBER(SEARCH('Target &amp; Team Lists'!$N$5:$N$60,(E285&amp;" "&amp;F285))))&gt;0,SUMPRODUCT(('Target &amp; Team Lists'!$O$5:$O$60&lt;&gt;"")*ISNUMBER(SEARCH('Target &amp; Team Lists'!$O$5:$O$60,(E285&amp;" "&amp;F285))))=0),"Yes","No"))))</f>
        <v/>
      </c>
      <c r="Q285" s="32"/>
    </row>
    <row r="286" customFormat="false" ht="15" hidden="false" customHeight="false" outlineLevel="0" collapsed="false">
      <c r="A286" s="30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3" t="str">
        <f aca="false">IF(D286="","",IF(SUM(I286:L286)&gt;0,1,0))</f>
        <v/>
      </c>
      <c r="O286" s="34" t="str">
        <f aca="false">IF(D286="","",IF(OR(COUNTIF('Target &amp; Team Lists'!$J$5:$J$204,D286)&gt;0,AND(H286&lt;&gt;"",COUNTIF('Target &amp; Team Lists'!$L$5:$L$204,H286)&gt;0),ISNUMBER(SEARCH("alpha nodus",(E286&amp;" "&amp;F286))),ISNUMBER(SEARCH("alphanodus",(E286&amp;" "&amp;F286)))),"Yes","No"))</f>
        <v/>
      </c>
      <c r="P286" s="34" t="str">
        <f aca="false">IF(D286="","",IF(O286="Yes","No",IF(OR(AND(F286&lt;&gt;"",COUNTIF('Target &amp; Team Lists'!$A$5:$A$504,F286)&gt;0),COUNTIF('Target &amp; Team Lists'!$E$5:$E$504,D286)&gt;0),"Yes",IF(AND(SUMPRODUCT(('Target &amp; Team Lists'!$N$5:$N$60&lt;&gt;"")*ISNUMBER(SEARCH('Target &amp; Team Lists'!$N$5:$N$60,(E286&amp;" "&amp;F286))))&gt;0,SUMPRODUCT(('Target &amp; Team Lists'!$O$5:$O$60&lt;&gt;"")*ISNUMBER(SEARCH('Target &amp; Team Lists'!$O$5:$O$60,(E286&amp;" "&amp;F286))))=0),"Yes","No"))))</f>
        <v/>
      </c>
      <c r="Q286" s="32"/>
    </row>
    <row r="287" customFormat="false" ht="15" hidden="false" customHeight="false" outlineLevel="0" collapsed="false">
      <c r="A287" s="30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3" t="str">
        <f aca="false">IF(D287="","",IF(SUM(I287:L287)&gt;0,1,0))</f>
        <v/>
      </c>
      <c r="O287" s="34" t="str">
        <f aca="false">IF(D287="","",IF(OR(COUNTIF('Target &amp; Team Lists'!$J$5:$J$204,D287)&gt;0,AND(H287&lt;&gt;"",COUNTIF('Target &amp; Team Lists'!$L$5:$L$204,H287)&gt;0),ISNUMBER(SEARCH("alpha nodus",(E287&amp;" "&amp;F287))),ISNUMBER(SEARCH("alphanodus",(E287&amp;" "&amp;F287)))),"Yes","No"))</f>
        <v/>
      </c>
      <c r="P287" s="34" t="str">
        <f aca="false">IF(D287="","",IF(O287="Yes","No",IF(OR(AND(F287&lt;&gt;"",COUNTIF('Target &amp; Team Lists'!$A$5:$A$504,F287)&gt;0),COUNTIF('Target &amp; Team Lists'!$E$5:$E$504,D287)&gt;0),"Yes",IF(AND(SUMPRODUCT(('Target &amp; Team Lists'!$N$5:$N$60&lt;&gt;"")*ISNUMBER(SEARCH('Target &amp; Team Lists'!$N$5:$N$60,(E287&amp;" "&amp;F287))))&gt;0,SUMPRODUCT(('Target &amp; Team Lists'!$O$5:$O$60&lt;&gt;"")*ISNUMBER(SEARCH('Target &amp; Team Lists'!$O$5:$O$60,(E287&amp;" "&amp;F287))))=0),"Yes","No"))))</f>
        <v/>
      </c>
      <c r="Q287" s="32"/>
    </row>
    <row r="288" customFormat="false" ht="15" hidden="false" customHeight="false" outlineLevel="0" collapsed="false">
      <c r="A288" s="30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3" t="str">
        <f aca="false">IF(D288="","",IF(SUM(I288:L288)&gt;0,1,0))</f>
        <v/>
      </c>
      <c r="O288" s="34" t="str">
        <f aca="false">IF(D288="","",IF(OR(COUNTIF('Target &amp; Team Lists'!$J$5:$J$204,D288)&gt;0,AND(H288&lt;&gt;"",COUNTIF('Target &amp; Team Lists'!$L$5:$L$204,H288)&gt;0),ISNUMBER(SEARCH("alpha nodus",(E288&amp;" "&amp;F288))),ISNUMBER(SEARCH("alphanodus",(E288&amp;" "&amp;F288)))),"Yes","No"))</f>
        <v/>
      </c>
      <c r="P288" s="34" t="str">
        <f aca="false">IF(D288="","",IF(O288="Yes","No",IF(OR(AND(F288&lt;&gt;"",COUNTIF('Target &amp; Team Lists'!$A$5:$A$504,F288)&gt;0),COUNTIF('Target &amp; Team Lists'!$E$5:$E$504,D288)&gt;0),"Yes",IF(AND(SUMPRODUCT(('Target &amp; Team Lists'!$N$5:$N$60&lt;&gt;"")*ISNUMBER(SEARCH('Target &amp; Team Lists'!$N$5:$N$60,(E288&amp;" "&amp;F288))))&gt;0,SUMPRODUCT(('Target &amp; Team Lists'!$O$5:$O$60&lt;&gt;"")*ISNUMBER(SEARCH('Target &amp; Team Lists'!$O$5:$O$60,(E288&amp;" "&amp;F288))))=0),"Yes","No"))))</f>
        <v/>
      </c>
      <c r="Q288" s="32"/>
    </row>
    <row r="289" customFormat="false" ht="15" hidden="false" customHeight="false" outlineLevel="0" collapsed="false">
      <c r="A289" s="30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3" t="str">
        <f aca="false">IF(D289="","",IF(SUM(I289:L289)&gt;0,1,0))</f>
        <v/>
      </c>
      <c r="O289" s="34" t="str">
        <f aca="false">IF(D289="","",IF(OR(COUNTIF('Target &amp; Team Lists'!$J$5:$J$204,D289)&gt;0,AND(H289&lt;&gt;"",COUNTIF('Target &amp; Team Lists'!$L$5:$L$204,H289)&gt;0),ISNUMBER(SEARCH("alpha nodus",(E289&amp;" "&amp;F289))),ISNUMBER(SEARCH("alphanodus",(E289&amp;" "&amp;F289)))),"Yes","No"))</f>
        <v/>
      </c>
      <c r="P289" s="34" t="str">
        <f aca="false">IF(D289="","",IF(O289="Yes","No",IF(OR(AND(F289&lt;&gt;"",COUNTIF('Target &amp; Team Lists'!$A$5:$A$504,F289)&gt;0),COUNTIF('Target &amp; Team Lists'!$E$5:$E$504,D289)&gt;0),"Yes",IF(AND(SUMPRODUCT(('Target &amp; Team Lists'!$N$5:$N$60&lt;&gt;"")*ISNUMBER(SEARCH('Target &amp; Team Lists'!$N$5:$N$60,(E289&amp;" "&amp;F289))))&gt;0,SUMPRODUCT(('Target &amp; Team Lists'!$O$5:$O$60&lt;&gt;"")*ISNUMBER(SEARCH('Target &amp; Team Lists'!$O$5:$O$60,(E289&amp;" "&amp;F289))))=0),"Yes","No"))))</f>
        <v/>
      </c>
      <c r="Q289" s="32"/>
    </row>
    <row r="290" customFormat="false" ht="15" hidden="false" customHeight="false" outlineLevel="0" collapsed="false">
      <c r="A290" s="30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3" t="str">
        <f aca="false">IF(D290="","",IF(SUM(I290:L290)&gt;0,1,0))</f>
        <v/>
      </c>
      <c r="O290" s="34" t="str">
        <f aca="false">IF(D290="","",IF(OR(COUNTIF('Target &amp; Team Lists'!$J$5:$J$204,D290)&gt;0,AND(H290&lt;&gt;"",COUNTIF('Target &amp; Team Lists'!$L$5:$L$204,H290)&gt;0),ISNUMBER(SEARCH("alpha nodus",(E290&amp;" "&amp;F290))),ISNUMBER(SEARCH("alphanodus",(E290&amp;" "&amp;F290)))),"Yes","No"))</f>
        <v/>
      </c>
      <c r="P290" s="34" t="str">
        <f aca="false">IF(D290="","",IF(O290="Yes","No",IF(OR(AND(F290&lt;&gt;"",COUNTIF('Target &amp; Team Lists'!$A$5:$A$504,F290)&gt;0),COUNTIF('Target &amp; Team Lists'!$E$5:$E$504,D290)&gt;0),"Yes",IF(AND(SUMPRODUCT(('Target &amp; Team Lists'!$N$5:$N$60&lt;&gt;"")*ISNUMBER(SEARCH('Target &amp; Team Lists'!$N$5:$N$60,(E290&amp;" "&amp;F290))))&gt;0,SUMPRODUCT(('Target &amp; Team Lists'!$O$5:$O$60&lt;&gt;"")*ISNUMBER(SEARCH('Target &amp; Team Lists'!$O$5:$O$60,(E290&amp;" "&amp;F290))))=0),"Yes","No"))))</f>
        <v/>
      </c>
      <c r="Q290" s="32"/>
    </row>
    <row r="291" customFormat="false" ht="15" hidden="false" customHeight="false" outlineLevel="0" collapsed="false">
      <c r="A291" s="30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3" t="str">
        <f aca="false">IF(D291="","",IF(SUM(I291:L291)&gt;0,1,0))</f>
        <v/>
      </c>
      <c r="O291" s="34" t="str">
        <f aca="false">IF(D291="","",IF(OR(COUNTIF('Target &amp; Team Lists'!$J$5:$J$204,D291)&gt;0,AND(H291&lt;&gt;"",COUNTIF('Target &amp; Team Lists'!$L$5:$L$204,H291)&gt;0),ISNUMBER(SEARCH("alpha nodus",(E291&amp;" "&amp;F291))),ISNUMBER(SEARCH("alphanodus",(E291&amp;" "&amp;F291)))),"Yes","No"))</f>
        <v/>
      </c>
      <c r="P291" s="34" t="str">
        <f aca="false">IF(D291="","",IF(O291="Yes","No",IF(OR(AND(F291&lt;&gt;"",COUNTIF('Target &amp; Team Lists'!$A$5:$A$504,F291)&gt;0),COUNTIF('Target &amp; Team Lists'!$E$5:$E$504,D291)&gt;0),"Yes",IF(AND(SUMPRODUCT(('Target &amp; Team Lists'!$N$5:$N$60&lt;&gt;"")*ISNUMBER(SEARCH('Target &amp; Team Lists'!$N$5:$N$60,(E291&amp;" "&amp;F291))))&gt;0,SUMPRODUCT(('Target &amp; Team Lists'!$O$5:$O$60&lt;&gt;"")*ISNUMBER(SEARCH('Target &amp; Team Lists'!$O$5:$O$60,(E291&amp;" "&amp;F291))))=0),"Yes","No"))))</f>
        <v/>
      </c>
      <c r="Q291" s="32"/>
    </row>
    <row r="292" customFormat="false" ht="15" hidden="false" customHeight="false" outlineLevel="0" collapsed="false">
      <c r="A292" s="30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3" t="str">
        <f aca="false">IF(D292="","",IF(SUM(I292:L292)&gt;0,1,0))</f>
        <v/>
      </c>
      <c r="O292" s="34" t="str">
        <f aca="false">IF(D292="","",IF(OR(COUNTIF('Target &amp; Team Lists'!$J$5:$J$204,D292)&gt;0,AND(H292&lt;&gt;"",COUNTIF('Target &amp; Team Lists'!$L$5:$L$204,H292)&gt;0),ISNUMBER(SEARCH("alpha nodus",(E292&amp;" "&amp;F292))),ISNUMBER(SEARCH("alphanodus",(E292&amp;" "&amp;F292)))),"Yes","No"))</f>
        <v/>
      </c>
      <c r="P292" s="34" t="str">
        <f aca="false">IF(D292="","",IF(O292="Yes","No",IF(OR(AND(F292&lt;&gt;"",COUNTIF('Target &amp; Team Lists'!$A$5:$A$504,F292)&gt;0),COUNTIF('Target &amp; Team Lists'!$E$5:$E$504,D292)&gt;0),"Yes",IF(AND(SUMPRODUCT(('Target &amp; Team Lists'!$N$5:$N$60&lt;&gt;"")*ISNUMBER(SEARCH('Target &amp; Team Lists'!$N$5:$N$60,(E292&amp;" "&amp;F292))))&gt;0,SUMPRODUCT(('Target &amp; Team Lists'!$O$5:$O$60&lt;&gt;"")*ISNUMBER(SEARCH('Target &amp; Team Lists'!$O$5:$O$60,(E292&amp;" "&amp;F292))))=0),"Yes","No"))))</f>
        <v/>
      </c>
      <c r="Q292" s="32"/>
    </row>
    <row r="293" customFormat="false" ht="15" hidden="false" customHeight="false" outlineLevel="0" collapsed="false">
      <c r="A293" s="30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3" t="str">
        <f aca="false">IF(D293="","",IF(SUM(I293:L293)&gt;0,1,0))</f>
        <v/>
      </c>
      <c r="O293" s="34" t="str">
        <f aca="false">IF(D293="","",IF(OR(COUNTIF('Target &amp; Team Lists'!$J$5:$J$204,D293)&gt;0,AND(H293&lt;&gt;"",COUNTIF('Target &amp; Team Lists'!$L$5:$L$204,H293)&gt;0),ISNUMBER(SEARCH("alpha nodus",(E293&amp;" "&amp;F293))),ISNUMBER(SEARCH("alphanodus",(E293&amp;" "&amp;F293)))),"Yes","No"))</f>
        <v/>
      </c>
      <c r="P293" s="34" t="str">
        <f aca="false">IF(D293="","",IF(O293="Yes","No",IF(OR(AND(F293&lt;&gt;"",COUNTIF('Target &amp; Team Lists'!$A$5:$A$504,F293)&gt;0),COUNTIF('Target &amp; Team Lists'!$E$5:$E$504,D293)&gt;0),"Yes",IF(AND(SUMPRODUCT(('Target &amp; Team Lists'!$N$5:$N$60&lt;&gt;"")*ISNUMBER(SEARCH('Target &amp; Team Lists'!$N$5:$N$60,(E293&amp;" "&amp;F293))))&gt;0,SUMPRODUCT(('Target &amp; Team Lists'!$O$5:$O$60&lt;&gt;"")*ISNUMBER(SEARCH('Target &amp; Team Lists'!$O$5:$O$60,(E293&amp;" "&amp;F293))))=0),"Yes","No"))))</f>
        <v/>
      </c>
      <c r="Q293" s="32"/>
    </row>
    <row r="294" customFormat="false" ht="15" hidden="false" customHeight="false" outlineLevel="0" collapsed="false">
      <c r="A294" s="30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3" t="str">
        <f aca="false">IF(D294="","",IF(SUM(I294:L294)&gt;0,1,0))</f>
        <v/>
      </c>
      <c r="O294" s="34" t="str">
        <f aca="false">IF(D294="","",IF(OR(COUNTIF('Target &amp; Team Lists'!$J$5:$J$204,D294)&gt;0,AND(H294&lt;&gt;"",COUNTIF('Target &amp; Team Lists'!$L$5:$L$204,H294)&gt;0),ISNUMBER(SEARCH("alpha nodus",(E294&amp;" "&amp;F294))),ISNUMBER(SEARCH("alphanodus",(E294&amp;" "&amp;F294)))),"Yes","No"))</f>
        <v/>
      </c>
      <c r="P294" s="34" t="str">
        <f aca="false">IF(D294="","",IF(O294="Yes","No",IF(OR(AND(F294&lt;&gt;"",COUNTIF('Target &amp; Team Lists'!$A$5:$A$504,F294)&gt;0),COUNTIF('Target &amp; Team Lists'!$E$5:$E$504,D294)&gt;0),"Yes",IF(AND(SUMPRODUCT(('Target &amp; Team Lists'!$N$5:$N$60&lt;&gt;"")*ISNUMBER(SEARCH('Target &amp; Team Lists'!$N$5:$N$60,(E294&amp;" "&amp;F294))))&gt;0,SUMPRODUCT(('Target &amp; Team Lists'!$O$5:$O$60&lt;&gt;"")*ISNUMBER(SEARCH('Target &amp; Team Lists'!$O$5:$O$60,(E294&amp;" "&amp;F294))))=0),"Yes","No"))))</f>
        <v/>
      </c>
      <c r="Q294" s="32"/>
    </row>
    <row r="295" customFormat="false" ht="15" hidden="false" customHeight="false" outlineLevel="0" collapsed="false">
      <c r="A295" s="30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3" t="str">
        <f aca="false">IF(D295="","",IF(SUM(I295:L295)&gt;0,1,0))</f>
        <v/>
      </c>
      <c r="O295" s="34" t="str">
        <f aca="false">IF(D295="","",IF(OR(COUNTIF('Target &amp; Team Lists'!$J$5:$J$204,D295)&gt;0,AND(H295&lt;&gt;"",COUNTIF('Target &amp; Team Lists'!$L$5:$L$204,H295)&gt;0),ISNUMBER(SEARCH("alpha nodus",(E295&amp;" "&amp;F295))),ISNUMBER(SEARCH("alphanodus",(E295&amp;" "&amp;F295)))),"Yes","No"))</f>
        <v/>
      </c>
      <c r="P295" s="34" t="str">
        <f aca="false">IF(D295="","",IF(O295="Yes","No",IF(OR(AND(F295&lt;&gt;"",COUNTIF('Target &amp; Team Lists'!$A$5:$A$504,F295)&gt;0),COUNTIF('Target &amp; Team Lists'!$E$5:$E$504,D295)&gt;0),"Yes",IF(AND(SUMPRODUCT(('Target &amp; Team Lists'!$N$5:$N$60&lt;&gt;"")*ISNUMBER(SEARCH('Target &amp; Team Lists'!$N$5:$N$60,(E295&amp;" "&amp;F295))))&gt;0,SUMPRODUCT(('Target &amp; Team Lists'!$O$5:$O$60&lt;&gt;"")*ISNUMBER(SEARCH('Target &amp; Team Lists'!$O$5:$O$60,(E295&amp;" "&amp;F295))))=0),"Yes","No"))))</f>
        <v/>
      </c>
      <c r="Q295" s="32"/>
    </row>
    <row r="296" customFormat="false" ht="15" hidden="false" customHeight="false" outlineLevel="0" collapsed="false">
      <c r="A296" s="30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3" t="str">
        <f aca="false">IF(D296="","",IF(SUM(I296:L296)&gt;0,1,0))</f>
        <v/>
      </c>
      <c r="O296" s="34" t="str">
        <f aca="false">IF(D296="","",IF(OR(COUNTIF('Target &amp; Team Lists'!$J$5:$J$204,D296)&gt;0,AND(H296&lt;&gt;"",COUNTIF('Target &amp; Team Lists'!$L$5:$L$204,H296)&gt;0),ISNUMBER(SEARCH("alpha nodus",(E296&amp;" "&amp;F296))),ISNUMBER(SEARCH("alphanodus",(E296&amp;" "&amp;F296)))),"Yes","No"))</f>
        <v/>
      </c>
      <c r="P296" s="34" t="str">
        <f aca="false">IF(D296="","",IF(O296="Yes","No",IF(OR(AND(F296&lt;&gt;"",COUNTIF('Target &amp; Team Lists'!$A$5:$A$504,F296)&gt;0),COUNTIF('Target &amp; Team Lists'!$E$5:$E$504,D296)&gt;0),"Yes",IF(AND(SUMPRODUCT(('Target &amp; Team Lists'!$N$5:$N$60&lt;&gt;"")*ISNUMBER(SEARCH('Target &amp; Team Lists'!$N$5:$N$60,(E296&amp;" "&amp;F296))))&gt;0,SUMPRODUCT(('Target &amp; Team Lists'!$O$5:$O$60&lt;&gt;"")*ISNUMBER(SEARCH('Target &amp; Team Lists'!$O$5:$O$60,(E296&amp;" "&amp;F296))))=0),"Yes","No"))))</f>
        <v/>
      </c>
      <c r="Q296" s="32"/>
    </row>
    <row r="297" customFormat="false" ht="15" hidden="false" customHeight="false" outlineLevel="0" collapsed="false">
      <c r="A297" s="30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3" t="str">
        <f aca="false">IF(D297="","",IF(SUM(I297:L297)&gt;0,1,0))</f>
        <v/>
      </c>
      <c r="O297" s="34" t="str">
        <f aca="false">IF(D297="","",IF(OR(COUNTIF('Target &amp; Team Lists'!$J$5:$J$204,D297)&gt;0,AND(H297&lt;&gt;"",COUNTIF('Target &amp; Team Lists'!$L$5:$L$204,H297)&gt;0),ISNUMBER(SEARCH("alpha nodus",(E297&amp;" "&amp;F297))),ISNUMBER(SEARCH("alphanodus",(E297&amp;" "&amp;F297)))),"Yes","No"))</f>
        <v/>
      </c>
      <c r="P297" s="34" t="str">
        <f aca="false">IF(D297="","",IF(O297="Yes","No",IF(OR(AND(F297&lt;&gt;"",COUNTIF('Target &amp; Team Lists'!$A$5:$A$504,F297)&gt;0),COUNTIF('Target &amp; Team Lists'!$E$5:$E$504,D297)&gt;0),"Yes",IF(AND(SUMPRODUCT(('Target &amp; Team Lists'!$N$5:$N$60&lt;&gt;"")*ISNUMBER(SEARCH('Target &amp; Team Lists'!$N$5:$N$60,(E297&amp;" "&amp;F297))))&gt;0,SUMPRODUCT(('Target &amp; Team Lists'!$O$5:$O$60&lt;&gt;"")*ISNUMBER(SEARCH('Target &amp; Team Lists'!$O$5:$O$60,(E297&amp;" "&amp;F297))))=0),"Yes","No"))))</f>
        <v/>
      </c>
      <c r="Q297" s="32"/>
    </row>
    <row r="298" customFormat="false" ht="15" hidden="false" customHeight="false" outlineLevel="0" collapsed="false">
      <c r="A298" s="30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3" t="str">
        <f aca="false">IF(D298="","",IF(SUM(I298:L298)&gt;0,1,0))</f>
        <v/>
      </c>
      <c r="O298" s="34" t="str">
        <f aca="false">IF(D298="","",IF(OR(COUNTIF('Target &amp; Team Lists'!$J$5:$J$204,D298)&gt;0,AND(H298&lt;&gt;"",COUNTIF('Target &amp; Team Lists'!$L$5:$L$204,H298)&gt;0),ISNUMBER(SEARCH("alpha nodus",(E298&amp;" "&amp;F298))),ISNUMBER(SEARCH("alphanodus",(E298&amp;" "&amp;F298)))),"Yes","No"))</f>
        <v/>
      </c>
      <c r="P298" s="34" t="str">
        <f aca="false">IF(D298="","",IF(O298="Yes","No",IF(OR(AND(F298&lt;&gt;"",COUNTIF('Target &amp; Team Lists'!$A$5:$A$504,F298)&gt;0),COUNTIF('Target &amp; Team Lists'!$E$5:$E$504,D298)&gt;0),"Yes",IF(AND(SUMPRODUCT(('Target &amp; Team Lists'!$N$5:$N$60&lt;&gt;"")*ISNUMBER(SEARCH('Target &amp; Team Lists'!$N$5:$N$60,(E298&amp;" "&amp;F298))))&gt;0,SUMPRODUCT(('Target &amp; Team Lists'!$O$5:$O$60&lt;&gt;"")*ISNUMBER(SEARCH('Target &amp; Team Lists'!$O$5:$O$60,(E298&amp;" "&amp;F298))))=0),"Yes","No"))))</f>
        <v/>
      </c>
      <c r="Q298" s="32"/>
    </row>
    <row r="299" customFormat="false" ht="15" hidden="false" customHeight="false" outlineLevel="0" collapsed="false">
      <c r="A299" s="30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3" t="str">
        <f aca="false">IF(D299="","",IF(SUM(I299:L299)&gt;0,1,0))</f>
        <v/>
      </c>
      <c r="O299" s="34" t="str">
        <f aca="false">IF(D299="","",IF(OR(COUNTIF('Target &amp; Team Lists'!$J$5:$J$204,D299)&gt;0,AND(H299&lt;&gt;"",COUNTIF('Target &amp; Team Lists'!$L$5:$L$204,H299)&gt;0),ISNUMBER(SEARCH("alpha nodus",(E299&amp;" "&amp;F299))),ISNUMBER(SEARCH("alphanodus",(E299&amp;" "&amp;F299)))),"Yes","No"))</f>
        <v/>
      </c>
      <c r="P299" s="34" t="str">
        <f aca="false">IF(D299="","",IF(O299="Yes","No",IF(OR(AND(F299&lt;&gt;"",COUNTIF('Target &amp; Team Lists'!$A$5:$A$504,F299)&gt;0),COUNTIF('Target &amp; Team Lists'!$E$5:$E$504,D299)&gt;0),"Yes",IF(AND(SUMPRODUCT(('Target &amp; Team Lists'!$N$5:$N$60&lt;&gt;"")*ISNUMBER(SEARCH('Target &amp; Team Lists'!$N$5:$N$60,(E299&amp;" "&amp;F299))))&gt;0,SUMPRODUCT(('Target &amp; Team Lists'!$O$5:$O$60&lt;&gt;"")*ISNUMBER(SEARCH('Target &amp; Team Lists'!$O$5:$O$60,(E299&amp;" "&amp;F299))))=0),"Yes","No"))))</f>
        <v/>
      </c>
      <c r="Q299" s="32"/>
    </row>
    <row r="300" customFormat="false" ht="15" hidden="false" customHeight="false" outlineLevel="0" collapsed="false">
      <c r="A300" s="30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3" t="str">
        <f aca="false">IF(D300="","",IF(SUM(I300:L300)&gt;0,1,0))</f>
        <v/>
      </c>
      <c r="O300" s="34" t="str">
        <f aca="false">IF(D300="","",IF(OR(COUNTIF('Target &amp; Team Lists'!$J$5:$J$204,D300)&gt;0,AND(H300&lt;&gt;"",COUNTIF('Target &amp; Team Lists'!$L$5:$L$204,H300)&gt;0),ISNUMBER(SEARCH("alpha nodus",(E300&amp;" "&amp;F300))),ISNUMBER(SEARCH("alphanodus",(E300&amp;" "&amp;F300)))),"Yes","No"))</f>
        <v/>
      </c>
      <c r="P300" s="34" t="str">
        <f aca="false">IF(D300="","",IF(O300="Yes","No",IF(OR(AND(F300&lt;&gt;"",COUNTIF('Target &amp; Team Lists'!$A$5:$A$504,F300)&gt;0),COUNTIF('Target &amp; Team Lists'!$E$5:$E$504,D300)&gt;0),"Yes",IF(AND(SUMPRODUCT(('Target &amp; Team Lists'!$N$5:$N$60&lt;&gt;"")*ISNUMBER(SEARCH('Target &amp; Team Lists'!$N$5:$N$60,(E300&amp;" "&amp;F300))))&gt;0,SUMPRODUCT(('Target &amp; Team Lists'!$O$5:$O$60&lt;&gt;"")*ISNUMBER(SEARCH('Target &amp; Team Lists'!$O$5:$O$60,(E300&amp;" "&amp;F300))))=0),"Yes","No"))))</f>
        <v/>
      </c>
      <c r="Q300" s="32"/>
    </row>
    <row r="301" customFormat="false" ht="15" hidden="false" customHeight="false" outlineLevel="0" collapsed="false">
      <c r="A301" s="30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3" t="str">
        <f aca="false">IF(D301="","",IF(SUM(I301:L301)&gt;0,1,0))</f>
        <v/>
      </c>
      <c r="O301" s="34" t="str">
        <f aca="false">IF(D301="","",IF(OR(COUNTIF('Target &amp; Team Lists'!$J$5:$J$204,D301)&gt;0,AND(H301&lt;&gt;"",COUNTIF('Target &amp; Team Lists'!$L$5:$L$204,H301)&gt;0),ISNUMBER(SEARCH("alpha nodus",(E301&amp;" "&amp;F301))),ISNUMBER(SEARCH("alphanodus",(E301&amp;" "&amp;F301)))),"Yes","No"))</f>
        <v/>
      </c>
      <c r="P301" s="34" t="str">
        <f aca="false">IF(D301="","",IF(O301="Yes","No",IF(OR(AND(F301&lt;&gt;"",COUNTIF('Target &amp; Team Lists'!$A$5:$A$504,F301)&gt;0),COUNTIF('Target &amp; Team Lists'!$E$5:$E$504,D301)&gt;0),"Yes",IF(AND(SUMPRODUCT(('Target &amp; Team Lists'!$N$5:$N$60&lt;&gt;"")*ISNUMBER(SEARCH('Target &amp; Team Lists'!$N$5:$N$60,(E301&amp;" "&amp;F301))))&gt;0,SUMPRODUCT(('Target &amp; Team Lists'!$O$5:$O$60&lt;&gt;"")*ISNUMBER(SEARCH('Target &amp; Team Lists'!$O$5:$O$60,(E301&amp;" "&amp;F301))))=0),"Yes","No"))))</f>
        <v/>
      </c>
      <c r="Q301" s="32"/>
    </row>
    <row r="302" customFormat="false" ht="15" hidden="false" customHeight="false" outlineLevel="0" collapsed="false">
      <c r="A302" s="30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3" t="str">
        <f aca="false">IF(D302="","",IF(SUM(I302:L302)&gt;0,1,0))</f>
        <v/>
      </c>
      <c r="O302" s="34" t="str">
        <f aca="false">IF(D302="","",IF(OR(COUNTIF('Target &amp; Team Lists'!$J$5:$J$204,D302)&gt;0,AND(H302&lt;&gt;"",COUNTIF('Target &amp; Team Lists'!$L$5:$L$204,H302)&gt;0),ISNUMBER(SEARCH("alpha nodus",(E302&amp;" "&amp;F302))),ISNUMBER(SEARCH("alphanodus",(E302&amp;" "&amp;F302)))),"Yes","No"))</f>
        <v/>
      </c>
      <c r="P302" s="34" t="str">
        <f aca="false">IF(D302="","",IF(O302="Yes","No",IF(OR(AND(F302&lt;&gt;"",COUNTIF('Target &amp; Team Lists'!$A$5:$A$504,F302)&gt;0),COUNTIF('Target &amp; Team Lists'!$E$5:$E$504,D302)&gt;0),"Yes",IF(AND(SUMPRODUCT(('Target &amp; Team Lists'!$N$5:$N$60&lt;&gt;"")*ISNUMBER(SEARCH('Target &amp; Team Lists'!$N$5:$N$60,(E302&amp;" "&amp;F302))))&gt;0,SUMPRODUCT(('Target &amp; Team Lists'!$O$5:$O$60&lt;&gt;"")*ISNUMBER(SEARCH('Target &amp; Team Lists'!$O$5:$O$60,(E302&amp;" "&amp;F302))))=0),"Yes","No"))))</f>
        <v/>
      </c>
      <c r="Q302" s="32"/>
    </row>
    <row r="303" customFormat="false" ht="15" hidden="false" customHeight="false" outlineLevel="0" collapsed="false">
      <c r="A303" s="30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3" t="str">
        <f aca="false">IF(D303="","",IF(SUM(I303:L303)&gt;0,1,0))</f>
        <v/>
      </c>
      <c r="O303" s="34" t="str">
        <f aca="false">IF(D303="","",IF(OR(COUNTIF('Target &amp; Team Lists'!$J$5:$J$204,D303)&gt;0,AND(H303&lt;&gt;"",COUNTIF('Target &amp; Team Lists'!$L$5:$L$204,H303)&gt;0),ISNUMBER(SEARCH("alpha nodus",(E303&amp;" "&amp;F303))),ISNUMBER(SEARCH("alphanodus",(E303&amp;" "&amp;F303)))),"Yes","No"))</f>
        <v/>
      </c>
      <c r="P303" s="34" t="str">
        <f aca="false">IF(D303="","",IF(O303="Yes","No",IF(OR(AND(F303&lt;&gt;"",COUNTIF('Target &amp; Team Lists'!$A$5:$A$504,F303)&gt;0),COUNTIF('Target &amp; Team Lists'!$E$5:$E$504,D303)&gt;0),"Yes",IF(AND(SUMPRODUCT(('Target &amp; Team Lists'!$N$5:$N$60&lt;&gt;"")*ISNUMBER(SEARCH('Target &amp; Team Lists'!$N$5:$N$60,(E303&amp;" "&amp;F303))))&gt;0,SUMPRODUCT(('Target &amp; Team Lists'!$O$5:$O$60&lt;&gt;"")*ISNUMBER(SEARCH('Target &amp; Team Lists'!$O$5:$O$60,(E303&amp;" "&amp;F303))))=0),"Yes","No"))))</f>
        <v/>
      </c>
      <c r="Q303" s="32"/>
    </row>
    <row r="304" customFormat="false" ht="15" hidden="false" customHeight="false" outlineLevel="0" collapsed="false">
      <c r="A304" s="30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3" t="str">
        <f aca="false">IF(D304="","",IF(SUM(I304:L304)&gt;0,1,0))</f>
        <v/>
      </c>
      <c r="O304" s="34" t="str">
        <f aca="false">IF(D304="","",IF(OR(COUNTIF('Target &amp; Team Lists'!$J$5:$J$204,D304)&gt;0,AND(H304&lt;&gt;"",COUNTIF('Target &amp; Team Lists'!$L$5:$L$204,H304)&gt;0),ISNUMBER(SEARCH("alpha nodus",(E304&amp;" "&amp;F304))),ISNUMBER(SEARCH("alphanodus",(E304&amp;" "&amp;F304)))),"Yes","No"))</f>
        <v/>
      </c>
      <c r="P304" s="34" t="str">
        <f aca="false">IF(D304="","",IF(O304="Yes","No",IF(OR(AND(F304&lt;&gt;"",COUNTIF('Target &amp; Team Lists'!$A$5:$A$504,F304)&gt;0),COUNTIF('Target &amp; Team Lists'!$E$5:$E$504,D304)&gt;0),"Yes",IF(AND(SUMPRODUCT(('Target &amp; Team Lists'!$N$5:$N$60&lt;&gt;"")*ISNUMBER(SEARCH('Target &amp; Team Lists'!$N$5:$N$60,(E304&amp;" "&amp;F304))))&gt;0,SUMPRODUCT(('Target &amp; Team Lists'!$O$5:$O$60&lt;&gt;"")*ISNUMBER(SEARCH('Target &amp; Team Lists'!$O$5:$O$60,(E304&amp;" "&amp;F304))))=0),"Yes","No"))))</f>
        <v/>
      </c>
      <c r="Q304" s="32"/>
    </row>
    <row r="305" customFormat="false" ht="15" hidden="false" customHeight="false" outlineLevel="0" collapsed="false">
      <c r="A305" s="30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3" t="str">
        <f aca="false">IF(D305="","",IF(SUM(I305:L305)&gt;0,1,0))</f>
        <v/>
      </c>
      <c r="O305" s="34" t="str">
        <f aca="false">IF(D305="","",IF(OR(COUNTIF('Target &amp; Team Lists'!$J$5:$J$204,D305)&gt;0,AND(H305&lt;&gt;"",COUNTIF('Target &amp; Team Lists'!$L$5:$L$204,H305)&gt;0),ISNUMBER(SEARCH("alpha nodus",(E305&amp;" "&amp;F305))),ISNUMBER(SEARCH("alphanodus",(E305&amp;" "&amp;F305)))),"Yes","No"))</f>
        <v/>
      </c>
      <c r="P305" s="34" t="str">
        <f aca="false">IF(D305="","",IF(O305="Yes","No",IF(OR(AND(F305&lt;&gt;"",COUNTIF('Target &amp; Team Lists'!$A$5:$A$504,F305)&gt;0),COUNTIF('Target &amp; Team Lists'!$E$5:$E$504,D305)&gt;0),"Yes",IF(AND(SUMPRODUCT(('Target &amp; Team Lists'!$N$5:$N$60&lt;&gt;"")*ISNUMBER(SEARCH('Target &amp; Team Lists'!$N$5:$N$60,(E305&amp;" "&amp;F305))))&gt;0,SUMPRODUCT(('Target &amp; Team Lists'!$O$5:$O$60&lt;&gt;"")*ISNUMBER(SEARCH('Target &amp; Team Lists'!$O$5:$O$60,(E305&amp;" "&amp;F305))))=0),"Yes","No"))))</f>
        <v/>
      </c>
      <c r="Q305" s="32"/>
    </row>
    <row r="306" customFormat="false" ht="15" hidden="false" customHeight="false" outlineLevel="0" collapsed="false">
      <c r="A306" s="30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3" t="str">
        <f aca="false">IF(D306="","",IF(SUM(I306:L306)&gt;0,1,0))</f>
        <v/>
      </c>
      <c r="O306" s="34" t="str">
        <f aca="false">IF(D306="","",IF(OR(COUNTIF('Target &amp; Team Lists'!$J$5:$J$204,D306)&gt;0,AND(H306&lt;&gt;"",COUNTIF('Target &amp; Team Lists'!$L$5:$L$204,H306)&gt;0),ISNUMBER(SEARCH("alpha nodus",(E306&amp;" "&amp;F306))),ISNUMBER(SEARCH("alphanodus",(E306&amp;" "&amp;F306)))),"Yes","No"))</f>
        <v/>
      </c>
      <c r="P306" s="34" t="str">
        <f aca="false">IF(D306="","",IF(O306="Yes","No",IF(OR(AND(F306&lt;&gt;"",COUNTIF('Target &amp; Team Lists'!$A$5:$A$504,F306)&gt;0),COUNTIF('Target &amp; Team Lists'!$E$5:$E$504,D306)&gt;0),"Yes",IF(AND(SUMPRODUCT(('Target &amp; Team Lists'!$N$5:$N$60&lt;&gt;"")*ISNUMBER(SEARCH('Target &amp; Team Lists'!$N$5:$N$60,(E306&amp;" "&amp;F306))))&gt;0,SUMPRODUCT(('Target &amp; Team Lists'!$O$5:$O$60&lt;&gt;"")*ISNUMBER(SEARCH('Target &amp; Team Lists'!$O$5:$O$60,(E306&amp;" "&amp;F306))))=0),"Yes","No"))))</f>
        <v/>
      </c>
      <c r="Q306" s="32"/>
    </row>
    <row r="307" customFormat="false" ht="15" hidden="false" customHeight="false" outlineLevel="0" collapsed="false">
      <c r="A307" s="30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3" t="str">
        <f aca="false">IF(D307="","",IF(SUM(I307:L307)&gt;0,1,0))</f>
        <v/>
      </c>
      <c r="O307" s="34" t="str">
        <f aca="false">IF(D307="","",IF(OR(COUNTIF('Target &amp; Team Lists'!$J$5:$J$204,D307)&gt;0,AND(H307&lt;&gt;"",COUNTIF('Target &amp; Team Lists'!$L$5:$L$204,H307)&gt;0),ISNUMBER(SEARCH("alpha nodus",(E307&amp;" "&amp;F307))),ISNUMBER(SEARCH("alphanodus",(E307&amp;" "&amp;F307)))),"Yes","No"))</f>
        <v/>
      </c>
      <c r="P307" s="34" t="str">
        <f aca="false">IF(D307="","",IF(O307="Yes","No",IF(OR(AND(F307&lt;&gt;"",COUNTIF('Target &amp; Team Lists'!$A$5:$A$504,F307)&gt;0),COUNTIF('Target &amp; Team Lists'!$E$5:$E$504,D307)&gt;0),"Yes",IF(AND(SUMPRODUCT(('Target &amp; Team Lists'!$N$5:$N$60&lt;&gt;"")*ISNUMBER(SEARCH('Target &amp; Team Lists'!$N$5:$N$60,(E307&amp;" "&amp;F307))))&gt;0,SUMPRODUCT(('Target &amp; Team Lists'!$O$5:$O$60&lt;&gt;"")*ISNUMBER(SEARCH('Target &amp; Team Lists'!$O$5:$O$60,(E307&amp;" "&amp;F307))))=0),"Yes","No"))))</f>
        <v/>
      </c>
      <c r="Q307" s="32"/>
    </row>
    <row r="308" customFormat="false" ht="15" hidden="false" customHeight="false" outlineLevel="0" collapsed="false">
      <c r="A308" s="30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3" t="str">
        <f aca="false">IF(D308="","",IF(SUM(I308:L308)&gt;0,1,0))</f>
        <v/>
      </c>
      <c r="O308" s="34" t="str">
        <f aca="false">IF(D308="","",IF(OR(COUNTIF('Target &amp; Team Lists'!$J$5:$J$204,D308)&gt;0,AND(H308&lt;&gt;"",COUNTIF('Target &amp; Team Lists'!$L$5:$L$204,H308)&gt;0),ISNUMBER(SEARCH("alpha nodus",(E308&amp;" "&amp;F308))),ISNUMBER(SEARCH("alphanodus",(E308&amp;" "&amp;F308)))),"Yes","No"))</f>
        <v/>
      </c>
      <c r="P308" s="34" t="str">
        <f aca="false">IF(D308="","",IF(O308="Yes","No",IF(OR(AND(F308&lt;&gt;"",COUNTIF('Target &amp; Team Lists'!$A$5:$A$504,F308)&gt;0),COUNTIF('Target &amp; Team Lists'!$E$5:$E$504,D308)&gt;0),"Yes",IF(AND(SUMPRODUCT(('Target &amp; Team Lists'!$N$5:$N$60&lt;&gt;"")*ISNUMBER(SEARCH('Target &amp; Team Lists'!$N$5:$N$60,(E308&amp;" "&amp;F308))))&gt;0,SUMPRODUCT(('Target &amp; Team Lists'!$O$5:$O$60&lt;&gt;"")*ISNUMBER(SEARCH('Target &amp; Team Lists'!$O$5:$O$60,(E308&amp;" "&amp;F308))))=0),"Yes","No"))))</f>
        <v/>
      </c>
      <c r="Q308" s="32"/>
    </row>
    <row r="309" customFormat="false" ht="15" hidden="false" customHeight="false" outlineLevel="0" collapsed="false">
      <c r="A309" s="30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3" t="str">
        <f aca="false">IF(D309="","",IF(SUM(I309:L309)&gt;0,1,0))</f>
        <v/>
      </c>
      <c r="O309" s="34" t="str">
        <f aca="false">IF(D309="","",IF(OR(COUNTIF('Target &amp; Team Lists'!$J$5:$J$204,D309)&gt;0,AND(H309&lt;&gt;"",COUNTIF('Target &amp; Team Lists'!$L$5:$L$204,H309)&gt;0),ISNUMBER(SEARCH("alpha nodus",(E309&amp;" "&amp;F309))),ISNUMBER(SEARCH("alphanodus",(E309&amp;" "&amp;F309)))),"Yes","No"))</f>
        <v/>
      </c>
      <c r="P309" s="34" t="str">
        <f aca="false">IF(D309="","",IF(O309="Yes","No",IF(OR(AND(F309&lt;&gt;"",COUNTIF('Target &amp; Team Lists'!$A$5:$A$504,F309)&gt;0),COUNTIF('Target &amp; Team Lists'!$E$5:$E$504,D309)&gt;0),"Yes",IF(AND(SUMPRODUCT(('Target &amp; Team Lists'!$N$5:$N$60&lt;&gt;"")*ISNUMBER(SEARCH('Target &amp; Team Lists'!$N$5:$N$60,(E309&amp;" "&amp;F309))))&gt;0,SUMPRODUCT(('Target &amp; Team Lists'!$O$5:$O$60&lt;&gt;"")*ISNUMBER(SEARCH('Target &amp; Team Lists'!$O$5:$O$60,(E309&amp;" "&amp;F309))))=0),"Yes","No"))))</f>
        <v/>
      </c>
      <c r="Q309" s="32"/>
    </row>
    <row r="310" customFormat="false" ht="15" hidden="false" customHeight="false" outlineLevel="0" collapsed="false">
      <c r="A310" s="30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3" t="str">
        <f aca="false">IF(D310="","",IF(SUM(I310:L310)&gt;0,1,0))</f>
        <v/>
      </c>
      <c r="O310" s="34" t="str">
        <f aca="false">IF(D310="","",IF(OR(COUNTIF('Target &amp; Team Lists'!$J$5:$J$204,D310)&gt;0,AND(H310&lt;&gt;"",COUNTIF('Target &amp; Team Lists'!$L$5:$L$204,H310)&gt;0),ISNUMBER(SEARCH("alpha nodus",(E310&amp;" "&amp;F310))),ISNUMBER(SEARCH("alphanodus",(E310&amp;" "&amp;F310)))),"Yes","No"))</f>
        <v/>
      </c>
      <c r="P310" s="34" t="str">
        <f aca="false">IF(D310="","",IF(O310="Yes","No",IF(OR(AND(F310&lt;&gt;"",COUNTIF('Target &amp; Team Lists'!$A$5:$A$504,F310)&gt;0),COUNTIF('Target &amp; Team Lists'!$E$5:$E$504,D310)&gt;0),"Yes",IF(AND(SUMPRODUCT(('Target &amp; Team Lists'!$N$5:$N$60&lt;&gt;"")*ISNUMBER(SEARCH('Target &amp; Team Lists'!$N$5:$N$60,(E310&amp;" "&amp;F310))))&gt;0,SUMPRODUCT(('Target &amp; Team Lists'!$O$5:$O$60&lt;&gt;"")*ISNUMBER(SEARCH('Target &amp; Team Lists'!$O$5:$O$60,(E310&amp;" "&amp;F310))))=0),"Yes","No"))))</f>
        <v/>
      </c>
      <c r="Q310" s="32"/>
    </row>
    <row r="311" customFormat="false" ht="15" hidden="false" customHeight="false" outlineLevel="0" collapsed="false">
      <c r="A311" s="30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3" t="str">
        <f aca="false">IF(D311="","",IF(SUM(I311:L311)&gt;0,1,0))</f>
        <v/>
      </c>
      <c r="O311" s="34" t="str">
        <f aca="false">IF(D311="","",IF(OR(COUNTIF('Target &amp; Team Lists'!$J$5:$J$204,D311)&gt;0,AND(H311&lt;&gt;"",COUNTIF('Target &amp; Team Lists'!$L$5:$L$204,H311)&gt;0),ISNUMBER(SEARCH("alpha nodus",(E311&amp;" "&amp;F311))),ISNUMBER(SEARCH("alphanodus",(E311&amp;" "&amp;F311)))),"Yes","No"))</f>
        <v/>
      </c>
      <c r="P311" s="34" t="str">
        <f aca="false">IF(D311="","",IF(O311="Yes","No",IF(OR(AND(F311&lt;&gt;"",COUNTIF('Target &amp; Team Lists'!$A$5:$A$504,F311)&gt;0),COUNTIF('Target &amp; Team Lists'!$E$5:$E$504,D311)&gt;0),"Yes",IF(AND(SUMPRODUCT(('Target &amp; Team Lists'!$N$5:$N$60&lt;&gt;"")*ISNUMBER(SEARCH('Target &amp; Team Lists'!$N$5:$N$60,(E311&amp;" "&amp;F311))))&gt;0,SUMPRODUCT(('Target &amp; Team Lists'!$O$5:$O$60&lt;&gt;"")*ISNUMBER(SEARCH('Target &amp; Team Lists'!$O$5:$O$60,(E311&amp;" "&amp;F311))))=0),"Yes","No"))))</f>
        <v/>
      </c>
      <c r="Q311" s="32"/>
    </row>
    <row r="312" customFormat="false" ht="15" hidden="false" customHeight="false" outlineLevel="0" collapsed="false">
      <c r="A312" s="30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3" t="str">
        <f aca="false">IF(D312="","",IF(SUM(I312:L312)&gt;0,1,0))</f>
        <v/>
      </c>
      <c r="O312" s="34" t="str">
        <f aca="false">IF(D312="","",IF(OR(COUNTIF('Target &amp; Team Lists'!$J$5:$J$204,D312)&gt;0,AND(H312&lt;&gt;"",COUNTIF('Target &amp; Team Lists'!$L$5:$L$204,H312)&gt;0),ISNUMBER(SEARCH("alpha nodus",(E312&amp;" "&amp;F312))),ISNUMBER(SEARCH("alphanodus",(E312&amp;" "&amp;F312)))),"Yes","No"))</f>
        <v/>
      </c>
      <c r="P312" s="34" t="str">
        <f aca="false">IF(D312="","",IF(O312="Yes","No",IF(OR(AND(F312&lt;&gt;"",COUNTIF('Target &amp; Team Lists'!$A$5:$A$504,F312)&gt;0),COUNTIF('Target &amp; Team Lists'!$E$5:$E$504,D312)&gt;0),"Yes",IF(AND(SUMPRODUCT(('Target &amp; Team Lists'!$N$5:$N$60&lt;&gt;"")*ISNUMBER(SEARCH('Target &amp; Team Lists'!$N$5:$N$60,(E312&amp;" "&amp;F312))))&gt;0,SUMPRODUCT(('Target &amp; Team Lists'!$O$5:$O$60&lt;&gt;"")*ISNUMBER(SEARCH('Target &amp; Team Lists'!$O$5:$O$60,(E312&amp;" "&amp;F312))))=0),"Yes","No"))))</f>
        <v/>
      </c>
      <c r="Q312" s="32"/>
    </row>
    <row r="313" customFormat="false" ht="15" hidden="false" customHeight="false" outlineLevel="0" collapsed="false">
      <c r="A313" s="30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3" t="str">
        <f aca="false">IF(D313="","",IF(SUM(I313:L313)&gt;0,1,0))</f>
        <v/>
      </c>
      <c r="O313" s="34" t="str">
        <f aca="false">IF(D313="","",IF(OR(COUNTIF('Target &amp; Team Lists'!$J$5:$J$204,D313)&gt;0,AND(H313&lt;&gt;"",COUNTIF('Target &amp; Team Lists'!$L$5:$L$204,H313)&gt;0),ISNUMBER(SEARCH("alpha nodus",(E313&amp;" "&amp;F313))),ISNUMBER(SEARCH("alphanodus",(E313&amp;" "&amp;F313)))),"Yes","No"))</f>
        <v/>
      </c>
      <c r="P313" s="34" t="str">
        <f aca="false">IF(D313="","",IF(O313="Yes","No",IF(OR(AND(F313&lt;&gt;"",COUNTIF('Target &amp; Team Lists'!$A$5:$A$504,F313)&gt;0),COUNTIF('Target &amp; Team Lists'!$E$5:$E$504,D313)&gt;0),"Yes",IF(AND(SUMPRODUCT(('Target &amp; Team Lists'!$N$5:$N$60&lt;&gt;"")*ISNUMBER(SEARCH('Target &amp; Team Lists'!$N$5:$N$60,(E313&amp;" "&amp;F313))))&gt;0,SUMPRODUCT(('Target &amp; Team Lists'!$O$5:$O$60&lt;&gt;"")*ISNUMBER(SEARCH('Target &amp; Team Lists'!$O$5:$O$60,(E313&amp;" "&amp;F313))))=0),"Yes","No"))))</f>
        <v/>
      </c>
      <c r="Q313" s="32"/>
    </row>
    <row r="314" customFormat="false" ht="15" hidden="false" customHeight="false" outlineLevel="0" collapsed="false">
      <c r="A314" s="30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3" t="str">
        <f aca="false">IF(D314="","",IF(SUM(I314:L314)&gt;0,1,0))</f>
        <v/>
      </c>
      <c r="O314" s="34" t="str">
        <f aca="false">IF(D314="","",IF(OR(COUNTIF('Target &amp; Team Lists'!$J$5:$J$204,D314)&gt;0,AND(H314&lt;&gt;"",COUNTIF('Target &amp; Team Lists'!$L$5:$L$204,H314)&gt;0),ISNUMBER(SEARCH("alpha nodus",(E314&amp;" "&amp;F314))),ISNUMBER(SEARCH("alphanodus",(E314&amp;" "&amp;F314)))),"Yes","No"))</f>
        <v/>
      </c>
      <c r="P314" s="34" t="str">
        <f aca="false">IF(D314="","",IF(O314="Yes","No",IF(OR(AND(F314&lt;&gt;"",COUNTIF('Target &amp; Team Lists'!$A$5:$A$504,F314)&gt;0),COUNTIF('Target &amp; Team Lists'!$E$5:$E$504,D314)&gt;0),"Yes",IF(AND(SUMPRODUCT(('Target &amp; Team Lists'!$N$5:$N$60&lt;&gt;"")*ISNUMBER(SEARCH('Target &amp; Team Lists'!$N$5:$N$60,(E314&amp;" "&amp;F314))))&gt;0,SUMPRODUCT(('Target &amp; Team Lists'!$O$5:$O$60&lt;&gt;"")*ISNUMBER(SEARCH('Target &amp; Team Lists'!$O$5:$O$60,(E314&amp;" "&amp;F314))))=0),"Yes","No"))))</f>
        <v/>
      </c>
      <c r="Q314" s="32"/>
    </row>
    <row r="315" customFormat="false" ht="15" hidden="false" customHeight="false" outlineLevel="0" collapsed="false">
      <c r="A315" s="30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3" t="str">
        <f aca="false">IF(D315="","",IF(SUM(I315:L315)&gt;0,1,0))</f>
        <v/>
      </c>
      <c r="O315" s="34" t="str">
        <f aca="false">IF(D315="","",IF(OR(COUNTIF('Target &amp; Team Lists'!$J$5:$J$204,D315)&gt;0,AND(H315&lt;&gt;"",COUNTIF('Target &amp; Team Lists'!$L$5:$L$204,H315)&gt;0),ISNUMBER(SEARCH("alpha nodus",(E315&amp;" "&amp;F315))),ISNUMBER(SEARCH("alphanodus",(E315&amp;" "&amp;F315)))),"Yes","No"))</f>
        <v/>
      </c>
      <c r="P315" s="34" t="str">
        <f aca="false">IF(D315="","",IF(O315="Yes","No",IF(OR(AND(F315&lt;&gt;"",COUNTIF('Target &amp; Team Lists'!$A$5:$A$504,F315)&gt;0),COUNTIF('Target &amp; Team Lists'!$E$5:$E$504,D315)&gt;0),"Yes",IF(AND(SUMPRODUCT(('Target &amp; Team Lists'!$N$5:$N$60&lt;&gt;"")*ISNUMBER(SEARCH('Target &amp; Team Lists'!$N$5:$N$60,(E315&amp;" "&amp;F315))))&gt;0,SUMPRODUCT(('Target &amp; Team Lists'!$O$5:$O$60&lt;&gt;"")*ISNUMBER(SEARCH('Target &amp; Team Lists'!$O$5:$O$60,(E315&amp;" "&amp;F315))))=0),"Yes","No"))))</f>
        <v/>
      </c>
      <c r="Q315" s="32"/>
    </row>
    <row r="316" customFormat="false" ht="15" hidden="false" customHeight="false" outlineLevel="0" collapsed="false">
      <c r="A316" s="30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3" t="str">
        <f aca="false">IF(D316="","",IF(SUM(I316:L316)&gt;0,1,0))</f>
        <v/>
      </c>
      <c r="O316" s="34" t="str">
        <f aca="false">IF(D316="","",IF(OR(COUNTIF('Target &amp; Team Lists'!$J$5:$J$204,D316)&gt;0,AND(H316&lt;&gt;"",COUNTIF('Target &amp; Team Lists'!$L$5:$L$204,H316)&gt;0),ISNUMBER(SEARCH("alpha nodus",(E316&amp;" "&amp;F316))),ISNUMBER(SEARCH("alphanodus",(E316&amp;" "&amp;F316)))),"Yes","No"))</f>
        <v/>
      </c>
      <c r="P316" s="34" t="str">
        <f aca="false">IF(D316="","",IF(O316="Yes","No",IF(OR(AND(F316&lt;&gt;"",COUNTIF('Target &amp; Team Lists'!$A$5:$A$504,F316)&gt;0),COUNTIF('Target &amp; Team Lists'!$E$5:$E$504,D316)&gt;0),"Yes",IF(AND(SUMPRODUCT(('Target &amp; Team Lists'!$N$5:$N$60&lt;&gt;"")*ISNUMBER(SEARCH('Target &amp; Team Lists'!$N$5:$N$60,(E316&amp;" "&amp;F316))))&gt;0,SUMPRODUCT(('Target &amp; Team Lists'!$O$5:$O$60&lt;&gt;"")*ISNUMBER(SEARCH('Target &amp; Team Lists'!$O$5:$O$60,(E316&amp;" "&amp;F316))))=0),"Yes","No"))))</f>
        <v/>
      </c>
      <c r="Q316" s="32"/>
    </row>
    <row r="317" customFormat="false" ht="15" hidden="false" customHeight="false" outlineLevel="0" collapsed="false">
      <c r="A317" s="30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3" t="str">
        <f aca="false">IF(D317="","",IF(SUM(I317:L317)&gt;0,1,0))</f>
        <v/>
      </c>
      <c r="O317" s="34" t="str">
        <f aca="false">IF(D317="","",IF(OR(COUNTIF('Target &amp; Team Lists'!$J$5:$J$204,D317)&gt;0,AND(H317&lt;&gt;"",COUNTIF('Target &amp; Team Lists'!$L$5:$L$204,H317)&gt;0),ISNUMBER(SEARCH("alpha nodus",(E317&amp;" "&amp;F317))),ISNUMBER(SEARCH("alphanodus",(E317&amp;" "&amp;F317)))),"Yes","No"))</f>
        <v/>
      </c>
      <c r="P317" s="34" t="str">
        <f aca="false">IF(D317="","",IF(O317="Yes","No",IF(OR(AND(F317&lt;&gt;"",COUNTIF('Target &amp; Team Lists'!$A$5:$A$504,F317)&gt;0),COUNTIF('Target &amp; Team Lists'!$E$5:$E$504,D317)&gt;0),"Yes",IF(AND(SUMPRODUCT(('Target &amp; Team Lists'!$N$5:$N$60&lt;&gt;"")*ISNUMBER(SEARCH('Target &amp; Team Lists'!$N$5:$N$60,(E317&amp;" "&amp;F317))))&gt;0,SUMPRODUCT(('Target &amp; Team Lists'!$O$5:$O$60&lt;&gt;"")*ISNUMBER(SEARCH('Target &amp; Team Lists'!$O$5:$O$60,(E317&amp;" "&amp;F317))))=0),"Yes","No"))))</f>
        <v/>
      </c>
      <c r="Q317" s="32"/>
    </row>
    <row r="318" customFormat="false" ht="15" hidden="false" customHeight="false" outlineLevel="0" collapsed="false">
      <c r="A318" s="30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3" t="str">
        <f aca="false">IF(D318="","",IF(SUM(I318:L318)&gt;0,1,0))</f>
        <v/>
      </c>
      <c r="O318" s="34" t="str">
        <f aca="false">IF(D318="","",IF(OR(COUNTIF('Target &amp; Team Lists'!$J$5:$J$204,D318)&gt;0,AND(H318&lt;&gt;"",COUNTIF('Target &amp; Team Lists'!$L$5:$L$204,H318)&gt;0),ISNUMBER(SEARCH("alpha nodus",(E318&amp;" "&amp;F318))),ISNUMBER(SEARCH("alphanodus",(E318&amp;" "&amp;F318)))),"Yes","No"))</f>
        <v/>
      </c>
      <c r="P318" s="34" t="str">
        <f aca="false">IF(D318="","",IF(O318="Yes","No",IF(OR(AND(F318&lt;&gt;"",COUNTIF('Target &amp; Team Lists'!$A$5:$A$504,F318)&gt;0),COUNTIF('Target &amp; Team Lists'!$E$5:$E$504,D318)&gt;0),"Yes",IF(AND(SUMPRODUCT(('Target &amp; Team Lists'!$N$5:$N$60&lt;&gt;"")*ISNUMBER(SEARCH('Target &amp; Team Lists'!$N$5:$N$60,(E318&amp;" "&amp;F318))))&gt;0,SUMPRODUCT(('Target &amp; Team Lists'!$O$5:$O$60&lt;&gt;"")*ISNUMBER(SEARCH('Target &amp; Team Lists'!$O$5:$O$60,(E318&amp;" "&amp;F318))))=0),"Yes","No"))))</f>
        <v/>
      </c>
      <c r="Q318" s="32"/>
    </row>
    <row r="319" customFormat="false" ht="15" hidden="false" customHeight="false" outlineLevel="0" collapsed="false">
      <c r="A319" s="30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3" t="str">
        <f aca="false">IF(D319="","",IF(SUM(I319:L319)&gt;0,1,0))</f>
        <v/>
      </c>
      <c r="O319" s="34" t="str">
        <f aca="false">IF(D319="","",IF(OR(COUNTIF('Target &amp; Team Lists'!$J$5:$J$204,D319)&gt;0,AND(H319&lt;&gt;"",COUNTIF('Target &amp; Team Lists'!$L$5:$L$204,H319)&gt;0),ISNUMBER(SEARCH("alpha nodus",(E319&amp;" "&amp;F319))),ISNUMBER(SEARCH("alphanodus",(E319&amp;" "&amp;F319)))),"Yes","No"))</f>
        <v/>
      </c>
      <c r="P319" s="34" t="str">
        <f aca="false">IF(D319="","",IF(O319="Yes","No",IF(OR(AND(F319&lt;&gt;"",COUNTIF('Target &amp; Team Lists'!$A$5:$A$504,F319)&gt;0),COUNTIF('Target &amp; Team Lists'!$E$5:$E$504,D319)&gt;0),"Yes",IF(AND(SUMPRODUCT(('Target &amp; Team Lists'!$N$5:$N$60&lt;&gt;"")*ISNUMBER(SEARCH('Target &amp; Team Lists'!$N$5:$N$60,(E319&amp;" "&amp;F319))))&gt;0,SUMPRODUCT(('Target &amp; Team Lists'!$O$5:$O$60&lt;&gt;"")*ISNUMBER(SEARCH('Target &amp; Team Lists'!$O$5:$O$60,(E319&amp;" "&amp;F319))))=0),"Yes","No"))))</f>
        <v/>
      </c>
      <c r="Q319" s="32"/>
    </row>
    <row r="320" customFormat="false" ht="15" hidden="false" customHeight="false" outlineLevel="0" collapsed="false">
      <c r="A320" s="30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3" t="str">
        <f aca="false">IF(D320="","",IF(SUM(I320:L320)&gt;0,1,0))</f>
        <v/>
      </c>
      <c r="O320" s="34" t="str">
        <f aca="false">IF(D320="","",IF(OR(COUNTIF('Target &amp; Team Lists'!$J$5:$J$204,D320)&gt;0,AND(H320&lt;&gt;"",COUNTIF('Target &amp; Team Lists'!$L$5:$L$204,H320)&gt;0),ISNUMBER(SEARCH("alpha nodus",(E320&amp;" "&amp;F320))),ISNUMBER(SEARCH("alphanodus",(E320&amp;" "&amp;F320)))),"Yes","No"))</f>
        <v/>
      </c>
      <c r="P320" s="34" t="str">
        <f aca="false">IF(D320="","",IF(O320="Yes","No",IF(OR(AND(F320&lt;&gt;"",COUNTIF('Target &amp; Team Lists'!$A$5:$A$504,F320)&gt;0),COUNTIF('Target &amp; Team Lists'!$E$5:$E$504,D320)&gt;0),"Yes",IF(AND(SUMPRODUCT(('Target &amp; Team Lists'!$N$5:$N$60&lt;&gt;"")*ISNUMBER(SEARCH('Target &amp; Team Lists'!$N$5:$N$60,(E320&amp;" "&amp;F320))))&gt;0,SUMPRODUCT(('Target &amp; Team Lists'!$O$5:$O$60&lt;&gt;"")*ISNUMBER(SEARCH('Target &amp; Team Lists'!$O$5:$O$60,(E320&amp;" "&amp;F320))))=0),"Yes","No"))))</f>
        <v/>
      </c>
      <c r="Q320" s="32"/>
    </row>
    <row r="321" customFormat="false" ht="15" hidden="false" customHeight="false" outlineLevel="0" collapsed="false">
      <c r="A321" s="30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3" t="str">
        <f aca="false">IF(D321="","",IF(SUM(I321:L321)&gt;0,1,0))</f>
        <v/>
      </c>
      <c r="O321" s="34" t="str">
        <f aca="false">IF(D321="","",IF(OR(COUNTIF('Target &amp; Team Lists'!$J$5:$J$204,D321)&gt;0,AND(H321&lt;&gt;"",COUNTIF('Target &amp; Team Lists'!$L$5:$L$204,H321)&gt;0),ISNUMBER(SEARCH("alpha nodus",(E321&amp;" "&amp;F321))),ISNUMBER(SEARCH("alphanodus",(E321&amp;" "&amp;F321)))),"Yes","No"))</f>
        <v/>
      </c>
      <c r="P321" s="34" t="str">
        <f aca="false">IF(D321="","",IF(O321="Yes","No",IF(OR(AND(F321&lt;&gt;"",COUNTIF('Target &amp; Team Lists'!$A$5:$A$504,F321)&gt;0),COUNTIF('Target &amp; Team Lists'!$E$5:$E$504,D321)&gt;0),"Yes",IF(AND(SUMPRODUCT(('Target &amp; Team Lists'!$N$5:$N$60&lt;&gt;"")*ISNUMBER(SEARCH('Target &amp; Team Lists'!$N$5:$N$60,(E321&amp;" "&amp;F321))))&gt;0,SUMPRODUCT(('Target &amp; Team Lists'!$O$5:$O$60&lt;&gt;"")*ISNUMBER(SEARCH('Target &amp; Team Lists'!$O$5:$O$60,(E321&amp;" "&amp;F321))))=0),"Yes","No"))))</f>
        <v/>
      </c>
      <c r="Q321" s="32"/>
    </row>
    <row r="322" customFormat="false" ht="15" hidden="false" customHeight="false" outlineLevel="0" collapsed="false">
      <c r="A322" s="30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3" t="str">
        <f aca="false">IF(D322="","",IF(SUM(I322:L322)&gt;0,1,0))</f>
        <v/>
      </c>
      <c r="O322" s="34" t="str">
        <f aca="false">IF(D322="","",IF(OR(COUNTIF('Target &amp; Team Lists'!$J$5:$J$204,D322)&gt;0,AND(H322&lt;&gt;"",COUNTIF('Target &amp; Team Lists'!$L$5:$L$204,H322)&gt;0),ISNUMBER(SEARCH("alpha nodus",(E322&amp;" "&amp;F322))),ISNUMBER(SEARCH("alphanodus",(E322&amp;" "&amp;F322)))),"Yes","No"))</f>
        <v/>
      </c>
      <c r="P322" s="34" t="str">
        <f aca="false">IF(D322="","",IF(O322="Yes","No",IF(OR(AND(F322&lt;&gt;"",COUNTIF('Target &amp; Team Lists'!$A$5:$A$504,F322)&gt;0),COUNTIF('Target &amp; Team Lists'!$E$5:$E$504,D322)&gt;0),"Yes",IF(AND(SUMPRODUCT(('Target &amp; Team Lists'!$N$5:$N$60&lt;&gt;"")*ISNUMBER(SEARCH('Target &amp; Team Lists'!$N$5:$N$60,(E322&amp;" "&amp;F322))))&gt;0,SUMPRODUCT(('Target &amp; Team Lists'!$O$5:$O$60&lt;&gt;"")*ISNUMBER(SEARCH('Target &amp; Team Lists'!$O$5:$O$60,(E322&amp;" "&amp;F322))))=0),"Yes","No"))))</f>
        <v/>
      </c>
      <c r="Q322" s="32"/>
    </row>
    <row r="323" customFormat="false" ht="15" hidden="false" customHeight="false" outlineLevel="0" collapsed="false">
      <c r="A323" s="30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3" t="str">
        <f aca="false">IF(D323="","",IF(SUM(I323:L323)&gt;0,1,0))</f>
        <v/>
      </c>
      <c r="O323" s="34" t="str">
        <f aca="false">IF(D323="","",IF(OR(COUNTIF('Target &amp; Team Lists'!$J$5:$J$204,D323)&gt;0,AND(H323&lt;&gt;"",COUNTIF('Target &amp; Team Lists'!$L$5:$L$204,H323)&gt;0),ISNUMBER(SEARCH("alpha nodus",(E323&amp;" "&amp;F323))),ISNUMBER(SEARCH("alphanodus",(E323&amp;" "&amp;F323)))),"Yes","No"))</f>
        <v/>
      </c>
      <c r="P323" s="34" t="str">
        <f aca="false">IF(D323="","",IF(O323="Yes","No",IF(OR(AND(F323&lt;&gt;"",COUNTIF('Target &amp; Team Lists'!$A$5:$A$504,F323)&gt;0),COUNTIF('Target &amp; Team Lists'!$E$5:$E$504,D323)&gt;0),"Yes",IF(AND(SUMPRODUCT(('Target &amp; Team Lists'!$N$5:$N$60&lt;&gt;"")*ISNUMBER(SEARCH('Target &amp; Team Lists'!$N$5:$N$60,(E323&amp;" "&amp;F323))))&gt;0,SUMPRODUCT(('Target &amp; Team Lists'!$O$5:$O$60&lt;&gt;"")*ISNUMBER(SEARCH('Target &amp; Team Lists'!$O$5:$O$60,(E323&amp;" "&amp;F323))))=0),"Yes","No"))))</f>
        <v/>
      </c>
      <c r="Q323" s="32"/>
    </row>
    <row r="324" customFormat="false" ht="15" hidden="false" customHeight="false" outlineLevel="0" collapsed="false">
      <c r="A324" s="30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3" t="str">
        <f aca="false">IF(D324="","",IF(SUM(I324:L324)&gt;0,1,0))</f>
        <v/>
      </c>
      <c r="O324" s="34" t="str">
        <f aca="false">IF(D324="","",IF(OR(COUNTIF('Target &amp; Team Lists'!$J$5:$J$204,D324)&gt;0,AND(H324&lt;&gt;"",COUNTIF('Target &amp; Team Lists'!$L$5:$L$204,H324)&gt;0),ISNUMBER(SEARCH("alpha nodus",(E324&amp;" "&amp;F324))),ISNUMBER(SEARCH("alphanodus",(E324&amp;" "&amp;F324)))),"Yes","No"))</f>
        <v/>
      </c>
      <c r="P324" s="34" t="str">
        <f aca="false">IF(D324="","",IF(O324="Yes","No",IF(OR(AND(F324&lt;&gt;"",COUNTIF('Target &amp; Team Lists'!$A$5:$A$504,F324)&gt;0),COUNTIF('Target &amp; Team Lists'!$E$5:$E$504,D324)&gt;0),"Yes",IF(AND(SUMPRODUCT(('Target &amp; Team Lists'!$N$5:$N$60&lt;&gt;"")*ISNUMBER(SEARCH('Target &amp; Team Lists'!$N$5:$N$60,(E324&amp;" "&amp;F324))))&gt;0,SUMPRODUCT(('Target &amp; Team Lists'!$O$5:$O$60&lt;&gt;"")*ISNUMBER(SEARCH('Target &amp; Team Lists'!$O$5:$O$60,(E324&amp;" "&amp;F324))))=0),"Yes","No"))))</f>
        <v/>
      </c>
      <c r="Q324" s="32"/>
    </row>
    <row r="325" customFormat="false" ht="15" hidden="false" customHeight="false" outlineLevel="0" collapsed="false">
      <c r="A325" s="30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3" t="str">
        <f aca="false">IF(D325="","",IF(SUM(I325:L325)&gt;0,1,0))</f>
        <v/>
      </c>
      <c r="O325" s="34" t="str">
        <f aca="false">IF(D325="","",IF(OR(COUNTIF('Target &amp; Team Lists'!$J$5:$J$204,D325)&gt;0,AND(H325&lt;&gt;"",COUNTIF('Target &amp; Team Lists'!$L$5:$L$204,H325)&gt;0),ISNUMBER(SEARCH("alpha nodus",(E325&amp;" "&amp;F325))),ISNUMBER(SEARCH("alphanodus",(E325&amp;" "&amp;F325)))),"Yes","No"))</f>
        <v/>
      </c>
      <c r="P325" s="34" t="str">
        <f aca="false">IF(D325="","",IF(O325="Yes","No",IF(OR(AND(F325&lt;&gt;"",COUNTIF('Target &amp; Team Lists'!$A$5:$A$504,F325)&gt;0),COUNTIF('Target &amp; Team Lists'!$E$5:$E$504,D325)&gt;0),"Yes",IF(AND(SUMPRODUCT(('Target &amp; Team Lists'!$N$5:$N$60&lt;&gt;"")*ISNUMBER(SEARCH('Target &amp; Team Lists'!$N$5:$N$60,(E325&amp;" "&amp;F325))))&gt;0,SUMPRODUCT(('Target &amp; Team Lists'!$O$5:$O$60&lt;&gt;"")*ISNUMBER(SEARCH('Target &amp; Team Lists'!$O$5:$O$60,(E325&amp;" "&amp;F325))))=0),"Yes","No"))))</f>
        <v/>
      </c>
      <c r="Q325" s="32"/>
    </row>
    <row r="326" customFormat="false" ht="15" hidden="false" customHeight="false" outlineLevel="0" collapsed="false">
      <c r="A326" s="30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3" t="str">
        <f aca="false">IF(D326="","",IF(SUM(I326:L326)&gt;0,1,0))</f>
        <v/>
      </c>
      <c r="O326" s="34" t="str">
        <f aca="false">IF(D326="","",IF(OR(COUNTIF('Target &amp; Team Lists'!$J$5:$J$204,D326)&gt;0,AND(H326&lt;&gt;"",COUNTIF('Target &amp; Team Lists'!$L$5:$L$204,H326)&gt;0),ISNUMBER(SEARCH("alpha nodus",(E326&amp;" "&amp;F326))),ISNUMBER(SEARCH("alphanodus",(E326&amp;" "&amp;F326)))),"Yes","No"))</f>
        <v/>
      </c>
      <c r="P326" s="34" t="str">
        <f aca="false">IF(D326="","",IF(O326="Yes","No",IF(OR(AND(F326&lt;&gt;"",COUNTIF('Target &amp; Team Lists'!$A$5:$A$504,F326)&gt;0),COUNTIF('Target &amp; Team Lists'!$E$5:$E$504,D326)&gt;0),"Yes",IF(AND(SUMPRODUCT(('Target &amp; Team Lists'!$N$5:$N$60&lt;&gt;"")*ISNUMBER(SEARCH('Target &amp; Team Lists'!$N$5:$N$60,(E326&amp;" "&amp;F326))))&gt;0,SUMPRODUCT(('Target &amp; Team Lists'!$O$5:$O$60&lt;&gt;"")*ISNUMBER(SEARCH('Target &amp; Team Lists'!$O$5:$O$60,(E326&amp;" "&amp;F326))))=0),"Yes","No"))))</f>
        <v/>
      </c>
      <c r="Q326" s="32"/>
    </row>
    <row r="327" customFormat="false" ht="15" hidden="false" customHeight="false" outlineLevel="0" collapsed="false">
      <c r="A327" s="30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3" t="str">
        <f aca="false">IF(D327="","",IF(SUM(I327:L327)&gt;0,1,0))</f>
        <v/>
      </c>
      <c r="O327" s="34" t="str">
        <f aca="false">IF(D327="","",IF(OR(COUNTIF('Target &amp; Team Lists'!$J$5:$J$204,D327)&gt;0,AND(H327&lt;&gt;"",COUNTIF('Target &amp; Team Lists'!$L$5:$L$204,H327)&gt;0),ISNUMBER(SEARCH("alpha nodus",(E327&amp;" "&amp;F327))),ISNUMBER(SEARCH("alphanodus",(E327&amp;" "&amp;F327)))),"Yes","No"))</f>
        <v/>
      </c>
      <c r="P327" s="34" t="str">
        <f aca="false">IF(D327="","",IF(O327="Yes","No",IF(OR(AND(F327&lt;&gt;"",COUNTIF('Target &amp; Team Lists'!$A$5:$A$504,F327)&gt;0),COUNTIF('Target &amp; Team Lists'!$E$5:$E$504,D327)&gt;0),"Yes",IF(AND(SUMPRODUCT(('Target &amp; Team Lists'!$N$5:$N$60&lt;&gt;"")*ISNUMBER(SEARCH('Target &amp; Team Lists'!$N$5:$N$60,(E327&amp;" "&amp;F327))))&gt;0,SUMPRODUCT(('Target &amp; Team Lists'!$O$5:$O$60&lt;&gt;"")*ISNUMBER(SEARCH('Target &amp; Team Lists'!$O$5:$O$60,(E327&amp;" "&amp;F327))))=0),"Yes","No"))))</f>
        <v/>
      </c>
      <c r="Q327" s="32"/>
    </row>
    <row r="328" customFormat="false" ht="15" hidden="false" customHeight="false" outlineLevel="0" collapsed="false">
      <c r="A328" s="30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3" t="str">
        <f aca="false">IF(D328="","",IF(SUM(I328:L328)&gt;0,1,0))</f>
        <v/>
      </c>
      <c r="O328" s="34" t="str">
        <f aca="false">IF(D328="","",IF(OR(COUNTIF('Target &amp; Team Lists'!$J$5:$J$204,D328)&gt;0,AND(H328&lt;&gt;"",COUNTIF('Target &amp; Team Lists'!$L$5:$L$204,H328)&gt;0),ISNUMBER(SEARCH("alpha nodus",(E328&amp;" "&amp;F328))),ISNUMBER(SEARCH("alphanodus",(E328&amp;" "&amp;F328)))),"Yes","No"))</f>
        <v/>
      </c>
      <c r="P328" s="34" t="str">
        <f aca="false">IF(D328="","",IF(O328="Yes","No",IF(OR(AND(F328&lt;&gt;"",COUNTIF('Target &amp; Team Lists'!$A$5:$A$504,F328)&gt;0),COUNTIF('Target &amp; Team Lists'!$E$5:$E$504,D328)&gt;0),"Yes",IF(AND(SUMPRODUCT(('Target &amp; Team Lists'!$N$5:$N$60&lt;&gt;"")*ISNUMBER(SEARCH('Target &amp; Team Lists'!$N$5:$N$60,(E328&amp;" "&amp;F328))))&gt;0,SUMPRODUCT(('Target &amp; Team Lists'!$O$5:$O$60&lt;&gt;"")*ISNUMBER(SEARCH('Target &amp; Team Lists'!$O$5:$O$60,(E328&amp;" "&amp;F328))))=0),"Yes","No"))))</f>
        <v/>
      </c>
      <c r="Q328" s="32"/>
    </row>
    <row r="329" customFormat="false" ht="15" hidden="false" customHeight="false" outlineLevel="0" collapsed="false">
      <c r="A329" s="30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3" t="str">
        <f aca="false">IF(D329="","",IF(SUM(I329:L329)&gt;0,1,0))</f>
        <v/>
      </c>
      <c r="O329" s="34" t="str">
        <f aca="false">IF(D329="","",IF(OR(COUNTIF('Target &amp; Team Lists'!$J$5:$J$204,D329)&gt;0,AND(H329&lt;&gt;"",COUNTIF('Target &amp; Team Lists'!$L$5:$L$204,H329)&gt;0),ISNUMBER(SEARCH("alpha nodus",(E329&amp;" "&amp;F329))),ISNUMBER(SEARCH("alphanodus",(E329&amp;" "&amp;F329)))),"Yes","No"))</f>
        <v/>
      </c>
      <c r="P329" s="34" t="str">
        <f aca="false">IF(D329="","",IF(O329="Yes","No",IF(OR(AND(F329&lt;&gt;"",COUNTIF('Target &amp; Team Lists'!$A$5:$A$504,F329)&gt;0),COUNTIF('Target &amp; Team Lists'!$E$5:$E$504,D329)&gt;0),"Yes",IF(AND(SUMPRODUCT(('Target &amp; Team Lists'!$N$5:$N$60&lt;&gt;"")*ISNUMBER(SEARCH('Target &amp; Team Lists'!$N$5:$N$60,(E329&amp;" "&amp;F329))))&gt;0,SUMPRODUCT(('Target &amp; Team Lists'!$O$5:$O$60&lt;&gt;"")*ISNUMBER(SEARCH('Target &amp; Team Lists'!$O$5:$O$60,(E329&amp;" "&amp;F329))))=0),"Yes","No"))))</f>
        <v/>
      </c>
      <c r="Q329" s="32"/>
    </row>
    <row r="330" customFormat="false" ht="15" hidden="false" customHeight="false" outlineLevel="0" collapsed="false">
      <c r="A330" s="30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3" t="str">
        <f aca="false">IF(D330="","",IF(SUM(I330:L330)&gt;0,1,0))</f>
        <v/>
      </c>
      <c r="O330" s="34" t="str">
        <f aca="false">IF(D330="","",IF(OR(COUNTIF('Target &amp; Team Lists'!$J$5:$J$204,D330)&gt;0,AND(H330&lt;&gt;"",COUNTIF('Target &amp; Team Lists'!$L$5:$L$204,H330)&gt;0),ISNUMBER(SEARCH("alpha nodus",(E330&amp;" "&amp;F330))),ISNUMBER(SEARCH("alphanodus",(E330&amp;" "&amp;F330)))),"Yes","No"))</f>
        <v/>
      </c>
      <c r="P330" s="34" t="str">
        <f aca="false">IF(D330="","",IF(O330="Yes","No",IF(OR(AND(F330&lt;&gt;"",COUNTIF('Target &amp; Team Lists'!$A$5:$A$504,F330)&gt;0),COUNTIF('Target &amp; Team Lists'!$E$5:$E$504,D330)&gt;0),"Yes",IF(AND(SUMPRODUCT(('Target &amp; Team Lists'!$N$5:$N$60&lt;&gt;"")*ISNUMBER(SEARCH('Target &amp; Team Lists'!$N$5:$N$60,(E330&amp;" "&amp;F330))))&gt;0,SUMPRODUCT(('Target &amp; Team Lists'!$O$5:$O$60&lt;&gt;"")*ISNUMBER(SEARCH('Target &amp; Team Lists'!$O$5:$O$60,(E330&amp;" "&amp;F330))))=0),"Yes","No"))))</f>
        <v/>
      </c>
      <c r="Q330" s="32"/>
    </row>
    <row r="331" customFormat="false" ht="15" hidden="false" customHeight="false" outlineLevel="0" collapsed="false">
      <c r="A331" s="30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3" t="str">
        <f aca="false">IF(D331="","",IF(SUM(I331:L331)&gt;0,1,0))</f>
        <v/>
      </c>
      <c r="O331" s="34" t="str">
        <f aca="false">IF(D331="","",IF(OR(COUNTIF('Target &amp; Team Lists'!$J$5:$J$204,D331)&gt;0,AND(H331&lt;&gt;"",COUNTIF('Target &amp; Team Lists'!$L$5:$L$204,H331)&gt;0),ISNUMBER(SEARCH("alpha nodus",(E331&amp;" "&amp;F331))),ISNUMBER(SEARCH("alphanodus",(E331&amp;" "&amp;F331)))),"Yes","No"))</f>
        <v/>
      </c>
      <c r="P331" s="34" t="str">
        <f aca="false">IF(D331="","",IF(O331="Yes","No",IF(OR(AND(F331&lt;&gt;"",COUNTIF('Target &amp; Team Lists'!$A$5:$A$504,F331)&gt;0),COUNTIF('Target &amp; Team Lists'!$E$5:$E$504,D331)&gt;0),"Yes",IF(AND(SUMPRODUCT(('Target &amp; Team Lists'!$N$5:$N$60&lt;&gt;"")*ISNUMBER(SEARCH('Target &amp; Team Lists'!$N$5:$N$60,(E331&amp;" "&amp;F331))))&gt;0,SUMPRODUCT(('Target &amp; Team Lists'!$O$5:$O$60&lt;&gt;"")*ISNUMBER(SEARCH('Target &amp; Team Lists'!$O$5:$O$60,(E331&amp;" "&amp;F331))))=0),"Yes","No"))))</f>
        <v/>
      </c>
      <c r="Q331" s="32"/>
    </row>
    <row r="332" customFormat="false" ht="15" hidden="false" customHeight="false" outlineLevel="0" collapsed="false">
      <c r="A332" s="30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3" t="str">
        <f aca="false">IF(D332="","",IF(SUM(I332:L332)&gt;0,1,0))</f>
        <v/>
      </c>
      <c r="O332" s="34" t="str">
        <f aca="false">IF(D332="","",IF(OR(COUNTIF('Target &amp; Team Lists'!$J$5:$J$204,D332)&gt;0,AND(H332&lt;&gt;"",COUNTIF('Target &amp; Team Lists'!$L$5:$L$204,H332)&gt;0),ISNUMBER(SEARCH("alpha nodus",(E332&amp;" "&amp;F332))),ISNUMBER(SEARCH("alphanodus",(E332&amp;" "&amp;F332)))),"Yes","No"))</f>
        <v/>
      </c>
      <c r="P332" s="34" t="str">
        <f aca="false">IF(D332="","",IF(O332="Yes","No",IF(OR(AND(F332&lt;&gt;"",COUNTIF('Target &amp; Team Lists'!$A$5:$A$504,F332)&gt;0),COUNTIF('Target &amp; Team Lists'!$E$5:$E$504,D332)&gt;0),"Yes",IF(AND(SUMPRODUCT(('Target &amp; Team Lists'!$N$5:$N$60&lt;&gt;"")*ISNUMBER(SEARCH('Target &amp; Team Lists'!$N$5:$N$60,(E332&amp;" "&amp;F332))))&gt;0,SUMPRODUCT(('Target &amp; Team Lists'!$O$5:$O$60&lt;&gt;"")*ISNUMBER(SEARCH('Target &amp; Team Lists'!$O$5:$O$60,(E332&amp;" "&amp;F332))))=0),"Yes","No"))))</f>
        <v/>
      </c>
      <c r="Q332" s="32"/>
    </row>
    <row r="333" customFormat="false" ht="15" hidden="false" customHeight="false" outlineLevel="0" collapsed="false">
      <c r="A333" s="30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3" t="str">
        <f aca="false">IF(D333="","",IF(SUM(I333:L333)&gt;0,1,0))</f>
        <v/>
      </c>
      <c r="O333" s="34" t="str">
        <f aca="false">IF(D333="","",IF(OR(COUNTIF('Target &amp; Team Lists'!$J$5:$J$204,D333)&gt;0,AND(H333&lt;&gt;"",COUNTIF('Target &amp; Team Lists'!$L$5:$L$204,H333)&gt;0),ISNUMBER(SEARCH("alpha nodus",(E333&amp;" "&amp;F333))),ISNUMBER(SEARCH("alphanodus",(E333&amp;" "&amp;F333)))),"Yes","No"))</f>
        <v/>
      </c>
      <c r="P333" s="34" t="str">
        <f aca="false">IF(D333="","",IF(O333="Yes","No",IF(OR(AND(F333&lt;&gt;"",COUNTIF('Target &amp; Team Lists'!$A$5:$A$504,F333)&gt;0),COUNTIF('Target &amp; Team Lists'!$E$5:$E$504,D333)&gt;0),"Yes",IF(AND(SUMPRODUCT(('Target &amp; Team Lists'!$N$5:$N$60&lt;&gt;"")*ISNUMBER(SEARCH('Target &amp; Team Lists'!$N$5:$N$60,(E333&amp;" "&amp;F333))))&gt;0,SUMPRODUCT(('Target &amp; Team Lists'!$O$5:$O$60&lt;&gt;"")*ISNUMBER(SEARCH('Target &amp; Team Lists'!$O$5:$O$60,(E333&amp;" "&amp;F333))))=0),"Yes","No"))))</f>
        <v/>
      </c>
      <c r="Q333" s="32"/>
    </row>
    <row r="334" customFormat="false" ht="15" hidden="false" customHeight="false" outlineLevel="0" collapsed="false">
      <c r="A334" s="30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3" t="str">
        <f aca="false">IF(D334="","",IF(SUM(I334:L334)&gt;0,1,0))</f>
        <v/>
      </c>
      <c r="O334" s="34" t="str">
        <f aca="false">IF(D334="","",IF(OR(COUNTIF('Target &amp; Team Lists'!$J$5:$J$204,D334)&gt;0,AND(H334&lt;&gt;"",COUNTIF('Target &amp; Team Lists'!$L$5:$L$204,H334)&gt;0),ISNUMBER(SEARCH("alpha nodus",(E334&amp;" "&amp;F334))),ISNUMBER(SEARCH("alphanodus",(E334&amp;" "&amp;F334)))),"Yes","No"))</f>
        <v/>
      </c>
      <c r="P334" s="34" t="str">
        <f aca="false">IF(D334="","",IF(O334="Yes","No",IF(OR(AND(F334&lt;&gt;"",COUNTIF('Target &amp; Team Lists'!$A$5:$A$504,F334)&gt;0),COUNTIF('Target &amp; Team Lists'!$E$5:$E$504,D334)&gt;0),"Yes",IF(AND(SUMPRODUCT(('Target &amp; Team Lists'!$N$5:$N$60&lt;&gt;"")*ISNUMBER(SEARCH('Target &amp; Team Lists'!$N$5:$N$60,(E334&amp;" "&amp;F334))))&gt;0,SUMPRODUCT(('Target &amp; Team Lists'!$O$5:$O$60&lt;&gt;"")*ISNUMBER(SEARCH('Target &amp; Team Lists'!$O$5:$O$60,(E334&amp;" "&amp;F334))))=0),"Yes","No"))))</f>
        <v/>
      </c>
      <c r="Q334" s="32"/>
    </row>
    <row r="335" customFormat="false" ht="15" hidden="false" customHeight="false" outlineLevel="0" collapsed="false">
      <c r="A335" s="30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3" t="str">
        <f aca="false">IF(D335="","",IF(SUM(I335:L335)&gt;0,1,0))</f>
        <v/>
      </c>
      <c r="O335" s="34" t="str">
        <f aca="false">IF(D335="","",IF(OR(COUNTIF('Target &amp; Team Lists'!$J$5:$J$204,D335)&gt;0,AND(H335&lt;&gt;"",COUNTIF('Target &amp; Team Lists'!$L$5:$L$204,H335)&gt;0),ISNUMBER(SEARCH("alpha nodus",(E335&amp;" "&amp;F335))),ISNUMBER(SEARCH("alphanodus",(E335&amp;" "&amp;F335)))),"Yes","No"))</f>
        <v/>
      </c>
      <c r="P335" s="34" t="str">
        <f aca="false">IF(D335="","",IF(O335="Yes","No",IF(OR(AND(F335&lt;&gt;"",COUNTIF('Target &amp; Team Lists'!$A$5:$A$504,F335)&gt;0),COUNTIF('Target &amp; Team Lists'!$E$5:$E$504,D335)&gt;0),"Yes",IF(AND(SUMPRODUCT(('Target &amp; Team Lists'!$N$5:$N$60&lt;&gt;"")*ISNUMBER(SEARCH('Target &amp; Team Lists'!$N$5:$N$60,(E335&amp;" "&amp;F335))))&gt;0,SUMPRODUCT(('Target &amp; Team Lists'!$O$5:$O$60&lt;&gt;"")*ISNUMBER(SEARCH('Target &amp; Team Lists'!$O$5:$O$60,(E335&amp;" "&amp;F335))))=0),"Yes","No"))))</f>
        <v/>
      </c>
      <c r="Q335" s="32"/>
    </row>
    <row r="336" customFormat="false" ht="15" hidden="false" customHeight="false" outlineLevel="0" collapsed="false">
      <c r="A336" s="30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3" t="str">
        <f aca="false">IF(D336="","",IF(SUM(I336:L336)&gt;0,1,0))</f>
        <v/>
      </c>
      <c r="O336" s="34" t="str">
        <f aca="false">IF(D336="","",IF(OR(COUNTIF('Target &amp; Team Lists'!$J$5:$J$204,D336)&gt;0,AND(H336&lt;&gt;"",COUNTIF('Target &amp; Team Lists'!$L$5:$L$204,H336)&gt;0),ISNUMBER(SEARCH("alpha nodus",(E336&amp;" "&amp;F336))),ISNUMBER(SEARCH("alphanodus",(E336&amp;" "&amp;F336)))),"Yes","No"))</f>
        <v/>
      </c>
      <c r="P336" s="34" t="str">
        <f aca="false">IF(D336="","",IF(O336="Yes","No",IF(OR(AND(F336&lt;&gt;"",COUNTIF('Target &amp; Team Lists'!$A$5:$A$504,F336)&gt;0),COUNTIF('Target &amp; Team Lists'!$E$5:$E$504,D336)&gt;0),"Yes",IF(AND(SUMPRODUCT(('Target &amp; Team Lists'!$N$5:$N$60&lt;&gt;"")*ISNUMBER(SEARCH('Target &amp; Team Lists'!$N$5:$N$60,(E336&amp;" "&amp;F336))))&gt;0,SUMPRODUCT(('Target &amp; Team Lists'!$O$5:$O$60&lt;&gt;"")*ISNUMBER(SEARCH('Target &amp; Team Lists'!$O$5:$O$60,(E336&amp;" "&amp;F336))))=0),"Yes","No"))))</f>
        <v/>
      </c>
      <c r="Q336" s="32"/>
    </row>
    <row r="337" customFormat="false" ht="15" hidden="false" customHeight="false" outlineLevel="0" collapsed="false">
      <c r="A337" s="30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3" t="str">
        <f aca="false">IF(D337="","",IF(SUM(I337:L337)&gt;0,1,0))</f>
        <v/>
      </c>
      <c r="O337" s="34" t="str">
        <f aca="false">IF(D337="","",IF(OR(COUNTIF('Target &amp; Team Lists'!$J$5:$J$204,D337)&gt;0,AND(H337&lt;&gt;"",COUNTIF('Target &amp; Team Lists'!$L$5:$L$204,H337)&gt;0),ISNUMBER(SEARCH("alpha nodus",(E337&amp;" "&amp;F337))),ISNUMBER(SEARCH("alphanodus",(E337&amp;" "&amp;F337)))),"Yes","No"))</f>
        <v/>
      </c>
      <c r="P337" s="34" t="str">
        <f aca="false">IF(D337="","",IF(O337="Yes","No",IF(OR(AND(F337&lt;&gt;"",COUNTIF('Target &amp; Team Lists'!$A$5:$A$504,F337)&gt;0),COUNTIF('Target &amp; Team Lists'!$E$5:$E$504,D337)&gt;0),"Yes",IF(AND(SUMPRODUCT(('Target &amp; Team Lists'!$N$5:$N$60&lt;&gt;"")*ISNUMBER(SEARCH('Target &amp; Team Lists'!$N$5:$N$60,(E337&amp;" "&amp;F337))))&gt;0,SUMPRODUCT(('Target &amp; Team Lists'!$O$5:$O$60&lt;&gt;"")*ISNUMBER(SEARCH('Target &amp; Team Lists'!$O$5:$O$60,(E337&amp;" "&amp;F337))))=0),"Yes","No"))))</f>
        <v/>
      </c>
      <c r="Q337" s="32"/>
    </row>
    <row r="338" customFormat="false" ht="15" hidden="false" customHeight="false" outlineLevel="0" collapsed="false">
      <c r="A338" s="30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3" t="str">
        <f aca="false">IF(D338="","",IF(SUM(I338:L338)&gt;0,1,0))</f>
        <v/>
      </c>
      <c r="O338" s="34" t="str">
        <f aca="false">IF(D338="","",IF(OR(COUNTIF('Target &amp; Team Lists'!$J$5:$J$204,D338)&gt;0,AND(H338&lt;&gt;"",COUNTIF('Target &amp; Team Lists'!$L$5:$L$204,H338)&gt;0),ISNUMBER(SEARCH("alpha nodus",(E338&amp;" "&amp;F338))),ISNUMBER(SEARCH("alphanodus",(E338&amp;" "&amp;F338)))),"Yes","No"))</f>
        <v/>
      </c>
      <c r="P338" s="34" t="str">
        <f aca="false">IF(D338="","",IF(O338="Yes","No",IF(OR(AND(F338&lt;&gt;"",COUNTIF('Target &amp; Team Lists'!$A$5:$A$504,F338)&gt;0),COUNTIF('Target &amp; Team Lists'!$E$5:$E$504,D338)&gt;0),"Yes",IF(AND(SUMPRODUCT(('Target &amp; Team Lists'!$N$5:$N$60&lt;&gt;"")*ISNUMBER(SEARCH('Target &amp; Team Lists'!$N$5:$N$60,(E338&amp;" "&amp;F338))))&gt;0,SUMPRODUCT(('Target &amp; Team Lists'!$O$5:$O$60&lt;&gt;"")*ISNUMBER(SEARCH('Target &amp; Team Lists'!$O$5:$O$60,(E338&amp;" "&amp;F338))))=0),"Yes","No"))))</f>
        <v/>
      </c>
      <c r="Q338" s="32"/>
    </row>
    <row r="339" customFormat="false" ht="15" hidden="false" customHeight="false" outlineLevel="0" collapsed="false">
      <c r="A339" s="30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3" t="str">
        <f aca="false">IF(D339="","",IF(SUM(I339:L339)&gt;0,1,0))</f>
        <v/>
      </c>
      <c r="O339" s="34" t="str">
        <f aca="false">IF(D339="","",IF(OR(COUNTIF('Target &amp; Team Lists'!$J$5:$J$204,D339)&gt;0,AND(H339&lt;&gt;"",COUNTIF('Target &amp; Team Lists'!$L$5:$L$204,H339)&gt;0),ISNUMBER(SEARCH("alpha nodus",(E339&amp;" "&amp;F339))),ISNUMBER(SEARCH("alphanodus",(E339&amp;" "&amp;F339)))),"Yes","No"))</f>
        <v/>
      </c>
      <c r="P339" s="34" t="str">
        <f aca="false">IF(D339="","",IF(O339="Yes","No",IF(OR(AND(F339&lt;&gt;"",COUNTIF('Target &amp; Team Lists'!$A$5:$A$504,F339)&gt;0),COUNTIF('Target &amp; Team Lists'!$E$5:$E$504,D339)&gt;0),"Yes",IF(AND(SUMPRODUCT(('Target &amp; Team Lists'!$N$5:$N$60&lt;&gt;"")*ISNUMBER(SEARCH('Target &amp; Team Lists'!$N$5:$N$60,(E339&amp;" "&amp;F339))))&gt;0,SUMPRODUCT(('Target &amp; Team Lists'!$O$5:$O$60&lt;&gt;"")*ISNUMBER(SEARCH('Target &amp; Team Lists'!$O$5:$O$60,(E339&amp;" "&amp;F339))))=0),"Yes","No"))))</f>
        <v/>
      </c>
      <c r="Q339" s="32"/>
    </row>
    <row r="340" customFormat="false" ht="15" hidden="false" customHeight="false" outlineLevel="0" collapsed="false">
      <c r="A340" s="30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3" t="str">
        <f aca="false">IF(D340="","",IF(SUM(I340:L340)&gt;0,1,0))</f>
        <v/>
      </c>
      <c r="O340" s="34" t="str">
        <f aca="false">IF(D340="","",IF(OR(COUNTIF('Target &amp; Team Lists'!$J$5:$J$204,D340)&gt;0,AND(H340&lt;&gt;"",COUNTIF('Target &amp; Team Lists'!$L$5:$L$204,H340)&gt;0),ISNUMBER(SEARCH("alpha nodus",(E340&amp;" "&amp;F340))),ISNUMBER(SEARCH("alphanodus",(E340&amp;" "&amp;F340)))),"Yes","No"))</f>
        <v/>
      </c>
      <c r="P340" s="34" t="str">
        <f aca="false">IF(D340="","",IF(O340="Yes","No",IF(OR(AND(F340&lt;&gt;"",COUNTIF('Target &amp; Team Lists'!$A$5:$A$504,F340)&gt;0),COUNTIF('Target &amp; Team Lists'!$E$5:$E$504,D340)&gt;0),"Yes",IF(AND(SUMPRODUCT(('Target &amp; Team Lists'!$N$5:$N$60&lt;&gt;"")*ISNUMBER(SEARCH('Target &amp; Team Lists'!$N$5:$N$60,(E340&amp;" "&amp;F340))))&gt;0,SUMPRODUCT(('Target &amp; Team Lists'!$O$5:$O$60&lt;&gt;"")*ISNUMBER(SEARCH('Target &amp; Team Lists'!$O$5:$O$60,(E340&amp;" "&amp;F340))))=0),"Yes","No"))))</f>
        <v/>
      </c>
      <c r="Q340" s="32"/>
    </row>
    <row r="341" customFormat="false" ht="15" hidden="false" customHeight="false" outlineLevel="0" collapsed="false">
      <c r="A341" s="30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3" t="str">
        <f aca="false">IF(D341="","",IF(SUM(I341:L341)&gt;0,1,0))</f>
        <v/>
      </c>
      <c r="O341" s="34" t="str">
        <f aca="false">IF(D341="","",IF(OR(COUNTIF('Target &amp; Team Lists'!$J$5:$J$204,D341)&gt;0,AND(H341&lt;&gt;"",COUNTIF('Target &amp; Team Lists'!$L$5:$L$204,H341)&gt;0),ISNUMBER(SEARCH("alpha nodus",(E341&amp;" "&amp;F341))),ISNUMBER(SEARCH("alphanodus",(E341&amp;" "&amp;F341)))),"Yes","No"))</f>
        <v/>
      </c>
      <c r="P341" s="34" t="str">
        <f aca="false">IF(D341="","",IF(O341="Yes","No",IF(OR(AND(F341&lt;&gt;"",COUNTIF('Target &amp; Team Lists'!$A$5:$A$504,F341)&gt;0),COUNTIF('Target &amp; Team Lists'!$E$5:$E$504,D341)&gt;0),"Yes",IF(AND(SUMPRODUCT(('Target &amp; Team Lists'!$N$5:$N$60&lt;&gt;"")*ISNUMBER(SEARCH('Target &amp; Team Lists'!$N$5:$N$60,(E341&amp;" "&amp;F341))))&gt;0,SUMPRODUCT(('Target &amp; Team Lists'!$O$5:$O$60&lt;&gt;"")*ISNUMBER(SEARCH('Target &amp; Team Lists'!$O$5:$O$60,(E341&amp;" "&amp;F341))))=0),"Yes","No"))))</f>
        <v/>
      </c>
      <c r="Q341" s="32"/>
    </row>
    <row r="342" customFormat="false" ht="15" hidden="false" customHeight="false" outlineLevel="0" collapsed="false">
      <c r="A342" s="30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3" t="str">
        <f aca="false">IF(D342="","",IF(SUM(I342:L342)&gt;0,1,0))</f>
        <v/>
      </c>
      <c r="O342" s="34" t="str">
        <f aca="false">IF(D342="","",IF(OR(COUNTIF('Target &amp; Team Lists'!$J$5:$J$204,D342)&gt;0,AND(H342&lt;&gt;"",COUNTIF('Target &amp; Team Lists'!$L$5:$L$204,H342)&gt;0),ISNUMBER(SEARCH("alpha nodus",(E342&amp;" "&amp;F342))),ISNUMBER(SEARCH("alphanodus",(E342&amp;" "&amp;F342)))),"Yes","No"))</f>
        <v/>
      </c>
      <c r="P342" s="34" t="str">
        <f aca="false">IF(D342="","",IF(O342="Yes","No",IF(OR(AND(F342&lt;&gt;"",COUNTIF('Target &amp; Team Lists'!$A$5:$A$504,F342)&gt;0),COUNTIF('Target &amp; Team Lists'!$E$5:$E$504,D342)&gt;0),"Yes",IF(AND(SUMPRODUCT(('Target &amp; Team Lists'!$N$5:$N$60&lt;&gt;"")*ISNUMBER(SEARCH('Target &amp; Team Lists'!$N$5:$N$60,(E342&amp;" "&amp;F342))))&gt;0,SUMPRODUCT(('Target &amp; Team Lists'!$O$5:$O$60&lt;&gt;"")*ISNUMBER(SEARCH('Target &amp; Team Lists'!$O$5:$O$60,(E342&amp;" "&amp;F342))))=0),"Yes","No"))))</f>
        <v/>
      </c>
      <c r="Q342" s="32"/>
    </row>
    <row r="343" customFormat="false" ht="15" hidden="false" customHeight="false" outlineLevel="0" collapsed="false">
      <c r="A343" s="30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3" t="str">
        <f aca="false">IF(D343="","",IF(SUM(I343:L343)&gt;0,1,0))</f>
        <v/>
      </c>
      <c r="O343" s="34" t="str">
        <f aca="false">IF(D343="","",IF(OR(COUNTIF('Target &amp; Team Lists'!$J$5:$J$204,D343)&gt;0,AND(H343&lt;&gt;"",COUNTIF('Target &amp; Team Lists'!$L$5:$L$204,H343)&gt;0),ISNUMBER(SEARCH("alpha nodus",(E343&amp;" "&amp;F343))),ISNUMBER(SEARCH("alphanodus",(E343&amp;" "&amp;F343)))),"Yes","No"))</f>
        <v/>
      </c>
      <c r="P343" s="34" t="str">
        <f aca="false">IF(D343="","",IF(O343="Yes","No",IF(OR(AND(F343&lt;&gt;"",COUNTIF('Target &amp; Team Lists'!$A$5:$A$504,F343)&gt;0),COUNTIF('Target &amp; Team Lists'!$E$5:$E$504,D343)&gt;0),"Yes",IF(AND(SUMPRODUCT(('Target &amp; Team Lists'!$N$5:$N$60&lt;&gt;"")*ISNUMBER(SEARCH('Target &amp; Team Lists'!$N$5:$N$60,(E343&amp;" "&amp;F343))))&gt;0,SUMPRODUCT(('Target &amp; Team Lists'!$O$5:$O$60&lt;&gt;"")*ISNUMBER(SEARCH('Target &amp; Team Lists'!$O$5:$O$60,(E343&amp;" "&amp;F343))))=0),"Yes","No"))))</f>
        <v/>
      </c>
      <c r="Q343" s="32"/>
    </row>
    <row r="344" customFormat="false" ht="15" hidden="false" customHeight="false" outlineLevel="0" collapsed="false">
      <c r="A344" s="30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3" t="str">
        <f aca="false">IF(D344="","",IF(SUM(I344:L344)&gt;0,1,0))</f>
        <v/>
      </c>
      <c r="O344" s="34" t="str">
        <f aca="false">IF(D344="","",IF(OR(COUNTIF('Target &amp; Team Lists'!$J$5:$J$204,D344)&gt;0,AND(H344&lt;&gt;"",COUNTIF('Target &amp; Team Lists'!$L$5:$L$204,H344)&gt;0),ISNUMBER(SEARCH("alpha nodus",(E344&amp;" "&amp;F344))),ISNUMBER(SEARCH("alphanodus",(E344&amp;" "&amp;F344)))),"Yes","No"))</f>
        <v/>
      </c>
      <c r="P344" s="34" t="str">
        <f aca="false">IF(D344="","",IF(O344="Yes","No",IF(OR(AND(F344&lt;&gt;"",COUNTIF('Target &amp; Team Lists'!$A$5:$A$504,F344)&gt;0),COUNTIF('Target &amp; Team Lists'!$E$5:$E$504,D344)&gt;0),"Yes",IF(AND(SUMPRODUCT(('Target &amp; Team Lists'!$N$5:$N$60&lt;&gt;"")*ISNUMBER(SEARCH('Target &amp; Team Lists'!$N$5:$N$60,(E344&amp;" "&amp;F344))))&gt;0,SUMPRODUCT(('Target &amp; Team Lists'!$O$5:$O$60&lt;&gt;"")*ISNUMBER(SEARCH('Target &amp; Team Lists'!$O$5:$O$60,(E344&amp;" "&amp;F344))))=0),"Yes","No"))))</f>
        <v/>
      </c>
      <c r="Q344" s="32"/>
    </row>
    <row r="345" customFormat="false" ht="15" hidden="false" customHeight="false" outlineLevel="0" collapsed="false">
      <c r="A345" s="30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3" t="str">
        <f aca="false">IF(D345="","",IF(SUM(I345:L345)&gt;0,1,0))</f>
        <v/>
      </c>
      <c r="O345" s="34" t="str">
        <f aca="false">IF(D345="","",IF(OR(COUNTIF('Target &amp; Team Lists'!$J$5:$J$204,D345)&gt;0,AND(H345&lt;&gt;"",COUNTIF('Target &amp; Team Lists'!$L$5:$L$204,H345)&gt;0),ISNUMBER(SEARCH("alpha nodus",(E345&amp;" "&amp;F345))),ISNUMBER(SEARCH("alphanodus",(E345&amp;" "&amp;F345)))),"Yes","No"))</f>
        <v/>
      </c>
      <c r="P345" s="34" t="str">
        <f aca="false">IF(D345="","",IF(O345="Yes","No",IF(OR(AND(F345&lt;&gt;"",COUNTIF('Target &amp; Team Lists'!$A$5:$A$504,F345)&gt;0),COUNTIF('Target &amp; Team Lists'!$E$5:$E$504,D345)&gt;0),"Yes",IF(AND(SUMPRODUCT(('Target &amp; Team Lists'!$N$5:$N$60&lt;&gt;"")*ISNUMBER(SEARCH('Target &amp; Team Lists'!$N$5:$N$60,(E345&amp;" "&amp;F345))))&gt;0,SUMPRODUCT(('Target &amp; Team Lists'!$O$5:$O$60&lt;&gt;"")*ISNUMBER(SEARCH('Target &amp; Team Lists'!$O$5:$O$60,(E345&amp;" "&amp;F345))))=0),"Yes","No"))))</f>
        <v/>
      </c>
      <c r="Q345" s="32"/>
    </row>
    <row r="346" customFormat="false" ht="15" hidden="false" customHeight="false" outlineLevel="0" collapsed="false">
      <c r="A346" s="30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3" t="str">
        <f aca="false">IF(D346="","",IF(SUM(I346:L346)&gt;0,1,0))</f>
        <v/>
      </c>
      <c r="O346" s="34" t="str">
        <f aca="false">IF(D346="","",IF(OR(COUNTIF('Target &amp; Team Lists'!$J$5:$J$204,D346)&gt;0,AND(H346&lt;&gt;"",COUNTIF('Target &amp; Team Lists'!$L$5:$L$204,H346)&gt;0),ISNUMBER(SEARCH("alpha nodus",(E346&amp;" "&amp;F346))),ISNUMBER(SEARCH("alphanodus",(E346&amp;" "&amp;F346)))),"Yes","No"))</f>
        <v/>
      </c>
      <c r="P346" s="34" t="str">
        <f aca="false">IF(D346="","",IF(O346="Yes","No",IF(OR(AND(F346&lt;&gt;"",COUNTIF('Target &amp; Team Lists'!$A$5:$A$504,F346)&gt;0),COUNTIF('Target &amp; Team Lists'!$E$5:$E$504,D346)&gt;0),"Yes",IF(AND(SUMPRODUCT(('Target &amp; Team Lists'!$N$5:$N$60&lt;&gt;"")*ISNUMBER(SEARCH('Target &amp; Team Lists'!$N$5:$N$60,(E346&amp;" "&amp;F346))))&gt;0,SUMPRODUCT(('Target &amp; Team Lists'!$O$5:$O$60&lt;&gt;"")*ISNUMBER(SEARCH('Target &amp; Team Lists'!$O$5:$O$60,(E346&amp;" "&amp;F346))))=0),"Yes","No"))))</f>
        <v/>
      </c>
      <c r="Q346" s="32"/>
    </row>
    <row r="347" customFormat="false" ht="15" hidden="false" customHeight="false" outlineLevel="0" collapsed="false">
      <c r="A347" s="30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3" t="str">
        <f aca="false">IF(D347="","",IF(SUM(I347:L347)&gt;0,1,0))</f>
        <v/>
      </c>
      <c r="O347" s="34" t="str">
        <f aca="false">IF(D347="","",IF(OR(COUNTIF('Target &amp; Team Lists'!$J$5:$J$204,D347)&gt;0,AND(H347&lt;&gt;"",COUNTIF('Target &amp; Team Lists'!$L$5:$L$204,H347)&gt;0),ISNUMBER(SEARCH("alpha nodus",(E347&amp;" "&amp;F347))),ISNUMBER(SEARCH("alphanodus",(E347&amp;" "&amp;F347)))),"Yes","No"))</f>
        <v/>
      </c>
      <c r="P347" s="34" t="str">
        <f aca="false">IF(D347="","",IF(O347="Yes","No",IF(OR(AND(F347&lt;&gt;"",COUNTIF('Target &amp; Team Lists'!$A$5:$A$504,F347)&gt;0),COUNTIF('Target &amp; Team Lists'!$E$5:$E$504,D347)&gt;0),"Yes",IF(AND(SUMPRODUCT(('Target &amp; Team Lists'!$N$5:$N$60&lt;&gt;"")*ISNUMBER(SEARCH('Target &amp; Team Lists'!$N$5:$N$60,(E347&amp;" "&amp;F347))))&gt;0,SUMPRODUCT(('Target &amp; Team Lists'!$O$5:$O$60&lt;&gt;"")*ISNUMBER(SEARCH('Target &amp; Team Lists'!$O$5:$O$60,(E347&amp;" "&amp;F347))))=0),"Yes","No"))))</f>
        <v/>
      </c>
      <c r="Q347" s="32"/>
    </row>
    <row r="348" customFormat="false" ht="15" hidden="false" customHeight="false" outlineLevel="0" collapsed="false">
      <c r="A348" s="30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3" t="str">
        <f aca="false">IF(D348="","",IF(SUM(I348:L348)&gt;0,1,0))</f>
        <v/>
      </c>
      <c r="O348" s="34" t="str">
        <f aca="false">IF(D348="","",IF(OR(COUNTIF('Target &amp; Team Lists'!$J$5:$J$204,D348)&gt;0,AND(H348&lt;&gt;"",COUNTIF('Target &amp; Team Lists'!$L$5:$L$204,H348)&gt;0),ISNUMBER(SEARCH("alpha nodus",(E348&amp;" "&amp;F348))),ISNUMBER(SEARCH("alphanodus",(E348&amp;" "&amp;F348)))),"Yes","No"))</f>
        <v/>
      </c>
      <c r="P348" s="34" t="str">
        <f aca="false">IF(D348="","",IF(O348="Yes","No",IF(OR(AND(F348&lt;&gt;"",COUNTIF('Target &amp; Team Lists'!$A$5:$A$504,F348)&gt;0),COUNTIF('Target &amp; Team Lists'!$E$5:$E$504,D348)&gt;0),"Yes",IF(AND(SUMPRODUCT(('Target &amp; Team Lists'!$N$5:$N$60&lt;&gt;"")*ISNUMBER(SEARCH('Target &amp; Team Lists'!$N$5:$N$60,(E348&amp;" "&amp;F348))))&gt;0,SUMPRODUCT(('Target &amp; Team Lists'!$O$5:$O$60&lt;&gt;"")*ISNUMBER(SEARCH('Target &amp; Team Lists'!$O$5:$O$60,(E348&amp;" "&amp;F348))))=0),"Yes","No"))))</f>
        <v/>
      </c>
      <c r="Q348" s="32"/>
    </row>
    <row r="349" customFormat="false" ht="15" hidden="false" customHeight="false" outlineLevel="0" collapsed="false">
      <c r="A349" s="30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3" t="str">
        <f aca="false">IF(D349="","",IF(SUM(I349:L349)&gt;0,1,0))</f>
        <v/>
      </c>
      <c r="O349" s="34" t="str">
        <f aca="false">IF(D349="","",IF(OR(COUNTIF('Target &amp; Team Lists'!$J$5:$J$204,D349)&gt;0,AND(H349&lt;&gt;"",COUNTIF('Target &amp; Team Lists'!$L$5:$L$204,H349)&gt;0),ISNUMBER(SEARCH("alpha nodus",(E349&amp;" "&amp;F349))),ISNUMBER(SEARCH("alphanodus",(E349&amp;" "&amp;F349)))),"Yes","No"))</f>
        <v/>
      </c>
      <c r="P349" s="34" t="str">
        <f aca="false">IF(D349="","",IF(O349="Yes","No",IF(OR(AND(F349&lt;&gt;"",COUNTIF('Target &amp; Team Lists'!$A$5:$A$504,F349)&gt;0),COUNTIF('Target &amp; Team Lists'!$E$5:$E$504,D349)&gt;0),"Yes",IF(AND(SUMPRODUCT(('Target &amp; Team Lists'!$N$5:$N$60&lt;&gt;"")*ISNUMBER(SEARCH('Target &amp; Team Lists'!$N$5:$N$60,(E349&amp;" "&amp;F349))))&gt;0,SUMPRODUCT(('Target &amp; Team Lists'!$O$5:$O$60&lt;&gt;"")*ISNUMBER(SEARCH('Target &amp; Team Lists'!$O$5:$O$60,(E349&amp;" "&amp;F349))))=0),"Yes","No"))))</f>
        <v/>
      </c>
      <c r="Q349" s="32"/>
    </row>
    <row r="350" customFormat="false" ht="15" hidden="false" customHeight="false" outlineLevel="0" collapsed="false">
      <c r="A350" s="30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3" t="str">
        <f aca="false">IF(D350="","",IF(SUM(I350:L350)&gt;0,1,0))</f>
        <v/>
      </c>
      <c r="O350" s="34" t="str">
        <f aca="false">IF(D350="","",IF(OR(COUNTIF('Target &amp; Team Lists'!$J$5:$J$204,D350)&gt;0,AND(H350&lt;&gt;"",COUNTIF('Target &amp; Team Lists'!$L$5:$L$204,H350)&gt;0),ISNUMBER(SEARCH("alpha nodus",(E350&amp;" "&amp;F350))),ISNUMBER(SEARCH("alphanodus",(E350&amp;" "&amp;F350)))),"Yes","No"))</f>
        <v/>
      </c>
      <c r="P350" s="34" t="str">
        <f aca="false">IF(D350="","",IF(O350="Yes","No",IF(OR(AND(F350&lt;&gt;"",COUNTIF('Target &amp; Team Lists'!$A$5:$A$504,F350)&gt;0),COUNTIF('Target &amp; Team Lists'!$E$5:$E$504,D350)&gt;0),"Yes",IF(AND(SUMPRODUCT(('Target &amp; Team Lists'!$N$5:$N$60&lt;&gt;"")*ISNUMBER(SEARCH('Target &amp; Team Lists'!$N$5:$N$60,(E350&amp;" "&amp;F350))))&gt;0,SUMPRODUCT(('Target &amp; Team Lists'!$O$5:$O$60&lt;&gt;"")*ISNUMBER(SEARCH('Target &amp; Team Lists'!$O$5:$O$60,(E350&amp;" "&amp;F350))))=0),"Yes","No"))))</f>
        <v/>
      </c>
      <c r="Q350" s="32"/>
    </row>
    <row r="351" customFormat="false" ht="15" hidden="false" customHeight="false" outlineLevel="0" collapsed="false">
      <c r="A351" s="30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3" t="str">
        <f aca="false">IF(D351="","",IF(SUM(I351:L351)&gt;0,1,0))</f>
        <v/>
      </c>
      <c r="O351" s="34" t="str">
        <f aca="false">IF(D351="","",IF(OR(COUNTIF('Target &amp; Team Lists'!$J$5:$J$204,D351)&gt;0,AND(H351&lt;&gt;"",COUNTIF('Target &amp; Team Lists'!$L$5:$L$204,H351)&gt;0),ISNUMBER(SEARCH("alpha nodus",(E351&amp;" "&amp;F351))),ISNUMBER(SEARCH("alphanodus",(E351&amp;" "&amp;F351)))),"Yes","No"))</f>
        <v/>
      </c>
      <c r="P351" s="34" t="str">
        <f aca="false">IF(D351="","",IF(O351="Yes","No",IF(OR(AND(F351&lt;&gt;"",COUNTIF('Target &amp; Team Lists'!$A$5:$A$504,F351)&gt;0),COUNTIF('Target &amp; Team Lists'!$E$5:$E$504,D351)&gt;0),"Yes",IF(AND(SUMPRODUCT(('Target &amp; Team Lists'!$N$5:$N$60&lt;&gt;"")*ISNUMBER(SEARCH('Target &amp; Team Lists'!$N$5:$N$60,(E351&amp;" "&amp;F351))))&gt;0,SUMPRODUCT(('Target &amp; Team Lists'!$O$5:$O$60&lt;&gt;"")*ISNUMBER(SEARCH('Target &amp; Team Lists'!$O$5:$O$60,(E351&amp;" "&amp;F351))))=0),"Yes","No"))))</f>
        <v/>
      </c>
      <c r="Q351" s="32"/>
    </row>
    <row r="352" customFormat="false" ht="15" hidden="false" customHeight="false" outlineLevel="0" collapsed="false">
      <c r="A352" s="30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3" t="str">
        <f aca="false">IF(D352="","",IF(SUM(I352:L352)&gt;0,1,0))</f>
        <v/>
      </c>
      <c r="O352" s="34" t="str">
        <f aca="false">IF(D352="","",IF(OR(COUNTIF('Target &amp; Team Lists'!$J$5:$J$204,D352)&gt;0,AND(H352&lt;&gt;"",COUNTIF('Target &amp; Team Lists'!$L$5:$L$204,H352)&gt;0),ISNUMBER(SEARCH("alpha nodus",(E352&amp;" "&amp;F352))),ISNUMBER(SEARCH("alphanodus",(E352&amp;" "&amp;F352)))),"Yes","No"))</f>
        <v/>
      </c>
      <c r="P352" s="34" t="str">
        <f aca="false">IF(D352="","",IF(O352="Yes","No",IF(OR(AND(F352&lt;&gt;"",COUNTIF('Target &amp; Team Lists'!$A$5:$A$504,F352)&gt;0),COUNTIF('Target &amp; Team Lists'!$E$5:$E$504,D352)&gt;0),"Yes",IF(AND(SUMPRODUCT(('Target &amp; Team Lists'!$N$5:$N$60&lt;&gt;"")*ISNUMBER(SEARCH('Target &amp; Team Lists'!$N$5:$N$60,(E352&amp;" "&amp;F352))))&gt;0,SUMPRODUCT(('Target &amp; Team Lists'!$O$5:$O$60&lt;&gt;"")*ISNUMBER(SEARCH('Target &amp; Team Lists'!$O$5:$O$60,(E352&amp;" "&amp;F352))))=0),"Yes","No"))))</f>
        <v/>
      </c>
      <c r="Q352" s="32"/>
    </row>
    <row r="353" customFormat="false" ht="15" hidden="false" customHeight="false" outlineLevel="0" collapsed="false">
      <c r="A353" s="30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3" t="str">
        <f aca="false">IF(D353="","",IF(SUM(I353:L353)&gt;0,1,0))</f>
        <v/>
      </c>
      <c r="O353" s="34" t="str">
        <f aca="false">IF(D353="","",IF(OR(COUNTIF('Target &amp; Team Lists'!$J$5:$J$204,D353)&gt;0,AND(H353&lt;&gt;"",COUNTIF('Target &amp; Team Lists'!$L$5:$L$204,H353)&gt;0),ISNUMBER(SEARCH("alpha nodus",(E353&amp;" "&amp;F353))),ISNUMBER(SEARCH("alphanodus",(E353&amp;" "&amp;F353)))),"Yes","No"))</f>
        <v/>
      </c>
      <c r="P353" s="34" t="str">
        <f aca="false">IF(D353="","",IF(O353="Yes","No",IF(OR(AND(F353&lt;&gt;"",COUNTIF('Target &amp; Team Lists'!$A$5:$A$504,F353)&gt;0),COUNTIF('Target &amp; Team Lists'!$E$5:$E$504,D353)&gt;0),"Yes",IF(AND(SUMPRODUCT(('Target &amp; Team Lists'!$N$5:$N$60&lt;&gt;"")*ISNUMBER(SEARCH('Target &amp; Team Lists'!$N$5:$N$60,(E353&amp;" "&amp;F353))))&gt;0,SUMPRODUCT(('Target &amp; Team Lists'!$O$5:$O$60&lt;&gt;"")*ISNUMBER(SEARCH('Target &amp; Team Lists'!$O$5:$O$60,(E353&amp;" "&amp;F353))))=0),"Yes","No"))))</f>
        <v/>
      </c>
      <c r="Q353" s="32"/>
    </row>
    <row r="354" customFormat="false" ht="15" hidden="false" customHeight="false" outlineLevel="0" collapsed="false">
      <c r="A354" s="30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3" t="str">
        <f aca="false">IF(D354="","",IF(SUM(I354:L354)&gt;0,1,0))</f>
        <v/>
      </c>
      <c r="O354" s="34" t="str">
        <f aca="false">IF(D354="","",IF(OR(COUNTIF('Target &amp; Team Lists'!$J$5:$J$204,D354)&gt;0,AND(H354&lt;&gt;"",COUNTIF('Target &amp; Team Lists'!$L$5:$L$204,H354)&gt;0),ISNUMBER(SEARCH("alpha nodus",(E354&amp;" "&amp;F354))),ISNUMBER(SEARCH("alphanodus",(E354&amp;" "&amp;F354)))),"Yes","No"))</f>
        <v/>
      </c>
      <c r="P354" s="34" t="str">
        <f aca="false">IF(D354="","",IF(O354="Yes","No",IF(OR(AND(F354&lt;&gt;"",COUNTIF('Target &amp; Team Lists'!$A$5:$A$504,F354)&gt;0),COUNTIF('Target &amp; Team Lists'!$E$5:$E$504,D354)&gt;0),"Yes",IF(AND(SUMPRODUCT(('Target &amp; Team Lists'!$N$5:$N$60&lt;&gt;"")*ISNUMBER(SEARCH('Target &amp; Team Lists'!$N$5:$N$60,(E354&amp;" "&amp;F354))))&gt;0,SUMPRODUCT(('Target &amp; Team Lists'!$O$5:$O$60&lt;&gt;"")*ISNUMBER(SEARCH('Target &amp; Team Lists'!$O$5:$O$60,(E354&amp;" "&amp;F354))))=0),"Yes","No"))))</f>
        <v/>
      </c>
      <c r="Q354" s="32"/>
    </row>
    <row r="355" customFormat="false" ht="15" hidden="false" customHeight="false" outlineLevel="0" collapsed="false">
      <c r="A355" s="30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3" t="str">
        <f aca="false">IF(D355="","",IF(SUM(I355:L355)&gt;0,1,0))</f>
        <v/>
      </c>
      <c r="O355" s="34" t="str">
        <f aca="false">IF(D355="","",IF(OR(COUNTIF('Target &amp; Team Lists'!$J$5:$J$204,D355)&gt;0,AND(H355&lt;&gt;"",COUNTIF('Target &amp; Team Lists'!$L$5:$L$204,H355)&gt;0),ISNUMBER(SEARCH("alpha nodus",(E355&amp;" "&amp;F355))),ISNUMBER(SEARCH("alphanodus",(E355&amp;" "&amp;F355)))),"Yes","No"))</f>
        <v/>
      </c>
      <c r="P355" s="34" t="str">
        <f aca="false">IF(D355="","",IF(O355="Yes","No",IF(OR(AND(F355&lt;&gt;"",COUNTIF('Target &amp; Team Lists'!$A$5:$A$504,F355)&gt;0),COUNTIF('Target &amp; Team Lists'!$E$5:$E$504,D355)&gt;0),"Yes",IF(AND(SUMPRODUCT(('Target &amp; Team Lists'!$N$5:$N$60&lt;&gt;"")*ISNUMBER(SEARCH('Target &amp; Team Lists'!$N$5:$N$60,(E355&amp;" "&amp;F355))))&gt;0,SUMPRODUCT(('Target &amp; Team Lists'!$O$5:$O$60&lt;&gt;"")*ISNUMBER(SEARCH('Target &amp; Team Lists'!$O$5:$O$60,(E355&amp;" "&amp;F355))))=0),"Yes","No"))))</f>
        <v/>
      </c>
      <c r="Q355" s="32"/>
    </row>
    <row r="356" customFormat="false" ht="15" hidden="false" customHeight="false" outlineLevel="0" collapsed="false">
      <c r="A356" s="30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3" t="str">
        <f aca="false">IF(D356="","",IF(SUM(I356:L356)&gt;0,1,0))</f>
        <v/>
      </c>
      <c r="O356" s="34" t="str">
        <f aca="false">IF(D356="","",IF(OR(COUNTIF('Target &amp; Team Lists'!$J$5:$J$204,D356)&gt;0,AND(H356&lt;&gt;"",COUNTIF('Target &amp; Team Lists'!$L$5:$L$204,H356)&gt;0),ISNUMBER(SEARCH("alpha nodus",(E356&amp;" "&amp;F356))),ISNUMBER(SEARCH("alphanodus",(E356&amp;" "&amp;F356)))),"Yes","No"))</f>
        <v/>
      </c>
      <c r="P356" s="34" t="str">
        <f aca="false">IF(D356="","",IF(O356="Yes","No",IF(OR(AND(F356&lt;&gt;"",COUNTIF('Target &amp; Team Lists'!$A$5:$A$504,F356)&gt;0),COUNTIF('Target &amp; Team Lists'!$E$5:$E$504,D356)&gt;0),"Yes",IF(AND(SUMPRODUCT(('Target &amp; Team Lists'!$N$5:$N$60&lt;&gt;"")*ISNUMBER(SEARCH('Target &amp; Team Lists'!$N$5:$N$60,(E356&amp;" "&amp;F356))))&gt;0,SUMPRODUCT(('Target &amp; Team Lists'!$O$5:$O$60&lt;&gt;"")*ISNUMBER(SEARCH('Target &amp; Team Lists'!$O$5:$O$60,(E356&amp;" "&amp;F356))))=0),"Yes","No"))))</f>
        <v/>
      </c>
      <c r="Q356" s="32"/>
    </row>
    <row r="357" customFormat="false" ht="15" hidden="false" customHeight="false" outlineLevel="0" collapsed="false">
      <c r="A357" s="30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3" t="str">
        <f aca="false">IF(D357="","",IF(SUM(I357:L357)&gt;0,1,0))</f>
        <v/>
      </c>
      <c r="O357" s="34" t="str">
        <f aca="false">IF(D357="","",IF(OR(COUNTIF('Target &amp; Team Lists'!$J$5:$J$204,D357)&gt;0,AND(H357&lt;&gt;"",COUNTIF('Target &amp; Team Lists'!$L$5:$L$204,H357)&gt;0),ISNUMBER(SEARCH("alpha nodus",(E357&amp;" "&amp;F357))),ISNUMBER(SEARCH("alphanodus",(E357&amp;" "&amp;F357)))),"Yes","No"))</f>
        <v/>
      </c>
      <c r="P357" s="34" t="str">
        <f aca="false">IF(D357="","",IF(O357="Yes","No",IF(OR(AND(F357&lt;&gt;"",COUNTIF('Target &amp; Team Lists'!$A$5:$A$504,F357)&gt;0),COUNTIF('Target &amp; Team Lists'!$E$5:$E$504,D357)&gt;0),"Yes",IF(AND(SUMPRODUCT(('Target &amp; Team Lists'!$N$5:$N$60&lt;&gt;"")*ISNUMBER(SEARCH('Target &amp; Team Lists'!$N$5:$N$60,(E357&amp;" "&amp;F357))))&gt;0,SUMPRODUCT(('Target &amp; Team Lists'!$O$5:$O$60&lt;&gt;"")*ISNUMBER(SEARCH('Target &amp; Team Lists'!$O$5:$O$60,(E357&amp;" "&amp;F357))))=0),"Yes","No"))))</f>
        <v/>
      </c>
      <c r="Q357" s="32"/>
    </row>
    <row r="358" customFormat="false" ht="15" hidden="false" customHeight="false" outlineLevel="0" collapsed="false">
      <c r="A358" s="30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3" t="str">
        <f aca="false">IF(D358="","",IF(SUM(I358:L358)&gt;0,1,0))</f>
        <v/>
      </c>
      <c r="O358" s="34" t="str">
        <f aca="false">IF(D358="","",IF(OR(COUNTIF('Target &amp; Team Lists'!$J$5:$J$204,D358)&gt;0,AND(H358&lt;&gt;"",COUNTIF('Target &amp; Team Lists'!$L$5:$L$204,H358)&gt;0),ISNUMBER(SEARCH("alpha nodus",(E358&amp;" "&amp;F358))),ISNUMBER(SEARCH("alphanodus",(E358&amp;" "&amp;F358)))),"Yes","No"))</f>
        <v/>
      </c>
      <c r="P358" s="34" t="str">
        <f aca="false">IF(D358="","",IF(O358="Yes","No",IF(OR(AND(F358&lt;&gt;"",COUNTIF('Target &amp; Team Lists'!$A$5:$A$504,F358)&gt;0),COUNTIF('Target &amp; Team Lists'!$E$5:$E$504,D358)&gt;0),"Yes",IF(AND(SUMPRODUCT(('Target &amp; Team Lists'!$N$5:$N$60&lt;&gt;"")*ISNUMBER(SEARCH('Target &amp; Team Lists'!$N$5:$N$60,(E358&amp;" "&amp;F358))))&gt;0,SUMPRODUCT(('Target &amp; Team Lists'!$O$5:$O$60&lt;&gt;"")*ISNUMBER(SEARCH('Target &amp; Team Lists'!$O$5:$O$60,(E358&amp;" "&amp;F358))))=0),"Yes","No"))))</f>
        <v/>
      </c>
      <c r="Q358" s="32"/>
    </row>
    <row r="359" customFormat="false" ht="15" hidden="false" customHeight="false" outlineLevel="0" collapsed="false">
      <c r="A359" s="30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3" t="str">
        <f aca="false">IF(D359="","",IF(SUM(I359:L359)&gt;0,1,0))</f>
        <v/>
      </c>
      <c r="O359" s="34" t="str">
        <f aca="false">IF(D359="","",IF(OR(COUNTIF('Target &amp; Team Lists'!$J$5:$J$204,D359)&gt;0,AND(H359&lt;&gt;"",COUNTIF('Target &amp; Team Lists'!$L$5:$L$204,H359)&gt;0),ISNUMBER(SEARCH("alpha nodus",(E359&amp;" "&amp;F359))),ISNUMBER(SEARCH("alphanodus",(E359&amp;" "&amp;F359)))),"Yes","No"))</f>
        <v/>
      </c>
      <c r="P359" s="34" t="str">
        <f aca="false">IF(D359="","",IF(O359="Yes","No",IF(OR(AND(F359&lt;&gt;"",COUNTIF('Target &amp; Team Lists'!$A$5:$A$504,F359)&gt;0),COUNTIF('Target &amp; Team Lists'!$E$5:$E$504,D359)&gt;0),"Yes",IF(AND(SUMPRODUCT(('Target &amp; Team Lists'!$N$5:$N$60&lt;&gt;"")*ISNUMBER(SEARCH('Target &amp; Team Lists'!$N$5:$N$60,(E359&amp;" "&amp;F359))))&gt;0,SUMPRODUCT(('Target &amp; Team Lists'!$O$5:$O$60&lt;&gt;"")*ISNUMBER(SEARCH('Target &amp; Team Lists'!$O$5:$O$60,(E359&amp;" "&amp;F359))))=0),"Yes","No"))))</f>
        <v/>
      </c>
      <c r="Q359" s="32"/>
    </row>
    <row r="360" customFormat="false" ht="15" hidden="false" customHeight="false" outlineLevel="0" collapsed="false">
      <c r="A360" s="30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3" t="str">
        <f aca="false">IF(D360="","",IF(SUM(I360:L360)&gt;0,1,0))</f>
        <v/>
      </c>
      <c r="O360" s="34" t="str">
        <f aca="false">IF(D360="","",IF(OR(COUNTIF('Target &amp; Team Lists'!$J$5:$J$204,D360)&gt;0,AND(H360&lt;&gt;"",COUNTIF('Target &amp; Team Lists'!$L$5:$L$204,H360)&gt;0),ISNUMBER(SEARCH("alpha nodus",(E360&amp;" "&amp;F360))),ISNUMBER(SEARCH("alphanodus",(E360&amp;" "&amp;F360)))),"Yes","No"))</f>
        <v/>
      </c>
      <c r="P360" s="34" t="str">
        <f aca="false">IF(D360="","",IF(O360="Yes","No",IF(OR(AND(F360&lt;&gt;"",COUNTIF('Target &amp; Team Lists'!$A$5:$A$504,F360)&gt;0),COUNTIF('Target &amp; Team Lists'!$E$5:$E$504,D360)&gt;0),"Yes",IF(AND(SUMPRODUCT(('Target &amp; Team Lists'!$N$5:$N$60&lt;&gt;"")*ISNUMBER(SEARCH('Target &amp; Team Lists'!$N$5:$N$60,(E360&amp;" "&amp;F360))))&gt;0,SUMPRODUCT(('Target &amp; Team Lists'!$O$5:$O$60&lt;&gt;"")*ISNUMBER(SEARCH('Target &amp; Team Lists'!$O$5:$O$60,(E360&amp;" "&amp;F360))))=0),"Yes","No"))))</f>
        <v/>
      </c>
      <c r="Q360" s="32"/>
    </row>
    <row r="361" customFormat="false" ht="15" hidden="false" customHeight="false" outlineLevel="0" collapsed="false">
      <c r="A361" s="30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3" t="str">
        <f aca="false">IF(D361="","",IF(SUM(I361:L361)&gt;0,1,0))</f>
        <v/>
      </c>
      <c r="O361" s="34" t="str">
        <f aca="false">IF(D361="","",IF(OR(COUNTIF('Target &amp; Team Lists'!$J$5:$J$204,D361)&gt;0,AND(H361&lt;&gt;"",COUNTIF('Target &amp; Team Lists'!$L$5:$L$204,H361)&gt;0),ISNUMBER(SEARCH("alpha nodus",(E361&amp;" "&amp;F361))),ISNUMBER(SEARCH("alphanodus",(E361&amp;" "&amp;F361)))),"Yes","No"))</f>
        <v/>
      </c>
      <c r="P361" s="34" t="str">
        <f aca="false">IF(D361="","",IF(O361="Yes","No",IF(OR(AND(F361&lt;&gt;"",COUNTIF('Target &amp; Team Lists'!$A$5:$A$504,F361)&gt;0),COUNTIF('Target &amp; Team Lists'!$E$5:$E$504,D361)&gt;0),"Yes",IF(AND(SUMPRODUCT(('Target &amp; Team Lists'!$N$5:$N$60&lt;&gt;"")*ISNUMBER(SEARCH('Target &amp; Team Lists'!$N$5:$N$60,(E361&amp;" "&amp;F361))))&gt;0,SUMPRODUCT(('Target &amp; Team Lists'!$O$5:$O$60&lt;&gt;"")*ISNUMBER(SEARCH('Target &amp; Team Lists'!$O$5:$O$60,(E361&amp;" "&amp;F361))))=0),"Yes","No"))))</f>
        <v/>
      </c>
      <c r="Q361" s="32"/>
    </row>
    <row r="362" customFormat="false" ht="15" hidden="false" customHeight="false" outlineLevel="0" collapsed="false">
      <c r="A362" s="30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3" t="str">
        <f aca="false">IF(D362="","",IF(SUM(I362:L362)&gt;0,1,0))</f>
        <v/>
      </c>
      <c r="O362" s="34" t="str">
        <f aca="false">IF(D362="","",IF(OR(COUNTIF('Target &amp; Team Lists'!$J$5:$J$204,D362)&gt;0,AND(H362&lt;&gt;"",COUNTIF('Target &amp; Team Lists'!$L$5:$L$204,H362)&gt;0),ISNUMBER(SEARCH("alpha nodus",(E362&amp;" "&amp;F362))),ISNUMBER(SEARCH("alphanodus",(E362&amp;" "&amp;F362)))),"Yes","No"))</f>
        <v/>
      </c>
      <c r="P362" s="34" t="str">
        <f aca="false">IF(D362="","",IF(O362="Yes","No",IF(OR(AND(F362&lt;&gt;"",COUNTIF('Target &amp; Team Lists'!$A$5:$A$504,F362)&gt;0),COUNTIF('Target &amp; Team Lists'!$E$5:$E$504,D362)&gt;0),"Yes",IF(AND(SUMPRODUCT(('Target &amp; Team Lists'!$N$5:$N$60&lt;&gt;"")*ISNUMBER(SEARCH('Target &amp; Team Lists'!$N$5:$N$60,(E362&amp;" "&amp;F362))))&gt;0,SUMPRODUCT(('Target &amp; Team Lists'!$O$5:$O$60&lt;&gt;"")*ISNUMBER(SEARCH('Target &amp; Team Lists'!$O$5:$O$60,(E362&amp;" "&amp;F362))))=0),"Yes","No"))))</f>
        <v/>
      </c>
      <c r="Q362" s="32"/>
    </row>
    <row r="363" customFormat="false" ht="15" hidden="false" customHeight="false" outlineLevel="0" collapsed="false">
      <c r="A363" s="30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3" t="str">
        <f aca="false">IF(D363="","",IF(SUM(I363:L363)&gt;0,1,0))</f>
        <v/>
      </c>
      <c r="O363" s="34" t="str">
        <f aca="false">IF(D363="","",IF(OR(COUNTIF('Target &amp; Team Lists'!$J$5:$J$204,D363)&gt;0,AND(H363&lt;&gt;"",COUNTIF('Target &amp; Team Lists'!$L$5:$L$204,H363)&gt;0),ISNUMBER(SEARCH("alpha nodus",(E363&amp;" "&amp;F363))),ISNUMBER(SEARCH("alphanodus",(E363&amp;" "&amp;F363)))),"Yes","No"))</f>
        <v/>
      </c>
      <c r="P363" s="34" t="str">
        <f aca="false">IF(D363="","",IF(O363="Yes","No",IF(OR(AND(F363&lt;&gt;"",COUNTIF('Target &amp; Team Lists'!$A$5:$A$504,F363)&gt;0),COUNTIF('Target &amp; Team Lists'!$E$5:$E$504,D363)&gt;0),"Yes",IF(AND(SUMPRODUCT(('Target &amp; Team Lists'!$N$5:$N$60&lt;&gt;"")*ISNUMBER(SEARCH('Target &amp; Team Lists'!$N$5:$N$60,(E363&amp;" "&amp;F363))))&gt;0,SUMPRODUCT(('Target &amp; Team Lists'!$O$5:$O$60&lt;&gt;"")*ISNUMBER(SEARCH('Target &amp; Team Lists'!$O$5:$O$60,(E363&amp;" "&amp;F363))))=0),"Yes","No"))))</f>
        <v/>
      </c>
      <c r="Q363" s="32"/>
    </row>
    <row r="364" customFormat="false" ht="15" hidden="false" customHeight="false" outlineLevel="0" collapsed="false">
      <c r="A364" s="30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3" t="str">
        <f aca="false">IF(D364="","",IF(SUM(I364:L364)&gt;0,1,0))</f>
        <v/>
      </c>
      <c r="O364" s="34" t="str">
        <f aca="false">IF(D364="","",IF(OR(COUNTIF('Target &amp; Team Lists'!$J$5:$J$204,D364)&gt;0,AND(H364&lt;&gt;"",COUNTIF('Target &amp; Team Lists'!$L$5:$L$204,H364)&gt;0),ISNUMBER(SEARCH("alpha nodus",(E364&amp;" "&amp;F364))),ISNUMBER(SEARCH("alphanodus",(E364&amp;" "&amp;F364)))),"Yes","No"))</f>
        <v/>
      </c>
      <c r="P364" s="34" t="str">
        <f aca="false">IF(D364="","",IF(O364="Yes","No",IF(OR(AND(F364&lt;&gt;"",COUNTIF('Target &amp; Team Lists'!$A$5:$A$504,F364)&gt;0),COUNTIF('Target &amp; Team Lists'!$E$5:$E$504,D364)&gt;0),"Yes",IF(AND(SUMPRODUCT(('Target &amp; Team Lists'!$N$5:$N$60&lt;&gt;"")*ISNUMBER(SEARCH('Target &amp; Team Lists'!$N$5:$N$60,(E364&amp;" "&amp;F364))))&gt;0,SUMPRODUCT(('Target &amp; Team Lists'!$O$5:$O$60&lt;&gt;"")*ISNUMBER(SEARCH('Target &amp; Team Lists'!$O$5:$O$60,(E364&amp;" "&amp;F364))))=0),"Yes","No"))))</f>
        <v/>
      </c>
      <c r="Q364" s="32"/>
    </row>
    <row r="365" customFormat="false" ht="15" hidden="false" customHeight="false" outlineLevel="0" collapsed="false">
      <c r="A365" s="30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3" t="str">
        <f aca="false">IF(D365="","",IF(SUM(I365:L365)&gt;0,1,0))</f>
        <v/>
      </c>
      <c r="O365" s="34" t="str">
        <f aca="false">IF(D365="","",IF(OR(COUNTIF('Target &amp; Team Lists'!$J$5:$J$204,D365)&gt;0,AND(H365&lt;&gt;"",COUNTIF('Target &amp; Team Lists'!$L$5:$L$204,H365)&gt;0),ISNUMBER(SEARCH("alpha nodus",(E365&amp;" "&amp;F365))),ISNUMBER(SEARCH("alphanodus",(E365&amp;" "&amp;F365)))),"Yes","No"))</f>
        <v/>
      </c>
      <c r="P365" s="34" t="str">
        <f aca="false">IF(D365="","",IF(O365="Yes","No",IF(OR(AND(F365&lt;&gt;"",COUNTIF('Target &amp; Team Lists'!$A$5:$A$504,F365)&gt;0),COUNTIF('Target &amp; Team Lists'!$E$5:$E$504,D365)&gt;0),"Yes",IF(AND(SUMPRODUCT(('Target &amp; Team Lists'!$N$5:$N$60&lt;&gt;"")*ISNUMBER(SEARCH('Target &amp; Team Lists'!$N$5:$N$60,(E365&amp;" "&amp;F365))))&gt;0,SUMPRODUCT(('Target &amp; Team Lists'!$O$5:$O$60&lt;&gt;"")*ISNUMBER(SEARCH('Target &amp; Team Lists'!$O$5:$O$60,(E365&amp;" "&amp;F365))))=0),"Yes","No"))))</f>
        <v/>
      </c>
      <c r="Q365" s="32"/>
    </row>
    <row r="366" customFormat="false" ht="15" hidden="false" customHeight="false" outlineLevel="0" collapsed="false">
      <c r="A366" s="30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3" t="str">
        <f aca="false">IF(D366="","",IF(SUM(I366:L366)&gt;0,1,0))</f>
        <v/>
      </c>
      <c r="O366" s="34" t="str">
        <f aca="false">IF(D366="","",IF(OR(COUNTIF('Target &amp; Team Lists'!$J$5:$J$204,D366)&gt;0,AND(H366&lt;&gt;"",COUNTIF('Target &amp; Team Lists'!$L$5:$L$204,H366)&gt;0),ISNUMBER(SEARCH("alpha nodus",(E366&amp;" "&amp;F366))),ISNUMBER(SEARCH("alphanodus",(E366&amp;" "&amp;F366)))),"Yes","No"))</f>
        <v/>
      </c>
      <c r="P366" s="34" t="str">
        <f aca="false">IF(D366="","",IF(O366="Yes","No",IF(OR(AND(F366&lt;&gt;"",COUNTIF('Target &amp; Team Lists'!$A$5:$A$504,F366)&gt;0),COUNTIF('Target &amp; Team Lists'!$E$5:$E$504,D366)&gt;0),"Yes",IF(AND(SUMPRODUCT(('Target &amp; Team Lists'!$N$5:$N$60&lt;&gt;"")*ISNUMBER(SEARCH('Target &amp; Team Lists'!$N$5:$N$60,(E366&amp;" "&amp;F366))))&gt;0,SUMPRODUCT(('Target &amp; Team Lists'!$O$5:$O$60&lt;&gt;"")*ISNUMBER(SEARCH('Target &amp; Team Lists'!$O$5:$O$60,(E366&amp;" "&amp;F366))))=0),"Yes","No"))))</f>
        <v/>
      </c>
      <c r="Q366" s="32"/>
    </row>
    <row r="367" customFormat="false" ht="15" hidden="false" customHeight="false" outlineLevel="0" collapsed="false">
      <c r="A367" s="30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3" t="str">
        <f aca="false">IF(D367="","",IF(SUM(I367:L367)&gt;0,1,0))</f>
        <v/>
      </c>
      <c r="O367" s="34" t="str">
        <f aca="false">IF(D367="","",IF(OR(COUNTIF('Target &amp; Team Lists'!$J$5:$J$204,D367)&gt;0,AND(H367&lt;&gt;"",COUNTIF('Target &amp; Team Lists'!$L$5:$L$204,H367)&gt;0),ISNUMBER(SEARCH("alpha nodus",(E367&amp;" "&amp;F367))),ISNUMBER(SEARCH("alphanodus",(E367&amp;" "&amp;F367)))),"Yes","No"))</f>
        <v/>
      </c>
      <c r="P367" s="34" t="str">
        <f aca="false">IF(D367="","",IF(O367="Yes","No",IF(OR(AND(F367&lt;&gt;"",COUNTIF('Target &amp; Team Lists'!$A$5:$A$504,F367)&gt;0),COUNTIF('Target &amp; Team Lists'!$E$5:$E$504,D367)&gt;0),"Yes",IF(AND(SUMPRODUCT(('Target &amp; Team Lists'!$N$5:$N$60&lt;&gt;"")*ISNUMBER(SEARCH('Target &amp; Team Lists'!$N$5:$N$60,(E367&amp;" "&amp;F367))))&gt;0,SUMPRODUCT(('Target &amp; Team Lists'!$O$5:$O$60&lt;&gt;"")*ISNUMBER(SEARCH('Target &amp; Team Lists'!$O$5:$O$60,(E367&amp;" "&amp;F367))))=0),"Yes","No"))))</f>
        <v/>
      </c>
      <c r="Q367" s="32"/>
    </row>
    <row r="368" customFormat="false" ht="15" hidden="false" customHeight="false" outlineLevel="0" collapsed="false">
      <c r="A368" s="30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3" t="str">
        <f aca="false">IF(D368="","",IF(SUM(I368:L368)&gt;0,1,0))</f>
        <v/>
      </c>
      <c r="O368" s="34" t="str">
        <f aca="false">IF(D368="","",IF(OR(COUNTIF('Target &amp; Team Lists'!$J$5:$J$204,D368)&gt;0,AND(H368&lt;&gt;"",COUNTIF('Target &amp; Team Lists'!$L$5:$L$204,H368)&gt;0),ISNUMBER(SEARCH("alpha nodus",(E368&amp;" "&amp;F368))),ISNUMBER(SEARCH("alphanodus",(E368&amp;" "&amp;F368)))),"Yes","No"))</f>
        <v/>
      </c>
      <c r="P368" s="34" t="str">
        <f aca="false">IF(D368="","",IF(O368="Yes","No",IF(OR(AND(F368&lt;&gt;"",COUNTIF('Target &amp; Team Lists'!$A$5:$A$504,F368)&gt;0),COUNTIF('Target &amp; Team Lists'!$E$5:$E$504,D368)&gt;0),"Yes",IF(AND(SUMPRODUCT(('Target &amp; Team Lists'!$N$5:$N$60&lt;&gt;"")*ISNUMBER(SEARCH('Target &amp; Team Lists'!$N$5:$N$60,(E368&amp;" "&amp;F368))))&gt;0,SUMPRODUCT(('Target &amp; Team Lists'!$O$5:$O$60&lt;&gt;"")*ISNUMBER(SEARCH('Target &amp; Team Lists'!$O$5:$O$60,(E368&amp;" "&amp;F368))))=0),"Yes","No"))))</f>
        <v/>
      </c>
      <c r="Q368" s="32"/>
    </row>
    <row r="369" customFormat="false" ht="15" hidden="false" customHeight="false" outlineLevel="0" collapsed="false">
      <c r="A369" s="30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3" t="str">
        <f aca="false">IF(D369="","",IF(SUM(I369:L369)&gt;0,1,0))</f>
        <v/>
      </c>
      <c r="O369" s="34" t="str">
        <f aca="false">IF(D369="","",IF(OR(COUNTIF('Target &amp; Team Lists'!$J$5:$J$204,D369)&gt;0,AND(H369&lt;&gt;"",COUNTIF('Target &amp; Team Lists'!$L$5:$L$204,H369)&gt;0),ISNUMBER(SEARCH("alpha nodus",(E369&amp;" "&amp;F369))),ISNUMBER(SEARCH("alphanodus",(E369&amp;" "&amp;F369)))),"Yes","No"))</f>
        <v/>
      </c>
      <c r="P369" s="34" t="str">
        <f aca="false">IF(D369="","",IF(O369="Yes","No",IF(OR(AND(F369&lt;&gt;"",COUNTIF('Target &amp; Team Lists'!$A$5:$A$504,F369)&gt;0),COUNTIF('Target &amp; Team Lists'!$E$5:$E$504,D369)&gt;0),"Yes",IF(AND(SUMPRODUCT(('Target &amp; Team Lists'!$N$5:$N$60&lt;&gt;"")*ISNUMBER(SEARCH('Target &amp; Team Lists'!$N$5:$N$60,(E369&amp;" "&amp;F369))))&gt;0,SUMPRODUCT(('Target &amp; Team Lists'!$O$5:$O$60&lt;&gt;"")*ISNUMBER(SEARCH('Target &amp; Team Lists'!$O$5:$O$60,(E369&amp;" "&amp;F369))))=0),"Yes","No"))))</f>
        <v/>
      </c>
      <c r="Q369" s="32"/>
    </row>
    <row r="370" customFormat="false" ht="15" hidden="false" customHeight="false" outlineLevel="0" collapsed="false">
      <c r="A370" s="30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3" t="str">
        <f aca="false">IF(D370="","",IF(SUM(I370:L370)&gt;0,1,0))</f>
        <v/>
      </c>
      <c r="O370" s="34" t="str">
        <f aca="false">IF(D370="","",IF(OR(COUNTIF('Target &amp; Team Lists'!$J$5:$J$204,D370)&gt;0,AND(H370&lt;&gt;"",COUNTIF('Target &amp; Team Lists'!$L$5:$L$204,H370)&gt;0),ISNUMBER(SEARCH("alpha nodus",(E370&amp;" "&amp;F370))),ISNUMBER(SEARCH("alphanodus",(E370&amp;" "&amp;F370)))),"Yes","No"))</f>
        <v/>
      </c>
      <c r="P370" s="34" t="str">
        <f aca="false">IF(D370="","",IF(O370="Yes","No",IF(OR(AND(F370&lt;&gt;"",COUNTIF('Target &amp; Team Lists'!$A$5:$A$504,F370)&gt;0),COUNTIF('Target &amp; Team Lists'!$E$5:$E$504,D370)&gt;0),"Yes",IF(AND(SUMPRODUCT(('Target &amp; Team Lists'!$N$5:$N$60&lt;&gt;"")*ISNUMBER(SEARCH('Target &amp; Team Lists'!$N$5:$N$60,(E370&amp;" "&amp;F370))))&gt;0,SUMPRODUCT(('Target &amp; Team Lists'!$O$5:$O$60&lt;&gt;"")*ISNUMBER(SEARCH('Target &amp; Team Lists'!$O$5:$O$60,(E370&amp;" "&amp;F370))))=0),"Yes","No"))))</f>
        <v/>
      </c>
      <c r="Q370" s="32"/>
    </row>
    <row r="371" customFormat="false" ht="15" hidden="false" customHeight="false" outlineLevel="0" collapsed="false">
      <c r="A371" s="30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3" t="str">
        <f aca="false">IF(D371="","",IF(SUM(I371:L371)&gt;0,1,0))</f>
        <v/>
      </c>
      <c r="O371" s="34" t="str">
        <f aca="false">IF(D371="","",IF(OR(COUNTIF('Target &amp; Team Lists'!$J$5:$J$204,D371)&gt;0,AND(H371&lt;&gt;"",COUNTIF('Target &amp; Team Lists'!$L$5:$L$204,H371)&gt;0),ISNUMBER(SEARCH("alpha nodus",(E371&amp;" "&amp;F371))),ISNUMBER(SEARCH("alphanodus",(E371&amp;" "&amp;F371)))),"Yes","No"))</f>
        <v/>
      </c>
      <c r="P371" s="34" t="str">
        <f aca="false">IF(D371="","",IF(O371="Yes","No",IF(OR(AND(F371&lt;&gt;"",COUNTIF('Target &amp; Team Lists'!$A$5:$A$504,F371)&gt;0),COUNTIF('Target &amp; Team Lists'!$E$5:$E$504,D371)&gt;0),"Yes",IF(AND(SUMPRODUCT(('Target &amp; Team Lists'!$N$5:$N$60&lt;&gt;"")*ISNUMBER(SEARCH('Target &amp; Team Lists'!$N$5:$N$60,(E371&amp;" "&amp;F371))))&gt;0,SUMPRODUCT(('Target &amp; Team Lists'!$O$5:$O$60&lt;&gt;"")*ISNUMBER(SEARCH('Target &amp; Team Lists'!$O$5:$O$60,(E371&amp;" "&amp;F371))))=0),"Yes","No"))))</f>
        <v/>
      </c>
      <c r="Q371" s="32"/>
    </row>
    <row r="372" customFormat="false" ht="15" hidden="false" customHeight="false" outlineLevel="0" collapsed="false">
      <c r="A372" s="30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3" t="str">
        <f aca="false">IF(D372="","",IF(SUM(I372:L372)&gt;0,1,0))</f>
        <v/>
      </c>
      <c r="O372" s="34" t="str">
        <f aca="false">IF(D372="","",IF(OR(COUNTIF('Target &amp; Team Lists'!$J$5:$J$204,D372)&gt;0,AND(H372&lt;&gt;"",COUNTIF('Target &amp; Team Lists'!$L$5:$L$204,H372)&gt;0),ISNUMBER(SEARCH("alpha nodus",(E372&amp;" "&amp;F372))),ISNUMBER(SEARCH("alphanodus",(E372&amp;" "&amp;F372)))),"Yes","No"))</f>
        <v/>
      </c>
      <c r="P372" s="34" t="str">
        <f aca="false">IF(D372="","",IF(O372="Yes","No",IF(OR(AND(F372&lt;&gt;"",COUNTIF('Target &amp; Team Lists'!$A$5:$A$504,F372)&gt;0),COUNTIF('Target &amp; Team Lists'!$E$5:$E$504,D372)&gt;0),"Yes",IF(AND(SUMPRODUCT(('Target &amp; Team Lists'!$N$5:$N$60&lt;&gt;"")*ISNUMBER(SEARCH('Target &amp; Team Lists'!$N$5:$N$60,(E372&amp;" "&amp;F372))))&gt;0,SUMPRODUCT(('Target &amp; Team Lists'!$O$5:$O$60&lt;&gt;"")*ISNUMBER(SEARCH('Target &amp; Team Lists'!$O$5:$O$60,(E372&amp;" "&amp;F372))))=0),"Yes","No"))))</f>
        <v/>
      </c>
      <c r="Q372" s="32"/>
    </row>
    <row r="373" customFormat="false" ht="15" hidden="false" customHeight="false" outlineLevel="0" collapsed="false">
      <c r="A373" s="30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3" t="str">
        <f aca="false">IF(D373="","",IF(SUM(I373:L373)&gt;0,1,0))</f>
        <v/>
      </c>
      <c r="O373" s="34" t="str">
        <f aca="false">IF(D373="","",IF(OR(COUNTIF('Target &amp; Team Lists'!$J$5:$J$204,D373)&gt;0,AND(H373&lt;&gt;"",COUNTIF('Target &amp; Team Lists'!$L$5:$L$204,H373)&gt;0),ISNUMBER(SEARCH("alpha nodus",(E373&amp;" "&amp;F373))),ISNUMBER(SEARCH("alphanodus",(E373&amp;" "&amp;F373)))),"Yes","No"))</f>
        <v/>
      </c>
      <c r="P373" s="34" t="str">
        <f aca="false">IF(D373="","",IF(O373="Yes","No",IF(OR(AND(F373&lt;&gt;"",COUNTIF('Target &amp; Team Lists'!$A$5:$A$504,F373)&gt;0),COUNTIF('Target &amp; Team Lists'!$E$5:$E$504,D373)&gt;0),"Yes",IF(AND(SUMPRODUCT(('Target &amp; Team Lists'!$N$5:$N$60&lt;&gt;"")*ISNUMBER(SEARCH('Target &amp; Team Lists'!$N$5:$N$60,(E373&amp;" "&amp;F373))))&gt;0,SUMPRODUCT(('Target &amp; Team Lists'!$O$5:$O$60&lt;&gt;"")*ISNUMBER(SEARCH('Target &amp; Team Lists'!$O$5:$O$60,(E373&amp;" "&amp;F373))))=0),"Yes","No"))))</f>
        <v/>
      </c>
      <c r="Q373" s="32"/>
    </row>
    <row r="374" customFormat="false" ht="15" hidden="false" customHeight="false" outlineLevel="0" collapsed="false">
      <c r="A374" s="30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3" t="str">
        <f aca="false">IF(D374="","",IF(SUM(I374:L374)&gt;0,1,0))</f>
        <v/>
      </c>
      <c r="O374" s="34" t="str">
        <f aca="false">IF(D374="","",IF(OR(COUNTIF('Target &amp; Team Lists'!$J$5:$J$204,D374)&gt;0,AND(H374&lt;&gt;"",COUNTIF('Target &amp; Team Lists'!$L$5:$L$204,H374)&gt;0),ISNUMBER(SEARCH("alpha nodus",(E374&amp;" "&amp;F374))),ISNUMBER(SEARCH("alphanodus",(E374&amp;" "&amp;F374)))),"Yes","No"))</f>
        <v/>
      </c>
      <c r="P374" s="34" t="str">
        <f aca="false">IF(D374="","",IF(O374="Yes","No",IF(OR(AND(F374&lt;&gt;"",COUNTIF('Target &amp; Team Lists'!$A$5:$A$504,F374)&gt;0),COUNTIF('Target &amp; Team Lists'!$E$5:$E$504,D374)&gt;0),"Yes",IF(AND(SUMPRODUCT(('Target &amp; Team Lists'!$N$5:$N$60&lt;&gt;"")*ISNUMBER(SEARCH('Target &amp; Team Lists'!$N$5:$N$60,(E374&amp;" "&amp;F374))))&gt;0,SUMPRODUCT(('Target &amp; Team Lists'!$O$5:$O$60&lt;&gt;"")*ISNUMBER(SEARCH('Target &amp; Team Lists'!$O$5:$O$60,(E374&amp;" "&amp;F374))))=0),"Yes","No"))))</f>
        <v/>
      </c>
      <c r="Q374" s="32"/>
    </row>
    <row r="375" customFormat="false" ht="15" hidden="false" customHeight="false" outlineLevel="0" collapsed="false">
      <c r="A375" s="30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3" t="str">
        <f aca="false">IF(D375="","",IF(SUM(I375:L375)&gt;0,1,0))</f>
        <v/>
      </c>
      <c r="O375" s="34" t="str">
        <f aca="false">IF(D375="","",IF(OR(COUNTIF('Target &amp; Team Lists'!$J$5:$J$204,D375)&gt;0,AND(H375&lt;&gt;"",COUNTIF('Target &amp; Team Lists'!$L$5:$L$204,H375)&gt;0),ISNUMBER(SEARCH("alpha nodus",(E375&amp;" "&amp;F375))),ISNUMBER(SEARCH("alphanodus",(E375&amp;" "&amp;F375)))),"Yes","No"))</f>
        <v/>
      </c>
      <c r="P375" s="34" t="str">
        <f aca="false">IF(D375="","",IF(O375="Yes","No",IF(OR(AND(F375&lt;&gt;"",COUNTIF('Target &amp; Team Lists'!$A$5:$A$504,F375)&gt;0),COUNTIF('Target &amp; Team Lists'!$E$5:$E$504,D375)&gt;0),"Yes",IF(AND(SUMPRODUCT(('Target &amp; Team Lists'!$N$5:$N$60&lt;&gt;"")*ISNUMBER(SEARCH('Target &amp; Team Lists'!$N$5:$N$60,(E375&amp;" "&amp;F375))))&gt;0,SUMPRODUCT(('Target &amp; Team Lists'!$O$5:$O$60&lt;&gt;"")*ISNUMBER(SEARCH('Target &amp; Team Lists'!$O$5:$O$60,(E375&amp;" "&amp;F375))))=0),"Yes","No"))))</f>
        <v/>
      </c>
      <c r="Q375" s="32"/>
    </row>
    <row r="376" customFormat="false" ht="15" hidden="false" customHeight="false" outlineLevel="0" collapsed="false">
      <c r="A376" s="30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3" t="str">
        <f aca="false">IF(D376="","",IF(SUM(I376:L376)&gt;0,1,0))</f>
        <v/>
      </c>
      <c r="O376" s="34" t="str">
        <f aca="false">IF(D376="","",IF(OR(COUNTIF('Target &amp; Team Lists'!$J$5:$J$204,D376)&gt;0,AND(H376&lt;&gt;"",COUNTIF('Target &amp; Team Lists'!$L$5:$L$204,H376)&gt;0),ISNUMBER(SEARCH("alpha nodus",(E376&amp;" "&amp;F376))),ISNUMBER(SEARCH("alphanodus",(E376&amp;" "&amp;F376)))),"Yes","No"))</f>
        <v/>
      </c>
      <c r="P376" s="34" t="str">
        <f aca="false">IF(D376="","",IF(O376="Yes","No",IF(OR(AND(F376&lt;&gt;"",COUNTIF('Target &amp; Team Lists'!$A$5:$A$504,F376)&gt;0),COUNTIF('Target &amp; Team Lists'!$E$5:$E$504,D376)&gt;0),"Yes",IF(AND(SUMPRODUCT(('Target &amp; Team Lists'!$N$5:$N$60&lt;&gt;"")*ISNUMBER(SEARCH('Target &amp; Team Lists'!$N$5:$N$60,(E376&amp;" "&amp;F376))))&gt;0,SUMPRODUCT(('Target &amp; Team Lists'!$O$5:$O$60&lt;&gt;"")*ISNUMBER(SEARCH('Target &amp; Team Lists'!$O$5:$O$60,(E376&amp;" "&amp;F376))))=0),"Yes","No"))))</f>
        <v/>
      </c>
      <c r="Q376" s="32"/>
    </row>
    <row r="377" customFormat="false" ht="15" hidden="false" customHeight="false" outlineLevel="0" collapsed="false">
      <c r="A377" s="30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3" t="str">
        <f aca="false">IF(D377="","",IF(SUM(I377:L377)&gt;0,1,0))</f>
        <v/>
      </c>
      <c r="O377" s="34" t="str">
        <f aca="false">IF(D377="","",IF(OR(COUNTIF('Target &amp; Team Lists'!$J$5:$J$204,D377)&gt;0,AND(H377&lt;&gt;"",COUNTIF('Target &amp; Team Lists'!$L$5:$L$204,H377)&gt;0),ISNUMBER(SEARCH("alpha nodus",(E377&amp;" "&amp;F377))),ISNUMBER(SEARCH("alphanodus",(E377&amp;" "&amp;F377)))),"Yes","No"))</f>
        <v/>
      </c>
      <c r="P377" s="34" t="str">
        <f aca="false">IF(D377="","",IF(O377="Yes","No",IF(OR(AND(F377&lt;&gt;"",COUNTIF('Target &amp; Team Lists'!$A$5:$A$504,F377)&gt;0),COUNTIF('Target &amp; Team Lists'!$E$5:$E$504,D377)&gt;0),"Yes",IF(AND(SUMPRODUCT(('Target &amp; Team Lists'!$N$5:$N$60&lt;&gt;"")*ISNUMBER(SEARCH('Target &amp; Team Lists'!$N$5:$N$60,(E377&amp;" "&amp;F377))))&gt;0,SUMPRODUCT(('Target &amp; Team Lists'!$O$5:$O$60&lt;&gt;"")*ISNUMBER(SEARCH('Target &amp; Team Lists'!$O$5:$O$60,(E377&amp;" "&amp;F377))))=0),"Yes","No"))))</f>
        <v/>
      </c>
      <c r="Q377" s="32"/>
    </row>
    <row r="378" customFormat="false" ht="15" hidden="false" customHeight="false" outlineLevel="0" collapsed="false">
      <c r="A378" s="30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3" t="str">
        <f aca="false">IF(D378="","",IF(SUM(I378:L378)&gt;0,1,0))</f>
        <v/>
      </c>
      <c r="O378" s="34" t="str">
        <f aca="false">IF(D378="","",IF(OR(COUNTIF('Target &amp; Team Lists'!$J$5:$J$204,D378)&gt;0,AND(H378&lt;&gt;"",COUNTIF('Target &amp; Team Lists'!$L$5:$L$204,H378)&gt;0),ISNUMBER(SEARCH("alpha nodus",(E378&amp;" "&amp;F378))),ISNUMBER(SEARCH("alphanodus",(E378&amp;" "&amp;F378)))),"Yes","No"))</f>
        <v/>
      </c>
      <c r="P378" s="34" t="str">
        <f aca="false">IF(D378="","",IF(O378="Yes","No",IF(OR(AND(F378&lt;&gt;"",COUNTIF('Target &amp; Team Lists'!$A$5:$A$504,F378)&gt;0),COUNTIF('Target &amp; Team Lists'!$E$5:$E$504,D378)&gt;0),"Yes",IF(AND(SUMPRODUCT(('Target &amp; Team Lists'!$N$5:$N$60&lt;&gt;"")*ISNUMBER(SEARCH('Target &amp; Team Lists'!$N$5:$N$60,(E378&amp;" "&amp;F378))))&gt;0,SUMPRODUCT(('Target &amp; Team Lists'!$O$5:$O$60&lt;&gt;"")*ISNUMBER(SEARCH('Target &amp; Team Lists'!$O$5:$O$60,(E378&amp;" "&amp;F378))))=0),"Yes","No"))))</f>
        <v/>
      </c>
      <c r="Q378" s="32"/>
    </row>
    <row r="379" customFormat="false" ht="15" hidden="false" customHeight="false" outlineLevel="0" collapsed="false">
      <c r="A379" s="30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3" t="str">
        <f aca="false">IF(D379="","",IF(SUM(I379:L379)&gt;0,1,0))</f>
        <v/>
      </c>
      <c r="O379" s="34" t="str">
        <f aca="false">IF(D379="","",IF(OR(COUNTIF('Target &amp; Team Lists'!$J$5:$J$204,D379)&gt;0,AND(H379&lt;&gt;"",COUNTIF('Target &amp; Team Lists'!$L$5:$L$204,H379)&gt;0),ISNUMBER(SEARCH("alpha nodus",(E379&amp;" "&amp;F379))),ISNUMBER(SEARCH("alphanodus",(E379&amp;" "&amp;F379)))),"Yes","No"))</f>
        <v/>
      </c>
      <c r="P379" s="34" t="str">
        <f aca="false">IF(D379="","",IF(O379="Yes","No",IF(OR(AND(F379&lt;&gt;"",COUNTIF('Target &amp; Team Lists'!$A$5:$A$504,F379)&gt;0),COUNTIF('Target &amp; Team Lists'!$E$5:$E$504,D379)&gt;0),"Yes",IF(AND(SUMPRODUCT(('Target &amp; Team Lists'!$N$5:$N$60&lt;&gt;"")*ISNUMBER(SEARCH('Target &amp; Team Lists'!$N$5:$N$60,(E379&amp;" "&amp;F379))))&gt;0,SUMPRODUCT(('Target &amp; Team Lists'!$O$5:$O$60&lt;&gt;"")*ISNUMBER(SEARCH('Target &amp; Team Lists'!$O$5:$O$60,(E379&amp;" "&amp;F379))))=0),"Yes","No"))))</f>
        <v/>
      </c>
      <c r="Q379" s="32"/>
    </row>
    <row r="380" customFormat="false" ht="15" hidden="false" customHeight="false" outlineLevel="0" collapsed="false">
      <c r="A380" s="30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3" t="str">
        <f aca="false">IF(D380="","",IF(SUM(I380:L380)&gt;0,1,0))</f>
        <v/>
      </c>
      <c r="O380" s="34" t="str">
        <f aca="false">IF(D380="","",IF(OR(COUNTIF('Target &amp; Team Lists'!$J$5:$J$204,D380)&gt;0,AND(H380&lt;&gt;"",COUNTIF('Target &amp; Team Lists'!$L$5:$L$204,H380)&gt;0),ISNUMBER(SEARCH("alpha nodus",(E380&amp;" "&amp;F380))),ISNUMBER(SEARCH("alphanodus",(E380&amp;" "&amp;F380)))),"Yes","No"))</f>
        <v/>
      </c>
      <c r="P380" s="34" t="str">
        <f aca="false">IF(D380="","",IF(O380="Yes","No",IF(OR(AND(F380&lt;&gt;"",COUNTIF('Target &amp; Team Lists'!$A$5:$A$504,F380)&gt;0),COUNTIF('Target &amp; Team Lists'!$E$5:$E$504,D380)&gt;0),"Yes",IF(AND(SUMPRODUCT(('Target &amp; Team Lists'!$N$5:$N$60&lt;&gt;"")*ISNUMBER(SEARCH('Target &amp; Team Lists'!$N$5:$N$60,(E380&amp;" "&amp;F380))))&gt;0,SUMPRODUCT(('Target &amp; Team Lists'!$O$5:$O$60&lt;&gt;"")*ISNUMBER(SEARCH('Target &amp; Team Lists'!$O$5:$O$60,(E380&amp;" "&amp;F380))))=0),"Yes","No"))))</f>
        <v/>
      </c>
      <c r="Q380" s="32"/>
    </row>
    <row r="381" customFormat="false" ht="15" hidden="false" customHeight="false" outlineLevel="0" collapsed="false">
      <c r="A381" s="30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3" t="str">
        <f aca="false">IF(D381="","",IF(SUM(I381:L381)&gt;0,1,0))</f>
        <v/>
      </c>
      <c r="O381" s="34" t="str">
        <f aca="false">IF(D381="","",IF(OR(COUNTIF('Target &amp; Team Lists'!$J$5:$J$204,D381)&gt;0,AND(H381&lt;&gt;"",COUNTIF('Target &amp; Team Lists'!$L$5:$L$204,H381)&gt;0),ISNUMBER(SEARCH("alpha nodus",(E381&amp;" "&amp;F381))),ISNUMBER(SEARCH("alphanodus",(E381&amp;" "&amp;F381)))),"Yes","No"))</f>
        <v/>
      </c>
      <c r="P381" s="34" t="str">
        <f aca="false">IF(D381="","",IF(O381="Yes","No",IF(OR(AND(F381&lt;&gt;"",COUNTIF('Target &amp; Team Lists'!$A$5:$A$504,F381)&gt;0),COUNTIF('Target &amp; Team Lists'!$E$5:$E$504,D381)&gt;0),"Yes",IF(AND(SUMPRODUCT(('Target &amp; Team Lists'!$N$5:$N$60&lt;&gt;"")*ISNUMBER(SEARCH('Target &amp; Team Lists'!$N$5:$N$60,(E381&amp;" "&amp;F381))))&gt;0,SUMPRODUCT(('Target &amp; Team Lists'!$O$5:$O$60&lt;&gt;"")*ISNUMBER(SEARCH('Target &amp; Team Lists'!$O$5:$O$60,(E381&amp;" "&amp;F381))))=0),"Yes","No"))))</f>
        <v/>
      </c>
      <c r="Q381" s="32"/>
    </row>
    <row r="382" customFormat="false" ht="15" hidden="false" customHeight="false" outlineLevel="0" collapsed="false">
      <c r="A382" s="30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3" t="str">
        <f aca="false">IF(D382="","",IF(SUM(I382:L382)&gt;0,1,0))</f>
        <v/>
      </c>
      <c r="O382" s="34" t="str">
        <f aca="false">IF(D382="","",IF(OR(COUNTIF('Target &amp; Team Lists'!$J$5:$J$204,D382)&gt;0,AND(H382&lt;&gt;"",COUNTIF('Target &amp; Team Lists'!$L$5:$L$204,H382)&gt;0),ISNUMBER(SEARCH("alpha nodus",(E382&amp;" "&amp;F382))),ISNUMBER(SEARCH("alphanodus",(E382&amp;" "&amp;F382)))),"Yes","No"))</f>
        <v/>
      </c>
      <c r="P382" s="34" t="str">
        <f aca="false">IF(D382="","",IF(O382="Yes","No",IF(OR(AND(F382&lt;&gt;"",COUNTIF('Target &amp; Team Lists'!$A$5:$A$504,F382)&gt;0),COUNTIF('Target &amp; Team Lists'!$E$5:$E$504,D382)&gt;0),"Yes",IF(AND(SUMPRODUCT(('Target &amp; Team Lists'!$N$5:$N$60&lt;&gt;"")*ISNUMBER(SEARCH('Target &amp; Team Lists'!$N$5:$N$60,(E382&amp;" "&amp;F382))))&gt;0,SUMPRODUCT(('Target &amp; Team Lists'!$O$5:$O$60&lt;&gt;"")*ISNUMBER(SEARCH('Target &amp; Team Lists'!$O$5:$O$60,(E382&amp;" "&amp;F382))))=0),"Yes","No"))))</f>
        <v/>
      </c>
      <c r="Q382" s="32"/>
    </row>
    <row r="383" customFormat="false" ht="15" hidden="false" customHeight="false" outlineLevel="0" collapsed="false">
      <c r="A383" s="30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3" t="str">
        <f aca="false">IF(D383="","",IF(SUM(I383:L383)&gt;0,1,0))</f>
        <v/>
      </c>
      <c r="O383" s="34" t="str">
        <f aca="false">IF(D383="","",IF(OR(COUNTIF('Target &amp; Team Lists'!$J$5:$J$204,D383)&gt;0,AND(H383&lt;&gt;"",COUNTIF('Target &amp; Team Lists'!$L$5:$L$204,H383)&gt;0),ISNUMBER(SEARCH("alpha nodus",(E383&amp;" "&amp;F383))),ISNUMBER(SEARCH("alphanodus",(E383&amp;" "&amp;F383)))),"Yes","No"))</f>
        <v/>
      </c>
      <c r="P383" s="34" t="str">
        <f aca="false">IF(D383="","",IF(O383="Yes","No",IF(OR(AND(F383&lt;&gt;"",COUNTIF('Target &amp; Team Lists'!$A$5:$A$504,F383)&gt;0),COUNTIF('Target &amp; Team Lists'!$E$5:$E$504,D383)&gt;0),"Yes",IF(AND(SUMPRODUCT(('Target &amp; Team Lists'!$N$5:$N$60&lt;&gt;"")*ISNUMBER(SEARCH('Target &amp; Team Lists'!$N$5:$N$60,(E383&amp;" "&amp;F383))))&gt;0,SUMPRODUCT(('Target &amp; Team Lists'!$O$5:$O$60&lt;&gt;"")*ISNUMBER(SEARCH('Target &amp; Team Lists'!$O$5:$O$60,(E383&amp;" "&amp;F383))))=0),"Yes","No"))))</f>
        <v/>
      </c>
      <c r="Q383" s="32"/>
    </row>
    <row r="384" customFormat="false" ht="15" hidden="false" customHeight="false" outlineLevel="0" collapsed="false">
      <c r="A384" s="30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3" t="str">
        <f aca="false">IF(D384="","",IF(SUM(I384:L384)&gt;0,1,0))</f>
        <v/>
      </c>
      <c r="O384" s="34" t="str">
        <f aca="false">IF(D384="","",IF(OR(COUNTIF('Target &amp; Team Lists'!$J$5:$J$204,D384)&gt;0,AND(H384&lt;&gt;"",COUNTIF('Target &amp; Team Lists'!$L$5:$L$204,H384)&gt;0),ISNUMBER(SEARCH("alpha nodus",(E384&amp;" "&amp;F384))),ISNUMBER(SEARCH("alphanodus",(E384&amp;" "&amp;F384)))),"Yes","No"))</f>
        <v/>
      </c>
      <c r="P384" s="34" t="str">
        <f aca="false">IF(D384="","",IF(O384="Yes","No",IF(OR(AND(F384&lt;&gt;"",COUNTIF('Target &amp; Team Lists'!$A$5:$A$504,F384)&gt;0),COUNTIF('Target &amp; Team Lists'!$E$5:$E$504,D384)&gt;0),"Yes",IF(AND(SUMPRODUCT(('Target &amp; Team Lists'!$N$5:$N$60&lt;&gt;"")*ISNUMBER(SEARCH('Target &amp; Team Lists'!$N$5:$N$60,(E384&amp;" "&amp;F384))))&gt;0,SUMPRODUCT(('Target &amp; Team Lists'!$O$5:$O$60&lt;&gt;"")*ISNUMBER(SEARCH('Target &amp; Team Lists'!$O$5:$O$60,(E384&amp;" "&amp;F384))))=0),"Yes","No"))))</f>
        <v/>
      </c>
      <c r="Q384" s="32"/>
    </row>
    <row r="385" customFormat="false" ht="15" hidden="false" customHeight="false" outlineLevel="0" collapsed="false">
      <c r="A385" s="30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3" t="str">
        <f aca="false">IF(D385="","",IF(SUM(I385:L385)&gt;0,1,0))</f>
        <v/>
      </c>
      <c r="O385" s="34" t="str">
        <f aca="false">IF(D385="","",IF(OR(COUNTIF('Target &amp; Team Lists'!$J$5:$J$204,D385)&gt;0,AND(H385&lt;&gt;"",COUNTIF('Target &amp; Team Lists'!$L$5:$L$204,H385)&gt;0),ISNUMBER(SEARCH("alpha nodus",(E385&amp;" "&amp;F385))),ISNUMBER(SEARCH("alphanodus",(E385&amp;" "&amp;F385)))),"Yes","No"))</f>
        <v/>
      </c>
      <c r="P385" s="34" t="str">
        <f aca="false">IF(D385="","",IF(O385="Yes","No",IF(OR(AND(F385&lt;&gt;"",COUNTIF('Target &amp; Team Lists'!$A$5:$A$504,F385)&gt;0),COUNTIF('Target &amp; Team Lists'!$E$5:$E$504,D385)&gt;0),"Yes",IF(AND(SUMPRODUCT(('Target &amp; Team Lists'!$N$5:$N$60&lt;&gt;"")*ISNUMBER(SEARCH('Target &amp; Team Lists'!$N$5:$N$60,(E385&amp;" "&amp;F385))))&gt;0,SUMPRODUCT(('Target &amp; Team Lists'!$O$5:$O$60&lt;&gt;"")*ISNUMBER(SEARCH('Target &amp; Team Lists'!$O$5:$O$60,(E385&amp;" "&amp;F385))))=0),"Yes","No"))))</f>
        <v/>
      </c>
      <c r="Q385" s="32"/>
    </row>
    <row r="386" customFormat="false" ht="15" hidden="false" customHeight="false" outlineLevel="0" collapsed="false">
      <c r="A386" s="30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3" t="str">
        <f aca="false">IF(D386="","",IF(SUM(I386:L386)&gt;0,1,0))</f>
        <v/>
      </c>
      <c r="O386" s="34" t="str">
        <f aca="false">IF(D386="","",IF(OR(COUNTIF('Target &amp; Team Lists'!$J$5:$J$204,D386)&gt;0,AND(H386&lt;&gt;"",COUNTIF('Target &amp; Team Lists'!$L$5:$L$204,H386)&gt;0),ISNUMBER(SEARCH("alpha nodus",(E386&amp;" "&amp;F386))),ISNUMBER(SEARCH("alphanodus",(E386&amp;" "&amp;F386)))),"Yes","No"))</f>
        <v/>
      </c>
      <c r="P386" s="34" t="str">
        <f aca="false">IF(D386="","",IF(O386="Yes","No",IF(OR(AND(F386&lt;&gt;"",COUNTIF('Target &amp; Team Lists'!$A$5:$A$504,F386)&gt;0),COUNTIF('Target &amp; Team Lists'!$E$5:$E$504,D386)&gt;0),"Yes",IF(AND(SUMPRODUCT(('Target &amp; Team Lists'!$N$5:$N$60&lt;&gt;"")*ISNUMBER(SEARCH('Target &amp; Team Lists'!$N$5:$N$60,(E386&amp;" "&amp;F386))))&gt;0,SUMPRODUCT(('Target &amp; Team Lists'!$O$5:$O$60&lt;&gt;"")*ISNUMBER(SEARCH('Target &amp; Team Lists'!$O$5:$O$60,(E386&amp;" "&amp;F386))))=0),"Yes","No"))))</f>
        <v/>
      </c>
      <c r="Q386" s="32"/>
    </row>
    <row r="387" customFormat="false" ht="15" hidden="false" customHeight="false" outlineLevel="0" collapsed="false">
      <c r="A387" s="30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3" t="str">
        <f aca="false">IF(D387="","",IF(SUM(I387:L387)&gt;0,1,0))</f>
        <v/>
      </c>
      <c r="O387" s="34" t="str">
        <f aca="false">IF(D387="","",IF(OR(COUNTIF('Target &amp; Team Lists'!$J$5:$J$204,D387)&gt;0,AND(H387&lt;&gt;"",COUNTIF('Target &amp; Team Lists'!$L$5:$L$204,H387)&gt;0),ISNUMBER(SEARCH("alpha nodus",(E387&amp;" "&amp;F387))),ISNUMBER(SEARCH("alphanodus",(E387&amp;" "&amp;F387)))),"Yes","No"))</f>
        <v/>
      </c>
      <c r="P387" s="34" t="str">
        <f aca="false">IF(D387="","",IF(O387="Yes","No",IF(OR(AND(F387&lt;&gt;"",COUNTIF('Target &amp; Team Lists'!$A$5:$A$504,F387)&gt;0),COUNTIF('Target &amp; Team Lists'!$E$5:$E$504,D387)&gt;0),"Yes",IF(AND(SUMPRODUCT(('Target &amp; Team Lists'!$N$5:$N$60&lt;&gt;"")*ISNUMBER(SEARCH('Target &amp; Team Lists'!$N$5:$N$60,(E387&amp;" "&amp;F387))))&gt;0,SUMPRODUCT(('Target &amp; Team Lists'!$O$5:$O$60&lt;&gt;"")*ISNUMBER(SEARCH('Target &amp; Team Lists'!$O$5:$O$60,(E387&amp;" "&amp;F387))))=0),"Yes","No"))))</f>
        <v/>
      </c>
      <c r="Q387" s="32"/>
    </row>
    <row r="388" customFormat="false" ht="15" hidden="false" customHeight="false" outlineLevel="0" collapsed="false">
      <c r="A388" s="30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3" t="str">
        <f aca="false">IF(D388="","",IF(SUM(I388:L388)&gt;0,1,0))</f>
        <v/>
      </c>
      <c r="O388" s="34" t="str">
        <f aca="false">IF(D388="","",IF(OR(COUNTIF('Target &amp; Team Lists'!$J$5:$J$204,D388)&gt;0,AND(H388&lt;&gt;"",COUNTIF('Target &amp; Team Lists'!$L$5:$L$204,H388)&gt;0),ISNUMBER(SEARCH("alpha nodus",(E388&amp;" "&amp;F388))),ISNUMBER(SEARCH("alphanodus",(E388&amp;" "&amp;F388)))),"Yes","No"))</f>
        <v/>
      </c>
      <c r="P388" s="34" t="str">
        <f aca="false">IF(D388="","",IF(O388="Yes","No",IF(OR(AND(F388&lt;&gt;"",COUNTIF('Target &amp; Team Lists'!$A$5:$A$504,F388)&gt;0),COUNTIF('Target &amp; Team Lists'!$E$5:$E$504,D388)&gt;0),"Yes",IF(AND(SUMPRODUCT(('Target &amp; Team Lists'!$N$5:$N$60&lt;&gt;"")*ISNUMBER(SEARCH('Target &amp; Team Lists'!$N$5:$N$60,(E388&amp;" "&amp;F388))))&gt;0,SUMPRODUCT(('Target &amp; Team Lists'!$O$5:$O$60&lt;&gt;"")*ISNUMBER(SEARCH('Target &amp; Team Lists'!$O$5:$O$60,(E388&amp;" "&amp;F388))))=0),"Yes","No"))))</f>
        <v/>
      </c>
      <c r="Q388" s="32"/>
    </row>
    <row r="389" customFormat="false" ht="15" hidden="false" customHeight="false" outlineLevel="0" collapsed="false">
      <c r="A389" s="30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3" t="str">
        <f aca="false">IF(D389="","",IF(SUM(I389:L389)&gt;0,1,0))</f>
        <v/>
      </c>
      <c r="O389" s="34" t="str">
        <f aca="false">IF(D389="","",IF(OR(COUNTIF('Target &amp; Team Lists'!$J$5:$J$204,D389)&gt;0,AND(H389&lt;&gt;"",COUNTIF('Target &amp; Team Lists'!$L$5:$L$204,H389)&gt;0),ISNUMBER(SEARCH("alpha nodus",(E389&amp;" "&amp;F389))),ISNUMBER(SEARCH("alphanodus",(E389&amp;" "&amp;F389)))),"Yes","No"))</f>
        <v/>
      </c>
      <c r="P389" s="34" t="str">
        <f aca="false">IF(D389="","",IF(O389="Yes","No",IF(OR(AND(F389&lt;&gt;"",COUNTIF('Target &amp; Team Lists'!$A$5:$A$504,F389)&gt;0),COUNTIF('Target &amp; Team Lists'!$E$5:$E$504,D389)&gt;0),"Yes",IF(AND(SUMPRODUCT(('Target &amp; Team Lists'!$N$5:$N$60&lt;&gt;"")*ISNUMBER(SEARCH('Target &amp; Team Lists'!$N$5:$N$60,(E389&amp;" "&amp;F389))))&gt;0,SUMPRODUCT(('Target &amp; Team Lists'!$O$5:$O$60&lt;&gt;"")*ISNUMBER(SEARCH('Target &amp; Team Lists'!$O$5:$O$60,(E389&amp;" "&amp;F389))))=0),"Yes","No"))))</f>
        <v/>
      </c>
      <c r="Q389" s="32"/>
    </row>
    <row r="390" customFormat="false" ht="15" hidden="false" customHeight="false" outlineLevel="0" collapsed="false">
      <c r="A390" s="30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3" t="str">
        <f aca="false">IF(D390="","",IF(SUM(I390:L390)&gt;0,1,0))</f>
        <v/>
      </c>
      <c r="O390" s="34" t="str">
        <f aca="false">IF(D390="","",IF(OR(COUNTIF('Target &amp; Team Lists'!$J$5:$J$204,D390)&gt;0,AND(H390&lt;&gt;"",COUNTIF('Target &amp; Team Lists'!$L$5:$L$204,H390)&gt;0),ISNUMBER(SEARCH("alpha nodus",(E390&amp;" "&amp;F390))),ISNUMBER(SEARCH("alphanodus",(E390&amp;" "&amp;F390)))),"Yes","No"))</f>
        <v/>
      </c>
      <c r="P390" s="34" t="str">
        <f aca="false">IF(D390="","",IF(O390="Yes","No",IF(OR(AND(F390&lt;&gt;"",COUNTIF('Target &amp; Team Lists'!$A$5:$A$504,F390)&gt;0),COUNTIF('Target &amp; Team Lists'!$E$5:$E$504,D390)&gt;0),"Yes",IF(AND(SUMPRODUCT(('Target &amp; Team Lists'!$N$5:$N$60&lt;&gt;"")*ISNUMBER(SEARCH('Target &amp; Team Lists'!$N$5:$N$60,(E390&amp;" "&amp;F390))))&gt;0,SUMPRODUCT(('Target &amp; Team Lists'!$O$5:$O$60&lt;&gt;"")*ISNUMBER(SEARCH('Target &amp; Team Lists'!$O$5:$O$60,(E390&amp;" "&amp;F390))))=0),"Yes","No"))))</f>
        <v/>
      </c>
      <c r="Q390" s="32"/>
    </row>
    <row r="391" customFormat="false" ht="15" hidden="false" customHeight="false" outlineLevel="0" collapsed="false">
      <c r="A391" s="30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3" t="str">
        <f aca="false">IF(D391="","",IF(SUM(I391:L391)&gt;0,1,0))</f>
        <v/>
      </c>
      <c r="O391" s="34" t="str">
        <f aca="false">IF(D391="","",IF(OR(COUNTIF('Target &amp; Team Lists'!$J$5:$J$204,D391)&gt;0,AND(H391&lt;&gt;"",COUNTIF('Target &amp; Team Lists'!$L$5:$L$204,H391)&gt;0),ISNUMBER(SEARCH("alpha nodus",(E391&amp;" "&amp;F391))),ISNUMBER(SEARCH("alphanodus",(E391&amp;" "&amp;F391)))),"Yes","No"))</f>
        <v/>
      </c>
      <c r="P391" s="34" t="str">
        <f aca="false">IF(D391="","",IF(O391="Yes","No",IF(OR(AND(F391&lt;&gt;"",COUNTIF('Target &amp; Team Lists'!$A$5:$A$504,F391)&gt;0),COUNTIF('Target &amp; Team Lists'!$E$5:$E$504,D391)&gt;0),"Yes",IF(AND(SUMPRODUCT(('Target &amp; Team Lists'!$N$5:$N$60&lt;&gt;"")*ISNUMBER(SEARCH('Target &amp; Team Lists'!$N$5:$N$60,(E391&amp;" "&amp;F391))))&gt;0,SUMPRODUCT(('Target &amp; Team Lists'!$O$5:$O$60&lt;&gt;"")*ISNUMBER(SEARCH('Target &amp; Team Lists'!$O$5:$O$60,(E391&amp;" "&amp;F391))))=0),"Yes","No"))))</f>
        <v/>
      </c>
      <c r="Q391" s="32"/>
    </row>
    <row r="392" customFormat="false" ht="15" hidden="false" customHeight="false" outlineLevel="0" collapsed="false">
      <c r="A392" s="30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3" t="str">
        <f aca="false">IF(D392="","",IF(SUM(I392:L392)&gt;0,1,0))</f>
        <v/>
      </c>
      <c r="O392" s="34" t="str">
        <f aca="false">IF(D392="","",IF(OR(COUNTIF('Target &amp; Team Lists'!$J$5:$J$204,D392)&gt;0,AND(H392&lt;&gt;"",COUNTIF('Target &amp; Team Lists'!$L$5:$L$204,H392)&gt;0),ISNUMBER(SEARCH("alpha nodus",(E392&amp;" "&amp;F392))),ISNUMBER(SEARCH("alphanodus",(E392&amp;" "&amp;F392)))),"Yes","No"))</f>
        <v/>
      </c>
      <c r="P392" s="34" t="str">
        <f aca="false">IF(D392="","",IF(O392="Yes","No",IF(OR(AND(F392&lt;&gt;"",COUNTIF('Target &amp; Team Lists'!$A$5:$A$504,F392)&gt;0),COUNTIF('Target &amp; Team Lists'!$E$5:$E$504,D392)&gt;0),"Yes",IF(AND(SUMPRODUCT(('Target &amp; Team Lists'!$N$5:$N$60&lt;&gt;"")*ISNUMBER(SEARCH('Target &amp; Team Lists'!$N$5:$N$60,(E392&amp;" "&amp;F392))))&gt;0,SUMPRODUCT(('Target &amp; Team Lists'!$O$5:$O$60&lt;&gt;"")*ISNUMBER(SEARCH('Target &amp; Team Lists'!$O$5:$O$60,(E392&amp;" "&amp;F392))))=0),"Yes","No"))))</f>
        <v/>
      </c>
      <c r="Q392" s="32"/>
    </row>
    <row r="393" customFormat="false" ht="15" hidden="false" customHeight="false" outlineLevel="0" collapsed="false">
      <c r="A393" s="30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3" t="str">
        <f aca="false">IF(D393="","",IF(SUM(I393:L393)&gt;0,1,0))</f>
        <v/>
      </c>
      <c r="O393" s="34" t="str">
        <f aca="false">IF(D393="","",IF(OR(COUNTIF('Target &amp; Team Lists'!$J$5:$J$204,D393)&gt;0,AND(H393&lt;&gt;"",COUNTIF('Target &amp; Team Lists'!$L$5:$L$204,H393)&gt;0),ISNUMBER(SEARCH("alpha nodus",(E393&amp;" "&amp;F393))),ISNUMBER(SEARCH("alphanodus",(E393&amp;" "&amp;F393)))),"Yes","No"))</f>
        <v/>
      </c>
      <c r="P393" s="34" t="str">
        <f aca="false">IF(D393="","",IF(O393="Yes","No",IF(OR(AND(F393&lt;&gt;"",COUNTIF('Target &amp; Team Lists'!$A$5:$A$504,F393)&gt;0),COUNTIF('Target &amp; Team Lists'!$E$5:$E$504,D393)&gt;0),"Yes",IF(AND(SUMPRODUCT(('Target &amp; Team Lists'!$N$5:$N$60&lt;&gt;"")*ISNUMBER(SEARCH('Target &amp; Team Lists'!$N$5:$N$60,(E393&amp;" "&amp;F393))))&gt;0,SUMPRODUCT(('Target &amp; Team Lists'!$O$5:$O$60&lt;&gt;"")*ISNUMBER(SEARCH('Target &amp; Team Lists'!$O$5:$O$60,(E393&amp;" "&amp;F393))))=0),"Yes","No"))))</f>
        <v/>
      </c>
      <c r="Q393" s="32"/>
    </row>
    <row r="394" customFormat="false" ht="15" hidden="false" customHeight="false" outlineLevel="0" collapsed="false">
      <c r="A394" s="30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3" t="str">
        <f aca="false">IF(D394="","",IF(SUM(I394:L394)&gt;0,1,0))</f>
        <v/>
      </c>
      <c r="O394" s="34" t="str">
        <f aca="false">IF(D394="","",IF(OR(COUNTIF('Target &amp; Team Lists'!$J$5:$J$204,D394)&gt;0,AND(H394&lt;&gt;"",COUNTIF('Target &amp; Team Lists'!$L$5:$L$204,H394)&gt;0),ISNUMBER(SEARCH("alpha nodus",(E394&amp;" "&amp;F394))),ISNUMBER(SEARCH("alphanodus",(E394&amp;" "&amp;F394)))),"Yes","No"))</f>
        <v/>
      </c>
      <c r="P394" s="34" t="str">
        <f aca="false">IF(D394="","",IF(O394="Yes","No",IF(OR(AND(F394&lt;&gt;"",COUNTIF('Target &amp; Team Lists'!$A$5:$A$504,F394)&gt;0),COUNTIF('Target &amp; Team Lists'!$E$5:$E$504,D394)&gt;0),"Yes",IF(AND(SUMPRODUCT(('Target &amp; Team Lists'!$N$5:$N$60&lt;&gt;"")*ISNUMBER(SEARCH('Target &amp; Team Lists'!$N$5:$N$60,(E394&amp;" "&amp;F394))))&gt;0,SUMPRODUCT(('Target &amp; Team Lists'!$O$5:$O$60&lt;&gt;"")*ISNUMBER(SEARCH('Target &amp; Team Lists'!$O$5:$O$60,(E394&amp;" "&amp;F394))))=0),"Yes","No"))))</f>
        <v/>
      </c>
      <c r="Q394" s="32"/>
    </row>
    <row r="395" customFormat="false" ht="15" hidden="false" customHeight="false" outlineLevel="0" collapsed="false">
      <c r="A395" s="30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3" t="str">
        <f aca="false">IF(D395="","",IF(SUM(I395:L395)&gt;0,1,0))</f>
        <v/>
      </c>
      <c r="O395" s="34" t="str">
        <f aca="false">IF(D395="","",IF(OR(COUNTIF('Target &amp; Team Lists'!$J$5:$J$204,D395)&gt;0,AND(H395&lt;&gt;"",COUNTIF('Target &amp; Team Lists'!$L$5:$L$204,H395)&gt;0),ISNUMBER(SEARCH("alpha nodus",(E395&amp;" "&amp;F395))),ISNUMBER(SEARCH("alphanodus",(E395&amp;" "&amp;F395)))),"Yes","No"))</f>
        <v/>
      </c>
      <c r="P395" s="34" t="str">
        <f aca="false">IF(D395="","",IF(O395="Yes","No",IF(OR(AND(F395&lt;&gt;"",COUNTIF('Target &amp; Team Lists'!$A$5:$A$504,F395)&gt;0),COUNTIF('Target &amp; Team Lists'!$E$5:$E$504,D395)&gt;0),"Yes",IF(AND(SUMPRODUCT(('Target &amp; Team Lists'!$N$5:$N$60&lt;&gt;"")*ISNUMBER(SEARCH('Target &amp; Team Lists'!$N$5:$N$60,(E395&amp;" "&amp;F395))))&gt;0,SUMPRODUCT(('Target &amp; Team Lists'!$O$5:$O$60&lt;&gt;"")*ISNUMBER(SEARCH('Target &amp; Team Lists'!$O$5:$O$60,(E395&amp;" "&amp;F395))))=0),"Yes","No"))))</f>
        <v/>
      </c>
      <c r="Q395" s="32"/>
    </row>
    <row r="396" customFormat="false" ht="15" hidden="false" customHeight="false" outlineLevel="0" collapsed="false">
      <c r="A396" s="30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3" t="str">
        <f aca="false">IF(D396="","",IF(SUM(I396:L396)&gt;0,1,0))</f>
        <v/>
      </c>
      <c r="O396" s="34" t="str">
        <f aca="false">IF(D396="","",IF(OR(COUNTIF('Target &amp; Team Lists'!$J$5:$J$204,D396)&gt;0,AND(H396&lt;&gt;"",COUNTIF('Target &amp; Team Lists'!$L$5:$L$204,H396)&gt;0),ISNUMBER(SEARCH("alpha nodus",(E396&amp;" "&amp;F396))),ISNUMBER(SEARCH("alphanodus",(E396&amp;" "&amp;F396)))),"Yes","No"))</f>
        <v/>
      </c>
      <c r="P396" s="34" t="str">
        <f aca="false">IF(D396="","",IF(O396="Yes","No",IF(OR(AND(F396&lt;&gt;"",COUNTIF('Target &amp; Team Lists'!$A$5:$A$504,F396)&gt;0),COUNTIF('Target &amp; Team Lists'!$E$5:$E$504,D396)&gt;0),"Yes",IF(AND(SUMPRODUCT(('Target &amp; Team Lists'!$N$5:$N$60&lt;&gt;"")*ISNUMBER(SEARCH('Target &amp; Team Lists'!$N$5:$N$60,(E396&amp;" "&amp;F396))))&gt;0,SUMPRODUCT(('Target &amp; Team Lists'!$O$5:$O$60&lt;&gt;"")*ISNUMBER(SEARCH('Target &amp; Team Lists'!$O$5:$O$60,(E396&amp;" "&amp;F396))))=0),"Yes","No"))))</f>
        <v/>
      </c>
      <c r="Q396" s="32"/>
    </row>
    <row r="397" customFormat="false" ht="15" hidden="false" customHeight="false" outlineLevel="0" collapsed="false">
      <c r="A397" s="30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3" t="str">
        <f aca="false">IF(D397="","",IF(SUM(I397:L397)&gt;0,1,0))</f>
        <v/>
      </c>
      <c r="O397" s="34" t="str">
        <f aca="false">IF(D397="","",IF(OR(COUNTIF('Target &amp; Team Lists'!$J$5:$J$204,D397)&gt;0,AND(H397&lt;&gt;"",COUNTIF('Target &amp; Team Lists'!$L$5:$L$204,H397)&gt;0),ISNUMBER(SEARCH("alpha nodus",(E397&amp;" "&amp;F397))),ISNUMBER(SEARCH("alphanodus",(E397&amp;" "&amp;F397)))),"Yes","No"))</f>
        <v/>
      </c>
      <c r="P397" s="34" t="str">
        <f aca="false">IF(D397="","",IF(O397="Yes","No",IF(OR(AND(F397&lt;&gt;"",COUNTIF('Target &amp; Team Lists'!$A$5:$A$504,F397)&gt;0),COUNTIF('Target &amp; Team Lists'!$E$5:$E$504,D397)&gt;0),"Yes",IF(AND(SUMPRODUCT(('Target &amp; Team Lists'!$N$5:$N$60&lt;&gt;"")*ISNUMBER(SEARCH('Target &amp; Team Lists'!$N$5:$N$60,(E397&amp;" "&amp;F397))))&gt;0,SUMPRODUCT(('Target &amp; Team Lists'!$O$5:$O$60&lt;&gt;"")*ISNUMBER(SEARCH('Target &amp; Team Lists'!$O$5:$O$60,(E397&amp;" "&amp;F397))))=0),"Yes","No"))))</f>
        <v/>
      </c>
      <c r="Q397" s="32"/>
    </row>
    <row r="398" customFormat="false" ht="15" hidden="false" customHeight="false" outlineLevel="0" collapsed="false">
      <c r="A398" s="30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3" t="str">
        <f aca="false">IF(D398="","",IF(SUM(I398:L398)&gt;0,1,0))</f>
        <v/>
      </c>
      <c r="O398" s="34" t="str">
        <f aca="false">IF(D398="","",IF(OR(COUNTIF('Target &amp; Team Lists'!$J$5:$J$204,D398)&gt;0,AND(H398&lt;&gt;"",COUNTIF('Target &amp; Team Lists'!$L$5:$L$204,H398)&gt;0),ISNUMBER(SEARCH("alpha nodus",(E398&amp;" "&amp;F398))),ISNUMBER(SEARCH("alphanodus",(E398&amp;" "&amp;F398)))),"Yes","No"))</f>
        <v/>
      </c>
      <c r="P398" s="34" t="str">
        <f aca="false">IF(D398="","",IF(O398="Yes","No",IF(OR(AND(F398&lt;&gt;"",COUNTIF('Target &amp; Team Lists'!$A$5:$A$504,F398)&gt;0),COUNTIF('Target &amp; Team Lists'!$E$5:$E$504,D398)&gt;0),"Yes",IF(AND(SUMPRODUCT(('Target &amp; Team Lists'!$N$5:$N$60&lt;&gt;"")*ISNUMBER(SEARCH('Target &amp; Team Lists'!$N$5:$N$60,(E398&amp;" "&amp;F398))))&gt;0,SUMPRODUCT(('Target &amp; Team Lists'!$O$5:$O$60&lt;&gt;"")*ISNUMBER(SEARCH('Target &amp; Team Lists'!$O$5:$O$60,(E398&amp;" "&amp;F398))))=0),"Yes","No"))))</f>
        <v/>
      </c>
      <c r="Q398" s="32"/>
    </row>
    <row r="399" customFormat="false" ht="15" hidden="false" customHeight="false" outlineLevel="0" collapsed="false">
      <c r="A399" s="30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3" t="str">
        <f aca="false">IF(D399="","",IF(SUM(I399:L399)&gt;0,1,0))</f>
        <v/>
      </c>
      <c r="O399" s="34" t="str">
        <f aca="false">IF(D399="","",IF(OR(COUNTIF('Target &amp; Team Lists'!$J$5:$J$204,D399)&gt;0,AND(H399&lt;&gt;"",COUNTIF('Target &amp; Team Lists'!$L$5:$L$204,H399)&gt;0),ISNUMBER(SEARCH("alpha nodus",(E399&amp;" "&amp;F399))),ISNUMBER(SEARCH("alphanodus",(E399&amp;" "&amp;F399)))),"Yes","No"))</f>
        <v/>
      </c>
      <c r="P399" s="34" t="str">
        <f aca="false">IF(D399="","",IF(O399="Yes","No",IF(OR(AND(F399&lt;&gt;"",COUNTIF('Target &amp; Team Lists'!$A$5:$A$504,F399)&gt;0),COUNTIF('Target &amp; Team Lists'!$E$5:$E$504,D399)&gt;0),"Yes",IF(AND(SUMPRODUCT(('Target &amp; Team Lists'!$N$5:$N$60&lt;&gt;"")*ISNUMBER(SEARCH('Target &amp; Team Lists'!$N$5:$N$60,(E399&amp;" "&amp;F399))))&gt;0,SUMPRODUCT(('Target &amp; Team Lists'!$O$5:$O$60&lt;&gt;"")*ISNUMBER(SEARCH('Target &amp; Team Lists'!$O$5:$O$60,(E399&amp;" "&amp;F399))))=0),"Yes","No"))))</f>
        <v/>
      </c>
      <c r="Q399" s="32"/>
    </row>
    <row r="400" customFormat="false" ht="15" hidden="false" customHeight="false" outlineLevel="0" collapsed="false">
      <c r="A400" s="30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3" t="str">
        <f aca="false">IF(D400="","",IF(SUM(I400:L400)&gt;0,1,0))</f>
        <v/>
      </c>
      <c r="O400" s="34" t="str">
        <f aca="false">IF(D400="","",IF(OR(COUNTIF('Target &amp; Team Lists'!$J$5:$J$204,D400)&gt;0,AND(H400&lt;&gt;"",COUNTIF('Target &amp; Team Lists'!$L$5:$L$204,H400)&gt;0),ISNUMBER(SEARCH("alpha nodus",(E400&amp;" "&amp;F400))),ISNUMBER(SEARCH("alphanodus",(E400&amp;" "&amp;F400)))),"Yes","No"))</f>
        <v/>
      </c>
      <c r="P400" s="34" t="str">
        <f aca="false">IF(D400="","",IF(O400="Yes","No",IF(OR(AND(F400&lt;&gt;"",COUNTIF('Target &amp; Team Lists'!$A$5:$A$504,F400)&gt;0),COUNTIF('Target &amp; Team Lists'!$E$5:$E$504,D400)&gt;0),"Yes",IF(AND(SUMPRODUCT(('Target &amp; Team Lists'!$N$5:$N$60&lt;&gt;"")*ISNUMBER(SEARCH('Target &amp; Team Lists'!$N$5:$N$60,(E400&amp;" "&amp;F400))))&gt;0,SUMPRODUCT(('Target &amp; Team Lists'!$O$5:$O$60&lt;&gt;"")*ISNUMBER(SEARCH('Target &amp; Team Lists'!$O$5:$O$60,(E400&amp;" "&amp;F400))))=0),"Yes","No"))))</f>
        <v/>
      </c>
      <c r="Q400" s="32"/>
    </row>
    <row r="401" customFormat="false" ht="15" hidden="false" customHeight="false" outlineLevel="0" collapsed="false">
      <c r="A401" s="30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3" t="str">
        <f aca="false">IF(D401="","",IF(SUM(I401:L401)&gt;0,1,0))</f>
        <v/>
      </c>
      <c r="O401" s="34" t="str">
        <f aca="false">IF(D401="","",IF(OR(COUNTIF('Target &amp; Team Lists'!$J$5:$J$204,D401)&gt;0,AND(H401&lt;&gt;"",COUNTIF('Target &amp; Team Lists'!$L$5:$L$204,H401)&gt;0),ISNUMBER(SEARCH("alpha nodus",(E401&amp;" "&amp;F401))),ISNUMBER(SEARCH("alphanodus",(E401&amp;" "&amp;F401)))),"Yes","No"))</f>
        <v/>
      </c>
      <c r="P401" s="34" t="str">
        <f aca="false">IF(D401="","",IF(O401="Yes","No",IF(OR(AND(F401&lt;&gt;"",COUNTIF('Target &amp; Team Lists'!$A$5:$A$504,F401)&gt;0),COUNTIF('Target &amp; Team Lists'!$E$5:$E$504,D401)&gt;0),"Yes",IF(AND(SUMPRODUCT(('Target &amp; Team Lists'!$N$5:$N$60&lt;&gt;"")*ISNUMBER(SEARCH('Target &amp; Team Lists'!$N$5:$N$60,(E401&amp;" "&amp;F401))))&gt;0,SUMPRODUCT(('Target &amp; Team Lists'!$O$5:$O$60&lt;&gt;"")*ISNUMBER(SEARCH('Target &amp; Team Lists'!$O$5:$O$60,(E401&amp;" "&amp;F401))))=0),"Yes","No"))))</f>
        <v/>
      </c>
      <c r="Q401" s="32"/>
    </row>
    <row r="402" customFormat="false" ht="15" hidden="false" customHeight="false" outlineLevel="0" collapsed="false">
      <c r="A402" s="30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3" t="str">
        <f aca="false">IF(D402="","",IF(SUM(I402:L402)&gt;0,1,0))</f>
        <v/>
      </c>
      <c r="O402" s="34" t="str">
        <f aca="false">IF(D402="","",IF(OR(COUNTIF('Target &amp; Team Lists'!$J$5:$J$204,D402)&gt;0,AND(H402&lt;&gt;"",COUNTIF('Target &amp; Team Lists'!$L$5:$L$204,H402)&gt;0),ISNUMBER(SEARCH("alpha nodus",(E402&amp;" "&amp;F402))),ISNUMBER(SEARCH("alphanodus",(E402&amp;" "&amp;F402)))),"Yes","No"))</f>
        <v/>
      </c>
      <c r="P402" s="34" t="str">
        <f aca="false">IF(D402="","",IF(O402="Yes","No",IF(OR(AND(F402&lt;&gt;"",COUNTIF('Target &amp; Team Lists'!$A$5:$A$504,F402)&gt;0),COUNTIF('Target &amp; Team Lists'!$E$5:$E$504,D402)&gt;0),"Yes",IF(AND(SUMPRODUCT(('Target &amp; Team Lists'!$N$5:$N$60&lt;&gt;"")*ISNUMBER(SEARCH('Target &amp; Team Lists'!$N$5:$N$60,(E402&amp;" "&amp;F402))))&gt;0,SUMPRODUCT(('Target &amp; Team Lists'!$O$5:$O$60&lt;&gt;"")*ISNUMBER(SEARCH('Target &amp; Team Lists'!$O$5:$O$60,(E402&amp;" "&amp;F402))))=0),"Yes","No"))))</f>
        <v/>
      </c>
      <c r="Q402" s="32"/>
    </row>
    <row r="403" customFormat="false" ht="15" hidden="false" customHeight="false" outlineLevel="0" collapsed="false">
      <c r="A403" s="30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3" t="str">
        <f aca="false">IF(D403="","",IF(SUM(I403:L403)&gt;0,1,0))</f>
        <v/>
      </c>
      <c r="O403" s="34" t="str">
        <f aca="false">IF(D403="","",IF(OR(COUNTIF('Target &amp; Team Lists'!$J$5:$J$204,D403)&gt;0,AND(H403&lt;&gt;"",COUNTIF('Target &amp; Team Lists'!$L$5:$L$204,H403)&gt;0),ISNUMBER(SEARCH("alpha nodus",(E403&amp;" "&amp;F403))),ISNUMBER(SEARCH("alphanodus",(E403&amp;" "&amp;F403)))),"Yes","No"))</f>
        <v/>
      </c>
      <c r="P403" s="34" t="str">
        <f aca="false">IF(D403="","",IF(O403="Yes","No",IF(OR(AND(F403&lt;&gt;"",COUNTIF('Target &amp; Team Lists'!$A$5:$A$504,F403)&gt;0),COUNTIF('Target &amp; Team Lists'!$E$5:$E$504,D403)&gt;0),"Yes",IF(AND(SUMPRODUCT(('Target &amp; Team Lists'!$N$5:$N$60&lt;&gt;"")*ISNUMBER(SEARCH('Target &amp; Team Lists'!$N$5:$N$60,(E403&amp;" "&amp;F403))))&gt;0,SUMPRODUCT(('Target &amp; Team Lists'!$O$5:$O$60&lt;&gt;"")*ISNUMBER(SEARCH('Target &amp; Team Lists'!$O$5:$O$60,(E403&amp;" "&amp;F403))))=0),"Yes","No"))))</f>
        <v/>
      </c>
      <c r="Q403" s="32"/>
    </row>
    <row r="404" customFormat="false" ht="15" hidden="false" customHeight="false" outlineLevel="0" collapsed="false">
      <c r="A404" s="30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3" t="str">
        <f aca="false">IF(D404="","",IF(SUM(I404:L404)&gt;0,1,0))</f>
        <v/>
      </c>
      <c r="O404" s="34" t="str">
        <f aca="false">IF(D404="","",IF(OR(COUNTIF('Target &amp; Team Lists'!$J$5:$J$204,D404)&gt;0,AND(H404&lt;&gt;"",COUNTIF('Target &amp; Team Lists'!$L$5:$L$204,H404)&gt;0),ISNUMBER(SEARCH("alpha nodus",(E404&amp;" "&amp;F404))),ISNUMBER(SEARCH("alphanodus",(E404&amp;" "&amp;F404)))),"Yes","No"))</f>
        <v/>
      </c>
      <c r="P404" s="34" t="str">
        <f aca="false">IF(D404="","",IF(O404="Yes","No",IF(OR(AND(F404&lt;&gt;"",COUNTIF('Target &amp; Team Lists'!$A$5:$A$504,F404)&gt;0),COUNTIF('Target &amp; Team Lists'!$E$5:$E$504,D404)&gt;0),"Yes",IF(AND(SUMPRODUCT(('Target &amp; Team Lists'!$N$5:$N$60&lt;&gt;"")*ISNUMBER(SEARCH('Target &amp; Team Lists'!$N$5:$N$60,(E404&amp;" "&amp;F404))))&gt;0,SUMPRODUCT(('Target &amp; Team Lists'!$O$5:$O$60&lt;&gt;"")*ISNUMBER(SEARCH('Target &amp; Team Lists'!$O$5:$O$60,(E404&amp;" "&amp;F404))))=0),"Yes","No"))))</f>
        <v/>
      </c>
      <c r="Q404" s="32"/>
    </row>
    <row r="405" customFormat="false" ht="15" hidden="false" customHeight="false" outlineLevel="0" collapsed="false">
      <c r="A405" s="30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3" t="str">
        <f aca="false">IF(D405="","",IF(SUM(I405:L405)&gt;0,1,0))</f>
        <v/>
      </c>
      <c r="O405" s="34" t="str">
        <f aca="false">IF(D405="","",IF(OR(COUNTIF('Target &amp; Team Lists'!$J$5:$J$204,D405)&gt;0,AND(H405&lt;&gt;"",COUNTIF('Target &amp; Team Lists'!$L$5:$L$204,H405)&gt;0),ISNUMBER(SEARCH("alpha nodus",(E405&amp;" "&amp;F405))),ISNUMBER(SEARCH("alphanodus",(E405&amp;" "&amp;F405)))),"Yes","No"))</f>
        <v/>
      </c>
      <c r="P405" s="34" t="str">
        <f aca="false">IF(D405="","",IF(O405="Yes","No",IF(OR(AND(F405&lt;&gt;"",COUNTIF('Target &amp; Team Lists'!$A$5:$A$504,F405)&gt;0),COUNTIF('Target &amp; Team Lists'!$E$5:$E$504,D405)&gt;0),"Yes",IF(AND(SUMPRODUCT(('Target &amp; Team Lists'!$N$5:$N$60&lt;&gt;"")*ISNUMBER(SEARCH('Target &amp; Team Lists'!$N$5:$N$60,(E405&amp;" "&amp;F405))))&gt;0,SUMPRODUCT(('Target &amp; Team Lists'!$O$5:$O$60&lt;&gt;"")*ISNUMBER(SEARCH('Target &amp; Team Lists'!$O$5:$O$60,(E405&amp;" "&amp;F405))))=0),"Yes","No"))))</f>
        <v/>
      </c>
      <c r="Q405" s="32"/>
    </row>
    <row r="406" customFormat="false" ht="15" hidden="false" customHeight="false" outlineLevel="0" collapsed="false">
      <c r="A406" s="30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3" t="str">
        <f aca="false">IF(D406="","",IF(SUM(I406:L406)&gt;0,1,0))</f>
        <v/>
      </c>
      <c r="O406" s="34" t="str">
        <f aca="false">IF(D406="","",IF(OR(COUNTIF('Target &amp; Team Lists'!$J$5:$J$204,D406)&gt;0,AND(H406&lt;&gt;"",COUNTIF('Target &amp; Team Lists'!$L$5:$L$204,H406)&gt;0),ISNUMBER(SEARCH("alpha nodus",(E406&amp;" "&amp;F406))),ISNUMBER(SEARCH("alphanodus",(E406&amp;" "&amp;F406)))),"Yes","No"))</f>
        <v/>
      </c>
      <c r="P406" s="34" t="str">
        <f aca="false">IF(D406="","",IF(O406="Yes","No",IF(OR(AND(F406&lt;&gt;"",COUNTIF('Target &amp; Team Lists'!$A$5:$A$504,F406)&gt;0),COUNTIF('Target &amp; Team Lists'!$E$5:$E$504,D406)&gt;0),"Yes",IF(AND(SUMPRODUCT(('Target &amp; Team Lists'!$N$5:$N$60&lt;&gt;"")*ISNUMBER(SEARCH('Target &amp; Team Lists'!$N$5:$N$60,(E406&amp;" "&amp;F406))))&gt;0,SUMPRODUCT(('Target &amp; Team Lists'!$O$5:$O$60&lt;&gt;"")*ISNUMBER(SEARCH('Target &amp; Team Lists'!$O$5:$O$60,(E406&amp;" "&amp;F406))))=0),"Yes","No"))))</f>
        <v/>
      </c>
      <c r="Q406" s="32"/>
    </row>
    <row r="407" customFormat="false" ht="15" hidden="false" customHeight="false" outlineLevel="0" collapsed="false">
      <c r="A407" s="30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3" t="str">
        <f aca="false">IF(D407="","",IF(SUM(I407:L407)&gt;0,1,0))</f>
        <v/>
      </c>
      <c r="O407" s="34" t="str">
        <f aca="false">IF(D407="","",IF(OR(COUNTIF('Target &amp; Team Lists'!$J$5:$J$204,D407)&gt;0,AND(H407&lt;&gt;"",COUNTIF('Target &amp; Team Lists'!$L$5:$L$204,H407)&gt;0),ISNUMBER(SEARCH("alpha nodus",(E407&amp;" "&amp;F407))),ISNUMBER(SEARCH("alphanodus",(E407&amp;" "&amp;F407)))),"Yes","No"))</f>
        <v/>
      </c>
      <c r="P407" s="34" t="str">
        <f aca="false">IF(D407="","",IF(O407="Yes","No",IF(OR(AND(F407&lt;&gt;"",COUNTIF('Target &amp; Team Lists'!$A$5:$A$504,F407)&gt;0),COUNTIF('Target &amp; Team Lists'!$E$5:$E$504,D407)&gt;0),"Yes",IF(AND(SUMPRODUCT(('Target &amp; Team Lists'!$N$5:$N$60&lt;&gt;"")*ISNUMBER(SEARCH('Target &amp; Team Lists'!$N$5:$N$60,(E407&amp;" "&amp;F407))))&gt;0,SUMPRODUCT(('Target &amp; Team Lists'!$O$5:$O$60&lt;&gt;"")*ISNUMBER(SEARCH('Target &amp; Team Lists'!$O$5:$O$60,(E407&amp;" "&amp;F407))))=0),"Yes","No"))))</f>
        <v/>
      </c>
      <c r="Q407" s="32"/>
    </row>
    <row r="408" customFormat="false" ht="15" hidden="false" customHeight="false" outlineLevel="0" collapsed="false">
      <c r="A408" s="30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3" t="str">
        <f aca="false">IF(D408="","",IF(SUM(I408:L408)&gt;0,1,0))</f>
        <v/>
      </c>
      <c r="O408" s="34" t="str">
        <f aca="false">IF(D408="","",IF(OR(COUNTIF('Target &amp; Team Lists'!$J$5:$J$204,D408)&gt;0,AND(H408&lt;&gt;"",COUNTIF('Target &amp; Team Lists'!$L$5:$L$204,H408)&gt;0),ISNUMBER(SEARCH("alpha nodus",(E408&amp;" "&amp;F408))),ISNUMBER(SEARCH("alphanodus",(E408&amp;" "&amp;F408)))),"Yes","No"))</f>
        <v/>
      </c>
      <c r="P408" s="34" t="str">
        <f aca="false">IF(D408="","",IF(O408="Yes","No",IF(OR(AND(F408&lt;&gt;"",COUNTIF('Target &amp; Team Lists'!$A$5:$A$504,F408)&gt;0),COUNTIF('Target &amp; Team Lists'!$E$5:$E$504,D408)&gt;0),"Yes",IF(AND(SUMPRODUCT(('Target &amp; Team Lists'!$N$5:$N$60&lt;&gt;"")*ISNUMBER(SEARCH('Target &amp; Team Lists'!$N$5:$N$60,(E408&amp;" "&amp;F408))))&gt;0,SUMPRODUCT(('Target &amp; Team Lists'!$O$5:$O$60&lt;&gt;"")*ISNUMBER(SEARCH('Target &amp; Team Lists'!$O$5:$O$60,(E408&amp;" "&amp;F408))))=0),"Yes","No"))))</f>
        <v/>
      </c>
      <c r="Q408" s="32"/>
    </row>
    <row r="409" customFormat="false" ht="15" hidden="false" customHeight="false" outlineLevel="0" collapsed="false">
      <c r="A409" s="30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3" t="str">
        <f aca="false">IF(D409="","",IF(SUM(I409:L409)&gt;0,1,0))</f>
        <v/>
      </c>
      <c r="O409" s="34" t="str">
        <f aca="false">IF(D409="","",IF(OR(COUNTIF('Target &amp; Team Lists'!$J$5:$J$204,D409)&gt;0,AND(H409&lt;&gt;"",COUNTIF('Target &amp; Team Lists'!$L$5:$L$204,H409)&gt;0),ISNUMBER(SEARCH("alpha nodus",(E409&amp;" "&amp;F409))),ISNUMBER(SEARCH("alphanodus",(E409&amp;" "&amp;F409)))),"Yes","No"))</f>
        <v/>
      </c>
      <c r="P409" s="34" t="str">
        <f aca="false">IF(D409="","",IF(O409="Yes","No",IF(OR(AND(F409&lt;&gt;"",COUNTIF('Target &amp; Team Lists'!$A$5:$A$504,F409)&gt;0),COUNTIF('Target &amp; Team Lists'!$E$5:$E$504,D409)&gt;0),"Yes",IF(AND(SUMPRODUCT(('Target &amp; Team Lists'!$N$5:$N$60&lt;&gt;"")*ISNUMBER(SEARCH('Target &amp; Team Lists'!$N$5:$N$60,(E409&amp;" "&amp;F409))))&gt;0,SUMPRODUCT(('Target &amp; Team Lists'!$O$5:$O$60&lt;&gt;"")*ISNUMBER(SEARCH('Target &amp; Team Lists'!$O$5:$O$60,(E409&amp;" "&amp;F409))))=0),"Yes","No"))))</f>
        <v/>
      </c>
      <c r="Q409" s="32"/>
    </row>
    <row r="410" customFormat="false" ht="15" hidden="false" customHeight="false" outlineLevel="0" collapsed="false">
      <c r="A410" s="30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3" t="str">
        <f aca="false">IF(D410="","",IF(SUM(I410:L410)&gt;0,1,0))</f>
        <v/>
      </c>
      <c r="O410" s="34" t="str">
        <f aca="false">IF(D410="","",IF(OR(COUNTIF('Target &amp; Team Lists'!$J$5:$J$204,D410)&gt;0,AND(H410&lt;&gt;"",COUNTIF('Target &amp; Team Lists'!$L$5:$L$204,H410)&gt;0),ISNUMBER(SEARCH("alpha nodus",(E410&amp;" "&amp;F410))),ISNUMBER(SEARCH("alphanodus",(E410&amp;" "&amp;F410)))),"Yes","No"))</f>
        <v/>
      </c>
      <c r="P410" s="34" t="str">
        <f aca="false">IF(D410="","",IF(O410="Yes","No",IF(OR(AND(F410&lt;&gt;"",COUNTIF('Target &amp; Team Lists'!$A$5:$A$504,F410)&gt;0),COUNTIF('Target &amp; Team Lists'!$E$5:$E$504,D410)&gt;0),"Yes",IF(AND(SUMPRODUCT(('Target &amp; Team Lists'!$N$5:$N$60&lt;&gt;"")*ISNUMBER(SEARCH('Target &amp; Team Lists'!$N$5:$N$60,(E410&amp;" "&amp;F410))))&gt;0,SUMPRODUCT(('Target &amp; Team Lists'!$O$5:$O$60&lt;&gt;"")*ISNUMBER(SEARCH('Target &amp; Team Lists'!$O$5:$O$60,(E410&amp;" "&amp;F410))))=0),"Yes","No"))))</f>
        <v/>
      </c>
      <c r="Q410" s="32"/>
    </row>
    <row r="411" customFormat="false" ht="15" hidden="false" customHeight="false" outlineLevel="0" collapsed="false">
      <c r="A411" s="30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3" t="str">
        <f aca="false">IF(D411="","",IF(SUM(I411:L411)&gt;0,1,0))</f>
        <v/>
      </c>
      <c r="O411" s="34" t="str">
        <f aca="false">IF(D411="","",IF(OR(COUNTIF('Target &amp; Team Lists'!$J$5:$J$204,D411)&gt;0,AND(H411&lt;&gt;"",COUNTIF('Target &amp; Team Lists'!$L$5:$L$204,H411)&gt;0),ISNUMBER(SEARCH("alpha nodus",(E411&amp;" "&amp;F411))),ISNUMBER(SEARCH("alphanodus",(E411&amp;" "&amp;F411)))),"Yes","No"))</f>
        <v/>
      </c>
      <c r="P411" s="34" t="str">
        <f aca="false">IF(D411="","",IF(O411="Yes","No",IF(OR(AND(F411&lt;&gt;"",COUNTIF('Target &amp; Team Lists'!$A$5:$A$504,F411)&gt;0),COUNTIF('Target &amp; Team Lists'!$E$5:$E$504,D411)&gt;0),"Yes",IF(AND(SUMPRODUCT(('Target &amp; Team Lists'!$N$5:$N$60&lt;&gt;"")*ISNUMBER(SEARCH('Target &amp; Team Lists'!$N$5:$N$60,(E411&amp;" "&amp;F411))))&gt;0,SUMPRODUCT(('Target &amp; Team Lists'!$O$5:$O$60&lt;&gt;"")*ISNUMBER(SEARCH('Target &amp; Team Lists'!$O$5:$O$60,(E411&amp;" "&amp;F411))))=0),"Yes","No"))))</f>
        <v/>
      </c>
      <c r="Q411" s="32"/>
    </row>
    <row r="412" customFormat="false" ht="15" hidden="false" customHeight="false" outlineLevel="0" collapsed="false">
      <c r="A412" s="30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3" t="str">
        <f aca="false">IF(D412="","",IF(SUM(I412:L412)&gt;0,1,0))</f>
        <v/>
      </c>
      <c r="O412" s="34" t="str">
        <f aca="false">IF(D412="","",IF(OR(COUNTIF('Target &amp; Team Lists'!$J$5:$J$204,D412)&gt;0,AND(H412&lt;&gt;"",COUNTIF('Target &amp; Team Lists'!$L$5:$L$204,H412)&gt;0),ISNUMBER(SEARCH("alpha nodus",(E412&amp;" "&amp;F412))),ISNUMBER(SEARCH("alphanodus",(E412&amp;" "&amp;F412)))),"Yes","No"))</f>
        <v/>
      </c>
      <c r="P412" s="34" t="str">
        <f aca="false">IF(D412="","",IF(O412="Yes","No",IF(OR(AND(F412&lt;&gt;"",COUNTIF('Target &amp; Team Lists'!$A$5:$A$504,F412)&gt;0),COUNTIF('Target &amp; Team Lists'!$E$5:$E$504,D412)&gt;0),"Yes",IF(AND(SUMPRODUCT(('Target &amp; Team Lists'!$N$5:$N$60&lt;&gt;"")*ISNUMBER(SEARCH('Target &amp; Team Lists'!$N$5:$N$60,(E412&amp;" "&amp;F412))))&gt;0,SUMPRODUCT(('Target &amp; Team Lists'!$O$5:$O$60&lt;&gt;"")*ISNUMBER(SEARCH('Target &amp; Team Lists'!$O$5:$O$60,(E412&amp;" "&amp;F412))))=0),"Yes","No"))))</f>
        <v/>
      </c>
      <c r="Q412" s="32"/>
    </row>
    <row r="413" customFormat="false" ht="15" hidden="false" customHeight="false" outlineLevel="0" collapsed="false">
      <c r="A413" s="30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3" t="str">
        <f aca="false">IF(D413="","",IF(SUM(I413:L413)&gt;0,1,0))</f>
        <v/>
      </c>
      <c r="O413" s="34" t="str">
        <f aca="false">IF(D413="","",IF(OR(COUNTIF('Target &amp; Team Lists'!$J$5:$J$204,D413)&gt;0,AND(H413&lt;&gt;"",COUNTIF('Target &amp; Team Lists'!$L$5:$L$204,H413)&gt;0),ISNUMBER(SEARCH("alpha nodus",(E413&amp;" "&amp;F413))),ISNUMBER(SEARCH("alphanodus",(E413&amp;" "&amp;F413)))),"Yes","No"))</f>
        <v/>
      </c>
      <c r="P413" s="34" t="str">
        <f aca="false">IF(D413="","",IF(O413="Yes","No",IF(OR(AND(F413&lt;&gt;"",COUNTIF('Target &amp; Team Lists'!$A$5:$A$504,F413)&gt;0),COUNTIF('Target &amp; Team Lists'!$E$5:$E$504,D413)&gt;0),"Yes",IF(AND(SUMPRODUCT(('Target &amp; Team Lists'!$N$5:$N$60&lt;&gt;"")*ISNUMBER(SEARCH('Target &amp; Team Lists'!$N$5:$N$60,(E413&amp;" "&amp;F413))))&gt;0,SUMPRODUCT(('Target &amp; Team Lists'!$O$5:$O$60&lt;&gt;"")*ISNUMBER(SEARCH('Target &amp; Team Lists'!$O$5:$O$60,(E413&amp;" "&amp;F413))))=0),"Yes","No"))))</f>
        <v/>
      </c>
      <c r="Q413" s="32"/>
    </row>
    <row r="414" customFormat="false" ht="15" hidden="false" customHeight="false" outlineLevel="0" collapsed="false">
      <c r="A414" s="30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3" t="str">
        <f aca="false">IF(D414="","",IF(SUM(I414:L414)&gt;0,1,0))</f>
        <v/>
      </c>
      <c r="O414" s="34" t="str">
        <f aca="false">IF(D414="","",IF(OR(COUNTIF('Target &amp; Team Lists'!$J$5:$J$204,D414)&gt;0,AND(H414&lt;&gt;"",COUNTIF('Target &amp; Team Lists'!$L$5:$L$204,H414)&gt;0),ISNUMBER(SEARCH("alpha nodus",(E414&amp;" "&amp;F414))),ISNUMBER(SEARCH("alphanodus",(E414&amp;" "&amp;F414)))),"Yes","No"))</f>
        <v/>
      </c>
      <c r="P414" s="34" t="str">
        <f aca="false">IF(D414="","",IF(O414="Yes","No",IF(OR(AND(F414&lt;&gt;"",COUNTIF('Target &amp; Team Lists'!$A$5:$A$504,F414)&gt;0),COUNTIF('Target &amp; Team Lists'!$E$5:$E$504,D414)&gt;0),"Yes",IF(AND(SUMPRODUCT(('Target &amp; Team Lists'!$N$5:$N$60&lt;&gt;"")*ISNUMBER(SEARCH('Target &amp; Team Lists'!$N$5:$N$60,(E414&amp;" "&amp;F414))))&gt;0,SUMPRODUCT(('Target &amp; Team Lists'!$O$5:$O$60&lt;&gt;"")*ISNUMBER(SEARCH('Target &amp; Team Lists'!$O$5:$O$60,(E414&amp;" "&amp;F414))))=0),"Yes","No"))))</f>
        <v/>
      </c>
      <c r="Q414" s="32"/>
    </row>
    <row r="415" customFormat="false" ht="15" hidden="false" customHeight="false" outlineLevel="0" collapsed="false">
      <c r="A415" s="30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3" t="str">
        <f aca="false">IF(D415="","",IF(SUM(I415:L415)&gt;0,1,0))</f>
        <v/>
      </c>
      <c r="O415" s="34" t="str">
        <f aca="false">IF(D415="","",IF(OR(COUNTIF('Target &amp; Team Lists'!$J$5:$J$204,D415)&gt;0,AND(H415&lt;&gt;"",COUNTIF('Target &amp; Team Lists'!$L$5:$L$204,H415)&gt;0),ISNUMBER(SEARCH("alpha nodus",(E415&amp;" "&amp;F415))),ISNUMBER(SEARCH("alphanodus",(E415&amp;" "&amp;F415)))),"Yes","No"))</f>
        <v/>
      </c>
      <c r="P415" s="34" t="str">
        <f aca="false">IF(D415="","",IF(O415="Yes","No",IF(OR(AND(F415&lt;&gt;"",COUNTIF('Target &amp; Team Lists'!$A$5:$A$504,F415)&gt;0),COUNTIF('Target &amp; Team Lists'!$E$5:$E$504,D415)&gt;0),"Yes",IF(AND(SUMPRODUCT(('Target &amp; Team Lists'!$N$5:$N$60&lt;&gt;"")*ISNUMBER(SEARCH('Target &amp; Team Lists'!$N$5:$N$60,(E415&amp;" "&amp;F415))))&gt;0,SUMPRODUCT(('Target &amp; Team Lists'!$O$5:$O$60&lt;&gt;"")*ISNUMBER(SEARCH('Target &amp; Team Lists'!$O$5:$O$60,(E415&amp;" "&amp;F415))))=0),"Yes","No"))))</f>
        <v/>
      </c>
      <c r="Q415" s="32"/>
    </row>
    <row r="416" customFormat="false" ht="15" hidden="false" customHeight="false" outlineLevel="0" collapsed="false">
      <c r="A416" s="30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3" t="str">
        <f aca="false">IF(D416="","",IF(SUM(I416:L416)&gt;0,1,0))</f>
        <v/>
      </c>
      <c r="O416" s="34" t="str">
        <f aca="false">IF(D416="","",IF(OR(COUNTIF('Target &amp; Team Lists'!$J$5:$J$204,D416)&gt;0,AND(H416&lt;&gt;"",COUNTIF('Target &amp; Team Lists'!$L$5:$L$204,H416)&gt;0),ISNUMBER(SEARCH("alpha nodus",(E416&amp;" "&amp;F416))),ISNUMBER(SEARCH("alphanodus",(E416&amp;" "&amp;F416)))),"Yes","No"))</f>
        <v/>
      </c>
      <c r="P416" s="34" t="str">
        <f aca="false">IF(D416="","",IF(O416="Yes","No",IF(OR(AND(F416&lt;&gt;"",COUNTIF('Target &amp; Team Lists'!$A$5:$A$504,F416)&gt;0),COUNTIF('Target &amp; Team Lists'!$E$5:$E$504,D416)&gt;0),"Yes",IF(AND(SUMPRODUCT(('Target &amp; Team Lists'!$N$5:$N$60&lt;&gt;"")*ISNUMBER(SEARCH('Target &amp; Team Lists'!$N$5:$N$60,(E416&amp;" "&amp;F416))))&gt;0,SUMPRODUCT(('Target &amp; Team Lists'!$O$5:$O$60&lt;&gt;"")*ISNUMBER(SEARCH('Target &amp; Team Lists'!$O$5:$O$60,(E416&amp;" "&amp;F416))))=0),"Yes","No"))))</f>
        <v/>
      </c>
      <c r="Q416" s="32"/>
    </row>
    <row r="417" customFormat="false" ht="15" hidden="false" customHeight="false" outlineLevel="0" collapsed="false">
      <c r="A417" s="30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3" t="str">
        <f aca="false">IF(D417="","",IF(SUM(I417:L417)&gt;0,1,0))</f>
        <v/>
      </c>
      <c r="O417" s="34" t="str">
        <f aca="false">IF(D417="","",IF(OR(COUNTIF('Target &amp; Team Lists'!$J$5:$J$204,D417)&gt;0,AND(H417&lt;&gt;"",COUNTIF('Target &amp; Team Lists'!$L$5:$L$204,H417)&gt;0),ISNUMBER(SEARCH("alpha nodus",(E417&amp;" "&amp;F417))),ISNUMBER(SEARCH("alphanodus",(E417&amp;" "&amp;F417)))),"Yes","No"))</f>
        <v/>
      </c>
      <c r="P417" s="34" t="str">
        <f aca="false">IF(D417="","",IF(O417="Yes","No",IF(OR(AND(F417&lt;&gt;"",COUNTIF('Target &amp; Team Lists'!$A$5:$A$504,F417)&gt;0),COUNTIF('Target &amp; Team Lists'!$E$5:$E$504,D417)&gt;0),"Yes",IF(AND(SUMPRODUCT(('Target &amp; Team Lists'!$N$5:$N$60&lt;&gt;"")*ISNUMBER(SEARCH('Target &amp; Team Lists'!$N$5:$N$60,(E417&amp;" "&amp;F417))))&gt;0,SUMPRODUCT(('Target &amp; Team Lists'!$O$5:$O$60&lt;&gt;"")*ISNUMBER(SEARCH('Target &amp; Team Lists'!$O$5:$O$60,(E417&amp;" "&amp;F417))))=0),"Yes","No"))))</f>
        <v/>
      </c>
      <c r="Q417" s="32"/>
    </row>
    <row r="418" customFormat="false" ht="15" hidden="false" customHeight="false" outlineLevel="0" collapsed="false">
      <c r="A418" s="30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3" t="str">
        <f aca="false">IF(D418="","",IF(SUM(I418:L418)&gt;0,1,0))</f>
        <v/>
      </c>
      <c r="O418" s="34" t="str">
        <f aca="false">IF(D418="","",IF(OR(COUNTIF('Target &amp; Team Lists'!$J$5:$J$204,D418)&gt;0,AND(H418&lt;&gt;"",COUNTIF('Target &amp; Team Lists'!$L$5:$L$204,H418)&gt;0),ISNUMBER(SEARCH("alpha nodus",(E418&amp;" "&amp;F418))),ISNUMBER(SEARCH("alphanodus",(E418&amp;" "&amp;F418)))),"Yes","No"))</f>
        <v/>
      </c>
      <c r="P418" s="34" t="str">
        <f aca="false">IF(D418="","",IF(O418="Yes","No",IF(OR(AND(F418&lt;&gt;"",COUNTIF('Target &amp; Team Lists'!$A$5:$A$504,F418)&gt;0),COUNTIF('Target &amp; Team Lists'!$E$5:$E$504,D418)&gt;0),"Yes",IF(AND(SUMPRODUCT(('Target &amp; Team Lists'!$N$5:$N$60&lt;&gt;"")*ISNUMBER(SEARCH('Target &amp; Team Lists'!$N$5:$N$60,(E418&amp;" "&amp;F418))))&gt;0,SUMPRODUCT(('Target &amp; Team Lists'!$O$5:$O$60&lt;&gt;"")*ISNUMBER(SEARCH('Target &amp; Team Lists'!$O$5:$O$60,(E418&amp;" "&amp;F418))))=0),"Yes","No"))))</f>
        <v/>
      </c>
      <c r="Q418" s="32"/>
    </row>
    <row r="419" customFormat="false" ht="15" hidden="false" customHeight="false" outlineLevel="0" collapsed="false">
      <c r="A419" s="30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3" t="str">
        <f aca="false">IF(D419="","",IF(SUM(I419:L419)&gt;0,1,0))</f>
        <v/>
      </c>
      <c r="O419" s="34" t="str">
        <f aca="false">IF(D419="","",IF(OR(COUNTIF('Target &amp; Team Lists'!$J$5:$J$204,D419)&gt;0,AND(H419&lt;&gt;"",COUNTIF('Target &amp; Team Lists'!$L$5:$L$204,H419)&gt;0),ISNUMBER(SEARCH("alpha nodus",(E419&amp;" "&amp;F419))),ISNUMBER(SEARCH("alphanodus",(E419&amp;" "&amp;F419)))),"Yes","No"))</f>
        <v/>
      </c>
      <c r="P419" s="34" t="str">
        <f aca="false">IF(D419="","",IF(O419="Yes","No",IF(OR(AND(F419&lt;&gt;"",COUNTIF('Target &amp; Team Lists'!$A$5:$A$504,F419)&gt;0),COUNTIF('Target &amp; Team Lists'!$E$5:$E$504,D419)&gt;0),"Yes",IF(AND(SUMPRODUCT(('Target &amp; Team Lists'!$N$5:$N$60&lt;&gt;"")*ISNUMBER(SEARCH('Target &amp; Team Lists'!$N$5:$N$60,(E419&amp;" "&amp;F419))))&gt;0,SUMPRODUCT(('Target &amp; Team Lists'!$O$5:$O$60&lt;&gt;"")*ISNUMBER(SEARCH('Target &amp; Team Lists'!$O$5:$O$60,(E419&amp;" "&amp;F419))))=0),"Yes","No"))))</f>
        <v/>
      </c>
      <c r="Q419" s="32"/>
    </row>
    <row r="420" customFormat="false" ht="15" hidden="false" customHeight="false" outlineLevel="0" collapsed="false">
      <c r="A420" s="30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3" t="str">
        <f aca="false">IF(D420="","",IF(SUM(I420:L420)&gt;0,1,0))</f>
        <v/>
      </c>
      <c r="O420" s="34" t="str">
        <f aca="false">IF(D420="","",IF(OR(COUNTIF('Target &amp; Team Lists'!$J$5:$J$204,D420)&gt;0,AND(H420&lt;&gt;"",COUNTIF('Target &amp; Team Lists'!$L$5:$L$204,H420)&gt;0),ISNUMBER(SEARCH("alpha nodus",(E420&amp;" "&amp;F420))),ISNUMBER(SEARCH("alphanodus",(E420&amp;" "&amp;F420)))),"Yes","No"))</f>
        <v/>
      </c>
      <c r="P420" s="34" t="str">
        <f aca="false">IF(D420="","",IF(O420="Yes","No",IF(OR(AND(F420&lt;&gt;"",COUNTIF('Target &amp; Team Lists'!$A$5:$A$504,F420)&gt;0),COUNTIF('Target &amp; Team Lists'!$E$5:$E$504,D420)&gt;0),"Yes",IF(AND(SUMPRODUCT(('Target &amp; Team Lists'!$N$5:$N$60&lt;&gt;"")*ISNUMBER(SEARCH('Target &amp; Team Lists'!$N$5:$N$60,(E420&amp;" "&amp;F420))))&gt;0,SUMPRODUCT(('Target &amp; Team Lists'!$O$5:$O$60&lt;&gt;"")*ISNUMBER(SEARCH('Target &amp; Team Lists'!$O$5:$O$60,(E420&amp;" "&amp;F420))))=0),"Yes","No"))))</f>
        <v/>
      </c>
      <c r="Q420" s="32"/>
    </row>
    <row r="421" customFormat="false" ht="15" hidden="false" customHeight="false" outlineLevel="0" collapsed="false">
      <c r="A421" s="30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3" t="str">
        <f aca="false">IF(D421="","",IF(SUM(I421:L421)&gt;0,1,0))</f>
        <v/>
      </c>
      <c r="O421" s="34" t="str">
        <f aca="false">IF(D421="","",IF(OR(COUNTIF('Target &amp; Team Lists'!$J$5:$J$204,D421)&gt;0,AND(H421&lt;&gt;"",COUNTIF('Target &amp; Team Lists'!$L$5:$L$204,H421)&gt;0),ISNUMBER(SEARCH("alpha nodus",(E421&amp;" "&amp;F421))),ISNUMBER(SEARCH("alphanodus",(E421&amp;" "&amp;F421)))),"Yes","No"))</f>
        <v/>
      </c>
      <c r="P421" s="34" t="str">
        <f aca="false">IF(D421="","",IF(O421="Yes","No",IF(OR(AND(F421&lt;&gt;"",COUNTIF('Target &amp; Team Lists'!$A$5:$A$504,F421)&gt;0),COUNTIF('Target &amp; Team Lists'!$E$5:$E$504,D421)&gt;0),"Yes",IF(AND(SUMPRODUCT(('Target &amp; Team Lists'!$N$5:$N$60&lt;&gt;"")*ISNUMBER(SEARCH('Target &amp; Team Lists'!$N$5:$N$60,(E421&amp;" "&amp;F421))))&gt;0,SUMPRODUCT(('Target &amp; Team Lists'!$O$5:$O$60&lt;&gt;"")*ISNUMBER(SEARCH('Target &amp; Team Lists'!$O$5:$O$60,(E421&amp;" "&amp;F421))))=0),"Yes","No"))))</f>
        <v/>
      </c>
      <c r="Q421" s="32"/>
    </row>
    <row r="422" customFormat="false" ht="15" hidden="false" customHeight="false" outlineLevel="0" collapsed="false">
      <c r="A422" s="30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3" t="str">
        <f aca="false">IF(D422="","",IF(SUM(I422:L422)&gt;0,1,0))</f>
        <v/>
      </c>
      <c r="O422" s="34" t="str">
        <f aca="false">IF(D422="","",IF(OR(COUNTIF('Target &amp; Team Lists'!$J$5:$J$204,D422)&gt;0,AND(H422&lt;&gt;"",COUNTIF('Target &amp; Team Lists'!$L$5:$L$204,H422)&gt;0),ISNUMBER(SEARCH("alpha nodus",(E422&amp;" "&amp;F422))),ISNUMBER(SEARCH("alphanodus",(E422&amp;" "&amp;F422)))),"Yes","No"))</f>
        <v/>
      </c>
      <c r="P422" s="34" t="str">
        <f aca="false">IF(D422="","",IF(O422="Yes","No",IF(OR(AND(F422&lt;&gt;"",COUNTIF('Target &amp; Team Lists'!$A$5:$A$504,F422)&gt;0),COUNTIF('Target &amp; Team Lists'!$E$5:$E$504,D422)&gt;0),"Yes",IF(AND(SUMPRODUCT(('Target &amp; Team Lists'!$N$5:$N$60&lt;&gt;"")*ISNUMBER(SEARCH('Target &amp; Team Lists'!$N$5:$N$60,(E422&amp;" "&amp;F422))))&gt;0,SUMPRODUCT(('Target &amp; Team Lists'!$O$5:$O$60&lt;&gt;"")*ISNUMBER(SEARCH('Target &amp; Team Lists'!$O$5:$O$60,(E422&amp;" "&amp;F422))))=0),"Yes","No"))))</f>
        <v/>
      </c>
      <c r="Q422" s="32"/>
    </row>
    <row r="423" customFormat="false" ht="15" hidden="false" customHeight="false" outlineLevel="0" collapsed="false">
      <c r="A423" s="30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3" t="str">
        <f aca="false">IF(D423="","",IF(SUM(I423:L423)&gt;0,1,0))</f>
        <v/>
      </c>
      <c r="O423" s="34" t="str">
        <f aca="false">IF(D423="","",IF(OR(COUNTIF('Target &amp; Team Lists'!$J$5:$J$204,D423)&gt;0,AND(H423&lt;&gt;"",COUNTIF('Target &amp; Team Lists'!$L$5:$L$204,H423)&gt;0),ISNUMBER(SEARCH("alpha nodus",(E423&amp;" "&amp;F423))),ISNUMBER(SEARCH("alphanodus",(E423&amp;" "&amp;F423)))),"Yes","No"))</f>
        <v/>
      </c>
      <c r="P423" s="34" t="str">
        <f aca="false">IF(D423="","",IF(O423="Yes","No",IF(OR(AND(F423&lt;&gt;"",COUNTIF('Target &amp; Team Lists'!$A$5:$A$504,F423)&gt;0),COUNTIF('Target &amp; Team Lists'!$E$5:$E$504,D423)&gt;0),"Yes",IF(AND(SUMPRODUCT(('Target &amp; Team Lists'!$N$5:$N$60&lt;&gt;"")*ISNUMBER(SEARCH('Target &amp; Team Lists'!$N$5:$N$60,(E423&amp;" "&amp;F423))))&gt;0,SUMPRODUCT(('Target &amp; Team Lists'!$O$5:$O$60&lt;&gt;"")*ISNUMBER(SEARCH('Target &amp; Team Lists'!$O$5:$O$60,(E423&amp;" "&amp;F423))))=0),"Yes","No"))))</f>
        <v/>
      </c>
      <c r="Q423" s="32"/>
    </row>
    <row r="424" customFormat="false" ht="15" hidden="false" customHeight="false" outlineLevel="0" collapsed="false">
      <c r="A424" s="30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3" t="str">
        <f aca="false">IF(D424="","",IF(SUM(I424:L424)&gt;0,1,0))</f>
        <v/>
      </c>
      <c r="O424" s="34" t="str">
        <f aca="false">IF(D424="","",IF(OR(COUNTIF('Target &amp; Team Lists'!$J$5:$J$204,D424)&gt;0,AND(H424&lt;&gt;"",COUNTIF('Target &amp; Team Lists'!$L$5:$L$204,H424)&gt;0),ISNUMBER(SEARCH("alpha nodus",(E424&amp;" "&amp;F424))),ISNUMBER(SEARCH("alphanodus",(E424&amp;" "&amp;F424)))),"Yes","No"))</f>
        <v/>
      </c>
      <c r="P424" s="34" t="str">
        <f aca="false">IF(D424="","",IF(O424="Yes","No",IF(OR(AND(F424&lt;&gt;"",COUNTIF('Target &amp; Team Lists'!$A$5:$A$504,F424)&gt;0),COUNTIF('Target &amp; Team Lists'!$E$5:$E$504,D424)&gt;0),"Yes",IF(AND(SUMPRODUCT(('Target &amp; Team Lists'!$N$5:$N$60&lt;&gt;"")*ISNUMBER(SEARCH('Target &amp; Team Lists'!$N$5:$N$60,(E424&amp;" "&amp;F424))))&gt;0,SUMPRODUCT(('Target &amp; Team Lists'!$O$5:$O$60&lt;&gt;"")*ISNUMBER(SEARCH('Target &amp; Team Lists'!$O$5:$O$60,(E424&amp;" "&amp;F424))))=0),"Yes","No"))))</f>
        <v/>
      </c>
      <c r="Q424" s="32"/>
    </row>
    <row r="425" customFormat="false" ht="15" hidden="false" customHeight="false" outlineLevel="0" collapsed="false">
      <c r="A425" s="30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3" t="str">
        <f aca="false">IF(D425="","",IF(SUM(I425:L425)&gt;0,1,0))</f>
        <v/>
      </c>
      <c r="O425" s="34" t="str">
        <f aca="false">IF(D425="","",IF(OR(COUNTIF('Target &amp; Team Lists'!$J$5:$J$204,D425)&gt;0,AND(H425&lt;&gt;"",COUNTIF('Target &amp; Team Lists'!$L$5:$L$204,H425)&gt;0),ISNUMBER(SEARCH("alpha nodus",(E425&amp;" "&amp;F425))),ISNUMBER(SEARCH("alphanodus",(E425&amp;" "&amp;F425)))),"Yes","No"))</f>
        <v/>
      </c>
      <c r="P425" s="34" t="str">
        <f aca="false">IF(D425="","",IF(O425="Yes","No",IF(OR(AND(F425&lt;&gt;"",COUNTIF('Target &amp; Team Lists'!$A$5:$A$504,F425)&gt;0),COUNTIF('Target &amp; Team Lists'!$E$5:$E$504,D425)&gt;0),"Yes",IF(AND(SUMPRODUCT(('Target &amp; Team Lists'!$N$5:$N$60&lt;&gt;"")*ISNUMBER(SEARCH('Target &amp; Team Lists'!$N$5:$N$60,(E425&amp;" "&amp;F425))))&gt;0,SUMPRODUCT(('Target &amp; Team Lists'!$O$5:$O$60&lt;&gt;"")*ISNUMBER(SEARCH('Target &amp; Team Lists'!$O$5:$O$60,(E425&amp;" "&amp;F425))))=0),"Yes","No"))))</f>
        <v/>
      </c>
      <c r="Q425" s="32"/>
    </row>
    <row r="426" customFormat="false" ht="15" hidden="false" customHeight="false" outlineLevel="0" collapsed="false">
      <c r="A426" s="30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3" t="str">
        <f aca="false">IF(D426="","",IF(SUM(I426:L426)&gt;0,1,0))</f>
        <v/>
      </c>
      <c r="O426" s="34" t="str">
        <f aca="false">IF(D426="","",IF(OR(COUNTIF('Target &amp; Team Lists'!$J$5:$J$204,D426)&gt;0,AND(H426&lt;&gt;"",COUNTIF('Target &amp; Team Lists'!$L$5:$L$204,H426)&gt;0),ISNUMBER(SEARCH("alpha nodus",(E426&amp;" "&amp;F426))),ISNUMBER(SEARCH("alphanodus",(E426&amp;" "&amp;F426)))),"Yes","No"))</f>
        <v/>
      </c>
      <c r="P426" s="34" t="str">
        <f aca="false">IF(D426="","",IF(O426="Yes","No",IF(OR(AND(F426&lt;&gt;"",COUNTIF('Target &amp; Team Lists'!$A$5:$A$504,F426)&gt;0),COUNTIF('Target &amp; Team Lists'!$E$5:$E$504,D426)&gt;0),"Yes",IF(AND(SUMPRODUCT(('Target &amp; Team Lists'!$N$5:$N$60&lt;&gt;"")*ISNUMBER(SEARCH('Target &amp; Team Lists'!$N$5:$N$60,(E426&amp;" "&amp;F426))))&gt;0,SUMPRODUCT(('Target &amp; Team Lists'!$O$5:$O$60&lt;&gt;"")*ISNUMBER(SEARCH('Target &amp; Team Lists'!$O$5:$O$60,(E426&amp;" "&amp;F426))))=0),"Yes","No"))))</f>
        <v/>
      </c>
      <c r="Q426" s="32"/>
    </row>
    <row r="427" customFormat="false" ht="15" hidden="false" customHeight="false" outlineLevel="0" collapsed="false">
      <c r="A427" s="30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3" t="str">
        <f aca="false">IF(D427="","",IF(SUM(I427:L427)&gt;0,1,0))</f>
        <v/>
      </c>
      <c r="O427" s="34" t="str">
        <f aca="false">IF(D427="","",IF(OR(COUNTIF('Target &amp; Team Lists'!$J$5:$J$204,D427)&gt;0,AND(H427&lt;&gt;"",COUNTIF('Target &amp; Team Lists'!$L$5:$L$204,H427)&gt;0),ISNUMBER(SEARCH("alpha nodus",(E427&amp;" "&amp;F427))),ISNUMBER(SEARCH("alphanodus",(E427&amp;" "&amp;F427)))),"Yes","No"))</f>
        <v/>
      </c>
      <c r="P427" s="34" t="str">
        <f aca="false">IF(D427="","",IF(O427="Yes","No",IF(OR(AND(F427&lt;&gt;"",COUNTIF('Target &amp; Team Lists'!$A$5:$A$504,F427)&gt;0),COUNTIF('Target &amp; Team Lists'!$E$5:$E$504,D427)&gt;0),"Yes",IF(AND(SUMPRODUCT(('Target &amp; Team Lists'!$N$5:$N$60&lt;&gt;"")*ISNUMBER(SEARCH('Target &amp; Team Lists'!$N$5:$N$60,(E427&amp;" "&amp;F427))))&gt;0,SUMPRODUCT(('Target &amp; Team Lists'!$O$5:$O$60&lt;&gt;"")*ISNUMBER(SEARCH('Target &amp; Team Lists'!$O$5:$O$60,(E427&amp;" "&amp;F427))))=0),"Yes","No"))))</f>
        <v/>
      </c>
      <c r="Q427" s="32"/>
    </row>
    <row r="428" customFormat="false" ht="15" hidden="false" customHeight="false" outlineLevel="0" collapsed="false">
      <c r="A428" s="30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3" t="str">
        <f aca="false">IF(D428="","",IF(SUM(I428:L428)&gt;0,1,0))</f>
        <v/>
      </c>
      <c r="O428" s="34" t="str">
        <f aca="false">IF(D428="","",IF(OR(COUNTIF('Target &amp; Team Lists'!$J$5:$J$204,D428)&gt;0,AND(H428&lt;&gt;"",COUNTIF('Target &amp; Team Lists'!$L$5:$L$204,H428)&gt;0),ISNUMBER(SEARCH("alpha nodus",(E428&amp;" "&amp;F428))),ISNUMBER(SEARCH("alphanodus",(E428&amp;" "&amp;F428)))),"Yes","No"))</f>
        <v/>
      </c>
      <c r="P428" s="34" t="str">
        <f aca="false">IF(D428="","",IF(O428="Yes","No",IF(OR(AND(F428&lt;&gt;"",COUNTIF('Target &amp; Team Lists'!$A$5:$A$504,F428)&gt;0),COUNTIF('Target &amp; Team Lists'!$E$5:$E$504,D428)&gt;0),"Yes",IF(AND(SUMPRODUCT(('Target &amp; Team Lists'!$N$5:$N$60&lt;&gt;"")*ISNUMBER(SEARCH('Target &amp; Team Lists'!$N$5:$N$60,(E428&amp;" "&amp;F428))))&gt;0,SUMPRODUCT(('Target &amp; Team Lists'!$O$5:$O$60&lt;&gt;"")*ISNUMBER(SEARCH('Target &amp; Team Lists'!$O$5:$O$60,(E428&amp;" "&amp;F428))))=0),"Yes","No"))))</f>
        <v/>
      </c>
      <c r="Q428" s="32"/>
    </row>
    <row r="429" customFormat="false" ht="15" hidden="false" customHeight="false" outlineLevel="0" collapsed="false">
      <c r="A429" s="30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3" t="str">
        <f aca="false">IF(D429="","",IF(SUM(I429:L429)&gt;0,1,0))</f>
        <v/>
      </c>
      <c r="O429" s="34" t="str">
        <f aca="false">IF(D429="","",IF(OR(COUNTIF('Target &amp; Team Lists'!$J$5:$J$204,D429)&gt;0,AND(H429&lt;&gt;"",COUNTIF('Target &amp; Team Lists'!$L$5:$L$204,H429)&gt;0),ISNUMBER(SEARCH("alpha nodus",(E429&amp;" "&amp;F429))),ISNUMBER(SEARCH("alphanodus",(E429&amp;" "&amp;F429)))),"Yes","No"))</f>
        <v/>
      </c>
      <c r="P429" s="34" t="str">
        <f aca="false">IF(D429="","",IF(O429="Yes","No",IF(OR(AND(F429&lt;&gt;"",COUNTIF('Target &amp; Team Lists'!$A$5:$A$504,F429)&gt;0),COUNTIF('Target &amp; Team Lists'!$E$5:$E$504,D429)&gt;0),"Yes",IF(AND(SUMPRODUCT(('Target &amp; Team Lists'!$N$5:$N$60&lt;&gt;"")*ISNUMBER(SEARCH('Target &amp; Team Lists'!$N$5:$N$60,(E429&amp;" "&amp;F429))))&gt;0,SUMPRODUCT(('Target &amp; Team Lists'!$O$5:$O$60&lt;&gt;"")*ISNUMBER(SEARCH('Target &amp; Team Lists'!$O$5:$O$60,(E429&amp;" "&amp;F429))))=0),"Yes","No"))))</f>
        <v/>
      </c>
      <c r="Q429" s="32"/>
    </row>
    <row r="430" customFormat="false" ht="15" hidden="false" customHeight="false" outlineLevel="0" collapsed="false">
      <c r="A430" s="30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3" t="str">
        <f aca="false">IF(D430="","",IF(SUM(I430:L430)&gt;0,1,0))</f>
        <v/>
      </c>
      <c r="O430" s="34" t="str">
        <f aca="false">IF(D430="","",IF(OR(COUNTIF('Target &amp; Team Lists'!$J$5:$J$204,D430)&gt;0,AND(H430&lt;&gt;"",COUNTIF('Target &amp; Team Lists'!$L$5:$L$204,H430)&gt;0),ISNUMBER(SEARCH("alpha nodus",(E430&amp;" "&amp;F430))),ISNUMBER(SEARCH("alphanodus",(E430&amp;" "&amp;F430)))),"Yes","No"))</f>
        <v/>
      </c>
      <c r="P430" s="34" t="str">
        <f aca="false">IF(D430="","",IF(O430="Yes","No",IF(OR(AND(F430&lt;&gt;"",COUNTIF('Target &amp; Team Lists'!$A$5:$A$504,F430)&gt;0),COUNTIF('Target &amp; Team Lists'!$E$5:$E$504,D430)&gt;0),"Yes",IF(AND(SUMPRODUCT(('Target &amp; Team Lists'!$N$5:$N$60&lt;&gt;"")*ISNUMBER(SEARCH('Target &amp; Team Lists'!$N$5:$N$60,(E430&amp;" "&amp;F430))))&gt;0,SUMPRODUCT(('Target &amp; Team Lists'!$O$5:$O$60&lt;&gt;"")*ISNUMBER(SEARCH('Target &amp; Team Lists'!$O$5:$O$60,(E430&amp;" "&amp;F430))))=0),"Yes","No"))))</f>
        <v/>
      </c>
      <c r="Q430" s="32"/>
    </row>
    <row r="431" customFormat="false" ht="15" hidden="false" customHeight="false" outlineLevel="0" collapsed="false">
      <c r="A431" s="30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3" t="str">
        <f aca="false">IF(D431="","",IF(SUM(I431:L431)&gt;0,1,0))</f>
        <v/>
      </c>
      <c r="O431" s="34" t="str">
        <f aca="false">IF(D431="","",IF(OR(COUNTIF('Target &amp; Team Lists'!$J$5:$J$204,D431)&gt;0,AND(H431&lt;&gt;"",COUNTIF('Target &amp; Team Lists'!$L$5:$L$204,H431)&gt;0),ISNUMBER(SEARCH("alpha nodus",(E431&amp;" "&amp;F431))),ISNUMBER(SEARCH("alphanodus",(E431&amp;" "&amp;F431)))),"Yes","No"))</f>
        <v/>
      </c>
      <c r="P431" s="34" t="str">
        <f aca="false">IF(D431="","",IF(O431="Yes","No",IF(OR(AND(F431&lt;&gt;"",COUNTIF('Target &amp; Team Lists'!$A$5:$A$504,F431)&gt;0),COUNTIF('Target &amp; Team Lists'!$E$5:$E$504,D431)&gt;0),"Yes",IF(AND(SUMPRODUCT(('Target &amp; Team Lists'!$N$5:$N$60&lt;&gt;"")*ISNUMBER(SEARCH('Target &amp; Team Lists'!$N$5:$N$60,(E431&amp;" "&amp;F431))))&gt;0,SUMPRODUCT(('Target &amp; Team Lists'!$O$5:$O$60&lt;&gt;"")*ISNUMBER(SEARCH('Target &amp; Team Lists'!$O$5:$O$60,(E431&amp;" "&amp;F431))))=0),"Yes","No"))))</f>
        <v/>
      </c>
      <c r="Q431" s="32"/>
    </row>
    <row r="432" customFormat="false" ht="15" hidden="false" customHeight="false" outlineLevel="0" collapsed="false">
      <c r="A432" s="30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3" t="str">
        <f aca="false">IF(D432="","",IF(SUM(I432:L432)&gt;0,1,0))</f>
        <v/>
      </c>
      <c r="O432" s="34" t="str">
        <f aca="false">IF(D432="","",IF(OR(COUNTIF('Target &amp; Team Lists'!$J$5:$J$204,D432)&gt;0,AND(H432&lt;&gt;"",COUNTIF('Target &amp; Team Lists'!$L$5:$L$204,H432)&gt;0),ISNUMBER(SEARCH("alpha nodus",(E432&amp;" "&amp;F432))),ISNUMBER(SEARCH("alphanodus",(E432&amp;" "&amp;F432)))),"Yes","No"))</f>
        <v/>
      </c>
      <c r="P432" s="34" t="str">
        <f aca="false">IF(D432="","",IF(O432="Yes","No",IF(OR(AND(F432&lt;&gt;"",COUNTIF('Target &amp; Team Lists'!$A$5:$A$504,F432)&gt;0),COUNTIF('Target &amp; Team Lists'!$E$5:$E$504,D432)&gt;0),"Yes",IF(AND(SUMPRODUCT(('Target &amp; Team Lists'!$N$5:$N$60&lt;&gt;"")*ISNUMBER(SEARCH('Target &amp; Team Lists'!$N$5:$N$60,(E432&amp;" "&amp;F432))))&gt;0,SUMPRODUCT(('Target &amp; Team Lists'!$O$5:$O$60&lt;&gt;"")*ISNUMBER(SEARCH('Target &amp; Team Lists'!$O$5:$O$60,(E432&amp;" "&amp;F432))))=0),"Yes","No"))))</f>
        <v/>
      </c>
      <c r="Q432" s="32"/>
    </row>
    <row r="433" customFormat="false" ht="15" hidden="false" customHeight="false" outlineLevel="0" collapsed="false">
      <c r="A433" s="30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3" t="str">
        <f aca="false">IF(D433="","",IF(SUM(I433:L433)&gt;0,1,0))</f>
        <v/>
      </c>
      <c r="O433" s="34" t="str">
        <f aca="false">IF(D433="","",IF(OR(COUNTIF('Target &amp; Team Lists'!$J$5:$J$204,D433)&gt;0,AND(H433&lt;&gt;"",COUNTIF('Target &amp; Team Lists'!$L$5:$L$204,H433)&gt;0),ISNUMBER(SEARCH("alpha nodus",(E433&amp;" "&amp;F433))),ISNUMBER(SEARCH("alphanodus",(E433&amp;" "&amp;F433)))),"Yes","No"))</f>
        <v/>
      </c>
      <c r="P433" s="34" t="str">
        <f aca="false">IF(D433="","",IF(O433="Yes","No",IF(OR(AND(F433&lt;&gt;"",COUNTIF('Target &amp; Team Lists'!$A$5:$A$504,F433)&gt;0),COUNTIF('Target &amp; Team Lists'!$E$5:$E$504,D433)&gt;0),"Yes",IF(AND(SUMPRODUCT(('Target &amp; Team Lists'!$N$5:$N$60&lt;&gt;"")*ISNUMBER(SEARCH('Target &amp; Team Lists'!$N$5:$N$60,(E433&amp;" "&amp;F433))))&gt;0,SUMPRODUCT(('Target &amp; Team Lists'!$O$5:$O$60&lt;&gt;"")*ISNUMBER(SEARCH('Target &amp; Team Lists'!$O$5:$O$60,(E433&amp;" "&amp;F433))))=0),"Yes","No"))))</f>
        <v/>
      </c>
      <c r="Q433" s="32"/>
    </row>
    <row r="434" customFormat="false" ht="15" hidden="false" customHeight="false" outlineLevel="0" collapsed="false">
      <c r="A434" s="30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3" t="str">
        <f aca="false">IF(D434="","",IF(SUM(I434:L434)&gt;0,1,0))</f>
        <v/>
      </c>
      <c r="O434" s="34" t="str">
        <f aca="false">IF(D434="","",IF(OR(COUNTIF('Target &amp; Team Lists'!$J$5:$J$204,D434)&gt;0,AND(H434&lt;&gt;"",COUNTIF('Target &amp; Team Lists'!$L$5:$L$204,H434)&gt;0),ISNUMBER(SEARCH("alpha nodus",(E434&amp;" "&amp;F434))),ISNUMBER(SEARCH("alphanodus",(E434&amp;" "&amp;F434)))),"Yes","No"))</f>
        <v/>
      </c>
      <c r="P434" s="34" t="str">
        <f aca="false">IF(D434="","",IF(O434="Yes","No",IF(OR(AND(F434&lt;&gt;"",COUNTIF('Target &amp; Team Lists'!$A$5:$A$504,F434)&gt;0),COUNTIF('Target &amp; Team Lists'!$E$5:$E$504,D434)&gt;0),"Yes",IF(AND(SUMPRODUCT(('Target &amp; Team Lists'!$N$5:$N$60&lt;&gt;"")*ISNUMBER(SEARCH('Target &amp; Team Lists'!$N$5:$N$60,(E434&amp;" "&amp;F434))))&gt;0,SUMPRODUCT(('Target &amp; Team Lists'!$O$5:$O$60&lt;&gt;"")*ISNUMBER(SEARCH('Target &amp; Team Lists'!$O$5:$O$60,(E434&amp;" "&amp;F434))))=0),"Yes","No"))))</f>
        <v/>
      </c>
      <c r="Q434" s="32"/>
    </row>
    <row r="435" customFormat="false" ht="15" hidden="false" customHeight="false" outlineLevel="0" collapsed="false">
      <c r="A435" s="30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3" t="str">
        <f aca="false">IF(D435="","",IF(SUM(I435:L435)&gt;0,1,0))</f>
        <v/>
      </c>
      <c r="O435" s="34" t="str">
        <f aca="false">IF(D435="","",IF(OR(COUNTIF('Target &amp; Team Lists'!$J$5:$J$204,D435)&gt;0,AND(H435&lt;&gt;"",COUNTIF('Target &amp; Team Lists'!$L$5:$L$204,H435)&gt;0),ISNUMBER(SEARCH("alpha nodus",(E435&amp;" "&amp;F435))),ISNUMBER(SEARCH("alphanodus",(E435&amp;" "&amp;F435)))),"Yes","No"))</f>
        <v/>
      </c>
      <c r="P435" s="34" t="str">
        <f aca="false">IF(D435="","",IF(O435="Yes","No",IF(OR(AND(F435&lt;&gt;"",COUNTIF('Target &amp; Team Lists'!$A$5:$A$504,F435)&gt;0),COUNTIF('Target &amp; Team Lists'!$E$5:$E$504,D435)&gt;0),"Yes",IF(AND(SUMPRODUCT(('Target &amp; Team Lists'!$N$5:$N$60&lt;&gt;"")*ISNUMBER(SEARCH('Target &amp; Team Lists'!$N$5:$N$60,(E435&amp;" "&amp;F435))))&gt;0,SUMPRODUCT(('Target &amp; Team Lists'!$O$5:$O$60&lt;&gt;"")*ISNUMBER(SEARCH('Target &amp; Team Lists'!$O$5:$O$60,(E435&amp;" "&amp;F435))))=0),"Yes","No"))))</f>
        <v/>
      </c>
      <c r="Q435" s="32"/>
    </row>
    <row r="436" customFormat="false" ht="15" hidden="false" customHeight="false" outlineLevel="0" collapsed="false">
      <c r="A436" s="30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3" t="str">
        <f aca="false">IF(D436="","",IF(SUM(I436:L436)&gt;0,1,0))</f>
        <v/>
      </c>
      <c r="O436" s="34" t="str">
        <f aca="false">IF(D436="","",IF(OR(COUNTIF('Target &amp; Team Lists'!$J$5:$J$204,D436)&gt;0,AND(H436&lt;&gt;"",COUNTIF('Target &amp; Team Lists'!$L$5:$L$204,H436)&gt;0),ISNUMBER(SEARCH("alpha nodus",(E436&amp;" "&amp;F436))),ISNUMBER(SEARCH("alphanodus",(E436&amp;" "&amp;F436)))),"Yes","No"))</f>
        <v/>
      </c>
      <c r="P436" s="34" t="str">
        <f aca="false">IF(D436="","",IF(O436="Yes","No",IF(OR(AND(F436&lt;&gt;"",COUNTIF('Target &amp; Team Lists'!$A$5:$A$504,F436)&gt;0),COUNTIF('Target &amp; Team Lists'!$E$5:$E$504,D436)&gt;0),"Yes",IF(AND(SUMPRODUCT(('Target &amp; Team Lists'!$N$5:$N$60&lt;&gt;"")*ISNUMBER(SEARCH('Target &amp; Team Lists'!$N$5:$N$60,(E436&amp;" "&amp;F436))))&gt;0,SUMPRODUCT(('Target &amp; Team Lists'!$O$5:$O$60&lt;&gt;"")*ISNUMBER(SEARCH('Target &amp; Team Lists'!$O$5:$O$60,(E436&amp;" "&amp;F436))))=0),"Yes","No"))))</f>
        <v/>
      </c>
      <c r="Q436" s="32"/>
    </row>
    <row r="437" customFormat="false" ht="15" hidden="false" customHeight="false" outlineLevel="0" collapsed="false">
      <c r="A437" s="30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3" t="str">
        <f aca="false">IF(D437="","",IF(SUM(I437:L437)&gt;0,1,0))</f>
        <v/>
      </c>
      <c r="O437" s="34" t="str">
        <f aca="false">IF(D437="","",IF(OR(COUNTIF('Target &amp; Team Lists'!$J$5:$J$204,D437)&gt;0,AND(H437&lt;&gt;"",COUNTIF('Target &amp; Team Lists'!$L$5:$L$204,H437)&gt;0),ISNUMBER(SEARCH("alpha nodus",(E437&amp;" "&amp;F437))),ISNUMBER(SEARCH("alphanodus",(E437&amp;" "&amp;F437)))),"Yes","No"))</f>
        <v/>
      </c>
      <c r="P437" s="34" t="str">
        <f aca="false">IF(D437="","",IF(O437="Yes","No",IF(OR(AND(F437&lt;&gt;"",COUNTIF('Target &amp; Team Lists'!$A$5:$A$504,F437)&gt;0),COUNTIF('Target &amp; Team Lists'!$E$5:$E$504,D437)&gt;0),"Yes",IF(AND(SUMPRODUCT(('Target &amp; Team Lists'!$N$5:$N$60&lt;&gt;"")*ISNUMBER(SEARCH('Target &amp; Team Lists'!$N$5:$N$60,(E437&amp;" "&amp;F437))))&gt;0,SUMPRODUCT(('Target &amp; Team Lists'!$O$5:$O$60&lt;&gt;"")*ISNUMBER(SEARCH('Target &amp; Team Lists'!$O$5:$O$60,(E437&amp;" "&amp;F437))))=0),"Yes","No"))))</f>
        <v/>
      </c>
      <c r="Q437" s="32"/>
    </row>
    <row r="438" customFormat="false" ht="15" hidden="false" customHeight="false" outlineLevel="0" collapsed="false">
      <c r="A438" s="30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3" t="str">
        <f aca="false">IF(D438="","",IF(SUM(I438:L438)&gt;0,1,0))</f>
        <v/>
      </c>
      <c r="O438" s="34" t="str">
        <f aca="false">IF(D438="","",IF(OR(COUNTIF('Target &amp; Team Lists'!$J$5:$J$204,D438)&gt;0,AND(H438&lt;&gt;"",COUNTIF('Target &amp; Team Lists'!$L$5:$L$204,H438)&gt;0),ISNUMBER(SEARCH("alpha nodus",(E438&amp;" "&amp;F438))),ISNUMBER(SEARCH("alphanodus",(E438&amp;" "&amp;F438)))),"Yes","No"))</f>
        <v/>
      </c>
      <c r="P438" s="34" t="str">
        <f aca="false">IF(D438="","",IF(O438="Yes","No",IF(OR(AND(F438&lt;&gt;"",COUNTIF('Target &amp; Team Lists'!$A$5:$A$504,F438)&gt;0),COUNTIF('Target &amp; Team Lists'!$E$5:$E$504,D438)&gt;0),"Yes",IF(AND(SUMPRODUCT(('Target &amp; Team Lists'!$N$5:$N$60&lt;&gt;"")*ISNUMBER(SEARCH('Target &amp; Team Lists'!$N$5:$N$60,(E438&amp;" "&amp;F438))))&gt;0,SUMPRODUCT(('Target &amp; Team Lists'!$O$5:$O$60&lt;&gt;"")*ISNUMBER(SEARCH('Target &amp; Team Lists'!$O$5:$O$60,(E438&amp;" "&amp;F438))))=0),"Yes","No"))))</f>
        <v/>
      </c>
      <c r="Q438" s="32"/>
    </row>
    <row r="439" customFormat="false" ht="15" hidden="false" customHeight="false" outlineLevel="0" collapsed="false">
      <c r="A439" s="30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3" t="str">
        <f aca="false">IF(D439="","",IF(SUM(I439:L439)&gt;0,1,0))</f>
        <v/>
      </c>
      <c r="O439" s="34" t="str">
        <f aca="false">IF(D439="","",IF(OR(COUNTIF('Target &amp; Team Lists'!$J$5:$J$204,D439)&gt;0,AND(H439&lt;&gt;"",COUNTIF('Target &amp; Team Lists'!$L$5:$L$204,H439)&gt;0),ISNUMBER(SEARCH("alpha nodus",(E439&amp;" "&amp;F439))),ISNUMBER(SEARCH("alphanodus",(E439&amp;" "&amp;F439)))),"Yes","No"))</f>
        <v/>
      </c>
      <c r="P439" s="34" t="str">
        <f aca="false">IF(D439="","",IF(O439="Yes","No",IF(OR(AND(F439&lt;&gt;"",COUNTIF('Target &amp; Team Lists'!$A$5:$A$504,F439)&gt;0),COUNTIF('Target &amp; Team Lists'!$E$5:$E$504,D439)&gt;0),"Yes",IF(AND(SUMPRODUCT(('Target &amp; Team Lists'!$N$5:$N$60&lt;&gt;"")*ISNUMBER(SEARCH('Target &amp; Team Lists'!$N$5:$N$60,(E439&amp;" "&amp;F439))))&gt;0,SUMPRODUCT(('Target &amp; Team Lists'!$O$5:$O$60&lt;&gt;"")*ISNUMBER(SEARCH('Target &amp; Team Lists'!$O$5:$O$60,(E439&amp;" "&amp;F439))))=0),"Yes","No"))))</f>
        <v/>
      </c>
      <c r="Q439" s="32"/>
    </row>
    <row r="440" customFormat="false" ht="15" hidden="false" customHeight="false" outlineLevel="0" collapsed="false">
      <c r="A440" s="30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3" t="str">
        <f aca="false">IF(D440="","",IF(SUM(I440:L440)&gt;0,1,0))</f>
        <v/>
      </c>
      <c r="O440" s="34" t="str">
        <f aca="false">IF(D440="","",IF(OR(COUNTIF('Target &amp; Team Lists'!$J$5:$J$204,D440)&gt;0,AND(H440&lt;&gt;"",COUNTIF('Target &amp; Team Lists'!$L$5:$L$204,H440)&gt;0),ISNUMBER(SEARCH("alpha nodus",(E440&amp;" "&amp;F440))),ISNUMBER(SEARCH("alphanodus",(E440&amp;" "&amp;F440)))),"Yes","No"))</f>
        <v/>
      </c>
      <c r="P440" s="34" t="str">
        <f aca="false">IF(D440="","",IF(O440="Yes","No",IF(OR(AND(F440&lt;&gt;"",COUNTIF('Target &amp; Team Lists'!$A$5:$A$504,F440)&gt;0),COUNTIF('Target &amp; Team Lists'!$E$5:$E$504,D440)&gt;0),"Yes",IF(AND(SUMPRODUCT(('Target &amp; Team Lists'!$N$5:$N$60&lt;&gt;"")*ISNUMBER(SEARCH('Target &amp; Team Lists'!$N$5:$N$60,(E440&amp;" "&amp;F440))))&gt;0,SUMPRODUCT(('Target &amp; Team Lists'!$O$5:$O$60&lt;&gt;"")*ISNUMBER(SEARCH('Target &amp; Team Lists'!$O$5:$O$60,(E440&amp;" "&amp;F440))))=0),"Yes","No"))))</f>
        <v/>
      </c>
      <c r="Q440" s="32"/>
    </row>
    <row r="441" customFormat="false" ht="15" hidden="false" customHeight="false" outlineLevel="0" collapsed="false">
      <c r="A441" s="30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3" t="str">
        <f aca="false">IF(D441="","",IF(SUM(I441:L441)&gt;0,1,0))</f>
        <v/>
      </c>
      <c r="O441" s="34" t="str">
        <f aca="false">IF(D441="","",IF(OR(COUNTIF('Target &amp; Team Lists'!$J$5:$J$204,D441)&gt;0,AND(H441&lt;&gt;"",COUNTIF('Target &amp; Team Lists'!$L$5:$L$204,H441)&gt;0),ISNUMBER(SEARCH("alpha nodus",(E441&amp;" "&amp;F441))),ISNUMBER(SEARCH("alphanodus",(E441&amp;" "&amp;F441)))),"Yes","No"))</f>
        <v/>
      </c>
      <c r="P441" s="34" t="str">
        <f aca="false">IF(D441="","",IF(O441="Yes","No",IF(OR(AND(F441&lt;&gt;"",COUNTIF('Target &amp; Team Lists'!$A$5:$A$504,F441)&gt;0),COUNTIF('Target &amp; Team Lists'!$E$5:$E$504,D441)&gt;0),"Yes",IF(AND(SUMPRODUCT(('Target &amp; Team Lists'!$N$5:$N$60&lt;&gt;"")*ISNUMBER(SEARCH('Target &amp; Team Lists'!$N$5:$N$60,(E441&amp;" "&amp;F441))))&gt;0,SUMPRODUCT(('Target &amp; Team Lists'!$O$5:$O$60&lt;&gt;"")*ISNUMBER(SEARCH('Target &amp; Team Lists'!$O$5:$O$60,(E441&amp;" "&amp;F441))))=0),"Yes","No"))))</f>
        <v/>
      </c>
      <c r="Q441" s="32"/>
    </row>
    <row r="442" customFormat="false" ht="15" hidden="false" customHeight="false" outlineLevel="0" collapsed="false">
      <c r="A442" s="30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3" t="str">
        <f aca="false">IF(D442="","",IF(SUM(I442:L442)&gt;0,1,0))</f>
        <v/>
      </c>
      <c r="O442" s="34" t="str">
        <f aca="false">IF(D442="","",IF(OR(COUNTIF('Target &amp; Team Lists'!$J$5:$J$204,D442)&gt;0,AND(H442&lt;&gt;"",COUNTIF('Target &amp; Team Lists'!$L$5:$L$204,H442)&gt;0),ISNUMBER(SEARCH("alpha nodus",(E442&amp;" "&amp;F442))),ISNUMBER(SEARCH("alphanodus",(E442&amp;" "&amp;F442)))),"Yes","No"))</f>
        <v/>
      </c>
      <c r="P442" s="34" t="str">
        <f aca="false">IF(D442="","",IF(O442="Yes","No",IF(OR(AND(F442&lt;&gt;"",COUNTIF('Target &amp; Team Lists'!$A$5:$A$504,F442)&gt;0),COUNTIF('Target &amp; Team Lists'!$E$5:$E$504,D442)&gt;0),"Yes",IF(AND(SUMPRODUCT(('Target &amp; Team Lists'!$N$5:$N$60&lt;&gt;"")*ISNUMBER(SEARCH('Target &amp; Team Lists'!$N$5:$N$60,(E442&amp;" "&amp;F442))))&gt;0,SUMPRODUCT(('Target &amp; Team Lists'!$O$5:$O$60&lt;&gt;"")*ISNUMBER(SEARCH('Target &amp; Team Lists'!$O$5:$O$60,(E442&amp;" "&amp;F442))))=0),"Yes","No"))))</f>
        <v/>
      </c>
      <c r="Q442" s="32"/>
    </row>
    <row r="443" customFormat="false" ht="15" hidden="false" customHeight="false" outlineLevel="0" collapsed="false">
      <c r="A443" s="30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3" t="str">
        <f aca="false">IF(D443="","",IF(SUM(I443:L443)&gt;0,1,0))</f>
        <v/>
      </c>
      <c r="O443" s="34" t="str">
        <f aca="false">IF(D443="","",IF(OR(COUNTIF('Target &amp; Team Lists'!$J$5:$J$204,D443)&gt;0,AND(H443&lt;&gt;"",COUNTIF('Target &amp; Team Lists'!$L$5:$L$204,H443)&gt;0),ISNUMBER(SEARCH("alpha nodus",(E443&amp;" "&amp;F443))),ISNUMBER(SEARCH("alphanodus",(E443&amp;" "&amp;F443)))),"Yes","No"))</f>
        <v/>
      </c>
      <c r="P443" s="34" t="str">
        <f aca="false">IF(D443="","",IF(O443="Yes","No",IF(OR(AND(F443&lt;&gt;"",COUNTIF('Target &amp; Team Lists'!$A$5:$A$504,F443)&gt;0),COUNTIF('Target &amp; Team Lists'!$E$5:$E$504,D443)&gt;0),"Yes",IF(AND(SUMPRODUCT(('Target &amp; Team Lists'!$N$5:$N$60&lt;&gt;"")*ISNUMBER(SEARCH('Target &amp; Team Lists'!$N$5:$N$60,(E443&amp;" "&amp;F443))))&gt;0,SUMPRODUCT(('Target &amp; Team Lists'!$O$5:$O$60&lt;&gt;"")*ISNUMBER(SEARCH('Target &amp; Team Lists'!$O$5:$O$60,(E443&amp;" "&amp;F443))))=0),"Yes","No"))))</f>
        <v/>
      </c>
      <c r="Q443" s="32"/>
    </row>
    <row r="444" customFormat="false" ht="15" hidden="false" customHeight="false" outlineLevel="0" collapsed="false">
      <c r="A444" s="30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3" t="str">
        <f aca="false">IF(D444="","",IF(SUM(I444:L444)&gt;0,1,0))</f>
        <v/>
      </c>
      <c r="O444" s="34" t="str">
        <f aca="false">IF(D444="","",IF(OR(COUNTIF('Target &amp; Team Lists'!$J$5:$J$204,D444)&gt;0,AND(H444&lt;&gt;"",COUNTIF('Target &amp; Team Lists'!$L$5:$L$204,H444)&gt;0),ISNUMBER(SEARCH("alpha nodus",(E444&amp;" "&amp;F444))),ISNUMBER(SEARCH("alphanodus",(E444&amp;" "&amp;F444)))),"Yes","No"))</f>
        <v/>
      </c>
      <c r="P444" s="34" t="str">
        <f aca="false">IF(D444="","",IF(O444="Yes","No",IF(OR(AND(F444&lt;&gt;"",COUNTIF('Target &amp; Team Lists'!$A$5:$A$504,F444)&gt;0),COUNTIF('Target &amp; Team Lists'!$E$5:$E$504,D444)&gt;0),"Yes",IF(AND(SUMPRODUCT(('Target &amp; Team Lists'!$N$5:$N$60&lt;&gt;"")*ISNUMBER(SEARCH('Target &amp; Team Lists'!$N$5:$N$60,(E444&amp;" "&amp;F444))))&gt;0,SUMPRODUCT(('Target &amp; Team Lists'!$O$5:$O$60&lt;&gt;"")*ISNUMBER(SEARCH('Target &amp; Team Lists'!$O$5:$O$60,(E444&amp;" "&amp;F444))))=0),"Yes","No"))))</f>
        <v/>
      </c>
      <c r="Q444" s="32"/>
    </row>
    <row r="445" customFormat="false" ht="15" hidden="false" customHeight="false" outlineLevel="0" collapsed="false">
      <c r="A445" s="30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3" t="str">
        <f aca="false">IF(D445="","",IF(SUM(I445:L445)&gt;0,1,0))</f>
        <v/>
      </c>
      <c r="O445" s="34" t="str">
        <f aca="false">IF(D445="","",IF(OR(COUNTIF('Target &amp; Team Lists'!$J$5:$J$204,D445)&gt;0,AND(H445&lt;&gt;"",COUNTIF('Target &amp; Team Lists'!$L$5:$L$204,H445)&gt;0),ISNUMBER(SEARCH("alpha nodus",(E445&amp;" "&amp;F445))),ISNUMBER(SEARCH("alphanodus",(E445&amp;" "&amp;F445)))),"Yes","No"))</f>
        <v/>
      </c>
      <c r="P445" s="34" t="str">
        <f aca="false">IF(D445="","",IF(O445="Yes","No",IF(OR(AND(F445&lt;&gt;"",COUNTIF('Target &amp; Team Lists'!$A$5:$A$504,F445)&gt;0),COUNTIF('Target &amp; Team Lists'!$E$5:$E$504,D445)&gt;0),"Yes",IF(AND(SUMPRODUCT(('Target &amp; Team Lists'!$N$5:$N$60&lt;&gt;"")*ISNUMBER(SEARCH('Target &amp; Team Lists'!$N$5:$N$60,(E445&amp;" "&amp;F445))))&gt;0,SUMPRODUCT(('Target &amp; Team Lists'!$O$5:$O$60&lt;&gt;"")*ISNUMBER(SEARCH('Target &amp; Team Lists'!$O$5:$O$60,(E445&amp;" "&amp;F445))))=0),"Yes","No"))))</f>
        <v/>
      </c>
      <c r="Q445" s="32"/>
    </row>
    <row r="446" customFormat="false" ht="15" hidden="false" customHeight="false" outlineLevel="0" collapsed="false">
      <c r="A446" s="30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3" t="str">
        <f aca="false">IF(D446="","",IF(SUM(I446:L446)&gt;0,1,0))</f>
        <v/>
      </c>
      <c r="O446" s="34" t="str">
        <f aca="false">IF(D446="","",IF(OR(COUNTIF('Target &amp; Team Lists'!$J$5:$J$204,D446)&gt;0,AND(H446&lt;&gt;"",COUNTIF('Target &amp; Team Lists'!$L$5:$L$204,H446)&gt;0),ISNUMBER(SEARCH("alpha nodus",(E446&amp;" "&amp;F446))),ISNUMBER(SEARCH("alphanodus",(E446&amp;" "&amp;F446)))),"Yes","No"))</f>
        <v/>
      </c>
      <c r="P446" s="34" t="str">
        <f aca="false">IF(D446="","",IF(O446="Yes","No",IF(OR(AND(F446&lt;&gt;"",COUNTIF('Target &amp; Team Lists'!$A$5:$A$504,F446)&gt;0),COUNTIF('Target &amp; Team Lists'!$E$5:$E$504,D446)&gt;0),"Yes",IF(AND(SUMPRODUCT(('Target &amp; Team Lists'!$N$5:$N$60&lt;&gt;"")*ISNUMBER(SEARCH('Target &amp; Team Lists'!$N$5:$N$60,(E446&amp;" "&amp;F446))))&gt;0,SUMPRODUCT(('Target &amp; Team Lists'!$O$5:$O$60&lt;&gt;"")*ISNUMBER(SEARCH('Target &amp; Team Lists'!$O$5:$O$60,(E446&amp;" "&amp;F446))))=0),"Yes","No"))))</f>
        <v/>
      </c>
      <c r="Q446" s="32"/>
    </row>
    <row r="447" customFormat="false" ht="15" hidden="false" customHeight="false" outlineLevel="0" collapsed="false">
      <c r="A447" s="30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3" t="str">
        <f aca="false">IF(D447="","",IF(SUM(I447:L447)&gt;0,1,0))</f>
        <v/>
      </c>
      <c r="O447" s="34" t="str">
        <f aca="false">IF(D447="","",IF(OR(COUNTIF('Target &amp; Team Lists'!$J$5:$J$204,D447)&gt;0,AND(H447&lt;&gt;"",COUNTIF('Target &amp; Team Lists'!$L$5:$L$204,H447)&gt;0),ISNUMBER(SEARCH("alpha nodus",(E447&amp;" "&amp;F447))),ISNUMBER(SEARCH("alphanodus",(E447&amp;" "&amp;F447)))),"Yes","No"))</f>
        <v/>
      </c>
      <c r="P447" s="34" t="str">
        <f aca="false">IF(D447="","",IF(O447="Yes","No",IF(OR(AND(F447&lt;&gt;"",COUNTIF('Target &amp; Team Lists'!$A$5:$A$504,F447)&gt;0),COUNTIF('Target &amp; Team Lists'!$E$5:$E$504,D447)&gt;0),"Yes",IF(AND(SUMPRODUCT(('Target &amp; Team Lists'!$N$5:$N$60&lt;&gt;"")*ISNUMBER(SEARCH('Target &amp; Team Lists'!$N$5:$N$60,(E447&amp;" "&amp;F447))))&gt;0,SUMPRODUCT(('Target &amp; Team Lists'!$O$5:$O$60&lt;&gt;"")*ISNUMBER(SEARCH('Target &amp; Team Lists'!$O$5:$O$60,(E447&amp;" "&amp;F447))))=0),"Yes","No"))))</f>
        <v/>
      </c>
      <c r="Q447" s="32"/>
    </row>
    <row r="448" customFormat="false" ht="15" hidden="false" customHeight="false" outlineLevel="0" collapsed="false">
      <c r="A448" s="30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3" t="str">
        <f aca="false">IF(D448="","",IF(SUM(I448:L448)&gt;0,1,0))</f>
        <v/>
      </c>
      <c r="O448" s="34" t="str">
        <f aca="false">IF(D448="","",IF(OR(COUNTIF('Target &amp; Team Lists'!$J$5:$J$204,D448)&gt;0,AND(H448&lt;&gt;"",COUNTIF('Target &amp; Team Lists'!$L$5:$L$204,H448)&gt;0),ISNUMBER(SEARCH("alpha nodus",(E448&amp;" "&amp;F448))),ISNUMBER(SEARCH("alphanodus",(E448&amp;" "&amp;F448)))),"Yes","No"))</f>
        <v/>
      </c>
      <c r="P448" s="34" t="str">
        <f aca="false">IF(D448="","",IF(O448="Yes","No",IF(OR(AND(F448&lt;&gt;"",COUNTIF('Target &amp; Team Lists'!$A$5:$A$504,F448)&gt;0),COUNTIF('Target &amp; Team Lists'!$E$5:$E$504,D448)&gt;0),"Yes",IF(AND(SUMPRODUCT(('Target &amp; Team Lists'!$N$5:$N$60&lt;&gt;"")*ISNUMBER(SEARCH('Target &amp; Team Lists'!$N$5:$N$60,(E448&amp;" "&amp;F448))))&gt;0,SUMPRODUCT(('Target &amp; Team Lists'!$O$5:$O$60&lt;&gt;"")*ISNUMBER(SEARCH('Target &amp; Team Lists'!$O$5:$O$60,(E448&amp;" "&amp;F448))))=0),"Yes","No"))))</f>
        <v/>
      </c>
      <c r="Q448" s="32"/>
    </row>
    <row r="449" customFormat="false" ht="15" hidden="false" customHeight="false" outlineLevel="0" collapsed="false">
      <c r="A449" s="30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3" t="str">
        <f aca="false">IF(D449="","",IF(SUM(I449:L449)&gt;0,1,0))</f>
        <v/>
      </c>
      <c r="O449" s="34" t="str">
        <f aca="false">IF(D449="","",IF(OR(COUNTIF('Target &amp; Team Lists'!$J$5:$J$204,D449)&gt;0,AND(H449&lt;&gt;"",COUNTIF('Target &amp; Team Lists'!$L$5:$L$204,H449)&gt;0),ISNUMBER(SEARCH("alpha nodus",(E449&amp;" "&amp;F449))),ISNUMBER(SEARCH("alphanodus",(E449&amp;" "&amp;F449)))),"Yes","No"))</f>
        <v/>
      </c>
      <c r="P449" s="34" t="str">
        <f aca="false">IF(D449="","",IF(O449="Yes","No",IF(OR(AND(F449&lt;&gt;"",COUNTIF('Target &amp; Team Lists'!$A$5:$A$504,F449)&gt;0),COUNTIF('Target &amp; Team Lists'!$E$5:$E$504,D449)&gt;0),"Yes",IF(AND(SUMPRODUCT(('Target &amp; Team Lists'!$N$5:$N$60&lt;&gt;"")*ISNUMBER(SEARCH('Target &amp; Team Lists'!$N$5:$N$60,(E449&amp;" "&amp;F449))))&gt;0,SUMPRODUCT(('Target &amp; Team Lists'!$O$5:$O$60&lt;&gt;"")*ISNUMBER(SEARCH('Target &amp; Team Lists'!$O$5:$O$60,(E449&amp;" "&amp;F449))))=0),"Yes","No"))))</f>
        <v/>
      </c>
      <c r="Q449" s="32"/>
    </row>
    <row r="450" customFormat="false" ht="15" hidden="false" customHeight="false" outlineLevel="0" collapsed="false">
      <c r="A450" s="30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3" t="str">
        <f aca="false">IF(D450="","",IF(SUM(I450:L450)&gt;0,1,0))</f>
        <v/>
      </c>
      <c r="O450" s="34" t="str">
        <f aca="false">IF(D450="","",IF(OR(COUNTIF('Target &amp; Team Lists'!$J$5:$J$204,D450)&gt;0,AND(H450&lt;&gt;"",COUNTIF('Target &amp; Team Lists'!$L$5:$L$204,H450)&gt;0),ISNUMBER(SEARCH("alpha nodus",(E450&amp;" "&amp;F450))),ISNUMBER(SEARCH("alphanodus",(E450&amp;" "&amp;F450)))),"Yes","No"))</f>
        <v/>
      </c>
      <c r="P450" s="34" t="str">
        <f aca="false">IF(D450="","",IF(O450="Yes","No",IF(OR(AND(F450&lt;&gt;"",COUNTIF('Target &amp; Team Lists'!$A$5:$A$504,F450)&gt;0),COUNTIF('Target &amp; Team Lists'!$E$5:$E$504,D450)&gt;0),"Yes",IF(AND(SUMPRODUCT(('Target &amp; Team Lists'!$N$5:$N$60&lt;&gt;"")*ISNUMBER(SEARCH('Target &amp; Team Lists'!$N$5:$N$60,(E450&amp;" "&amp;F450))))&gt;0,SUMPRODUCT(('Target &amp; Team Lists'!$O$5:$O$60&lt;&gt;"")*ISNUMBER(SEARCH('Target &amp; Team Lists'!$O$5:$O$60,(E450&amp;" "&amp;F450))))=0),"Yes","No"))))</f>
        <v/>
      </c>
      <c r="Q450" s="32"/>
    </row>
    <row r="451" customFormat="false" ht="15" hidden="false" customHeight="false" outlineLevel="0" collapsed="false">
      <c r="A451" s="30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3" t="str">
        <f aca="false">IF(D451="","",IF(SUM(I451:L451)&gt;0,1,0))</f>
        <v/>
      </c>
      <c r="O451" s="34" t="str">
        <f aca="false">IF(D451="","",IF(OR(COUNTIF('Target &amp; Team Lists'!$J$5:$J$204,D451)&gt;0,AND(H451&lt;&gt;"",COUNTIF('Target &amp; Team Lists'!$L$5:$L$204,H451)&gt;0),ISNUMBER(SEARCH("alpha nodus",(E451&amp;" "&amp;F451))),ISNUMBER(SEARCH("alphanodus",(E451&amp;" "&amp;F451)))),"Yes","No"))</f>
        <v/>
      </c>
      <c r="P451" s="34" t="str">
        <f aca="false">IF(D451="","",IF(O451="Yes","No",IF(OR(AND(F451&lt;&gt;"",COUNTIF('Target &amp; Team Lists'!$A$5:$A$504,F451)&gt;0),COUNTIF('Target &amp; Team Lists'!$E$5:$E$504,D451)&gt;0),"Yes",IF(AND(SUMPRODUCT(('Target &amp; Team Lists'!$N$5:$N$60&lt;&gt;"")*ISNUMBER(SEARCH('Target &amp; Team Lists'!$N$5:$N$60,(E451&amp;" "&amp;F451))))&gt;0,SUMPRODUCT(('Target &amp; Team Lists'!$O$5:$O$60&lt;&gt;"")*ISNUMBER(SEARCH('Target &amp; Team Lists'!$O$5:$O$60,(E451&amp;" "&amp;F451))))=0),"Yes","No"))))</f>
        <v/>
      </c>
      <c r="Q451" s="32"/>
    </row>
    <row r="452" customFormat="false" ht="15" hidden="false" customHeight="false" outlineLevel="0" collapsed="false">
      <c r="A452" s="30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3" t="str">
        <f aca="false">IF(D452="","",IF(SUM(I452:L452)&gt;0,1,0))</f>
        <v/>
      </c>
      <c r="O452" s="34" t="str">
        <f aca="false">IF(D452="","",IF(OR(COUNTIF('Target &amp; Team Lists'!$J$5:$J$204,D452)&gt;0,AND(H452&lt;&gt;"",COUNTIF('Target &amp; Team Lists'!$L$5:$L$204,H452)&gt;0),ISNUMBER(SEARCH("alpha nodus",(E452&amp;" "&amp;F452))),ISNUMBER(SEARCH("alphanodus",(E452&amp;" "&amp;F452)))),"Yes","No"))</f>
        <v/>
      </c>
      <c r="P452" s="34" t="str">
        <f aca="false">IF(D452="","",IF(O452="Yes","No",IF(OR(AND(F452&lt;&gt;"",COUNTIF('Target &amp; Team Lists'!$A$5:$A$504,F452)&gt;0),COUNTIF('Target &amp; Team Lists'!$E$5:$E$504,D452)&gt;0),"Yes",IF(AND(SUMPRODUCT(('Target &amp; Team Lists'!$N$5:$N$60&lt;&gt;"")*ISNUMBER(SEARCH('Target &amp; Team Lists'!$N$5:$N$60,(E452&amp;" "&amp;F452))))&gt;0,SUMPRODUCT(('Target &amp; Team Lists'!$O$5:$O$60&lt;&gt;"")*ISNUMBER(SEARCH('Target &amp; Team Lists'!$O$5:$O$60,(E452&amp;" "&amp;F452))))=0),"Yes","No"))))</f>
        <v/>
      </c>
      <c r="Q452" s="32"/>
    </row>
    <row r="453" customFormat="false" ht="15" hidden="false" customHeight="false" outlineLevel="0" collapsed="false">
      <c r="A453" s="30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3" t="str">
        <f aca="false">IF(D453="","",IF(SUM(I453:L453)&gt;0,1,0))</f>
        <v/>
      </c>
      <c r="O453" s="34" t="str">
        <f aca="false">IF(D453="","",IF(OR(COUNTIF('Target &amp; Team Lists'!$J$5:$J$204,D453)&gt;0,AND(H453&lt;&gt;"",COUNTIF('Target &amp; Team Lists'!$L$5:$L$204,H453)&gt;0),ISNUMBER(SEARCH("alpha nodus",(E453&amp;" "&amp;F453))),ISNUMBER(SEARCH("alphanodus",(E453&amp;" "&amp;F453)))),"Yes","No"))</f>
        <v/>
      </c>
      <c r="P453" s="34" t="str">
        <f aca="false">IF(D453="","",IF(O453="Yes","No",IF(OR(AND(F453&lt;&gt;"",COUNTIF('Target &amp; Team Lists'!$A$5:$A$504,F453)&gt;0),COUNTIF('Target &amp; Team Lists'!$E$5:$E$504,D453)&gt;0),"Yes",IF(AND(SUMPRODUCT(('Target &amp; Team Lists'!$N$5:$N$60&lt;&gt;"")*ISNUMBER(SEARCH('Target &amp; Team Lists'!$N$5:$N$60,(E453&amp;" "&amp;F453))))&gt;0,SUMPRODUCT(('Target &amp; Team Lists'!$O$5:$O$60&lt;&gt;"")*ISNUMBER(SEARCH('Target &amp; Team Lists'!$O$5:$O$60,(E453&amp;" "&amp;F453))))=0),"Yes","No"))))</f>
        <v/>
      </c>
      <c r="Q453" s="32"/>
    </row>
    <row r="454" customFormat="false" ht="15" hidden="false" customHeight="false" outlineLevel="0" collapsed="false">
      <c r="A454" s="30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3" t="str">
        <f aca="false">IF(D454="","",IF(SUM(I454:L454)&gt;0,1,0))</f>
        <v/>
      </c>
      <c r="O454" s="34" t="str">
        <f aca="false">IF(D454="","",IF(OR(COUNTIF('Target &amp; Team Lists'!$J$5:$J$204,D454)&gt;0,AND(H454&lt;&gt;"",COUNTIF('Target &amp; Team Lists'!$L$5:$L$204,H454)&gt;0),ISNUMBER(SEARCH("alpha nodus",(E454&amp;" "&amp;F454))),ISNUMBER(SEARCH("alphanodus",(E454&amp;" "&amp;F454)))),"Yes","No"))</f>
        <v/>
      </c>
      <c r="P454" s="34" t="str">
        <f aca="false">IF(D454="","",IF(O454="Yes","No",IF(OR(AND(F454&lt;&gt;"",COUNTIF('Target &amp; Team Lists'!$A$5:$A$504,F454)&gt;0),COUNTIF('Target &amp; Team Lists'!$E$5:$E$504,D454)&gt;0),"Yes",IF(AND(SUMPRODUCT(('Target &amp; Team Lists'!$N$5:$N$60&lt;&gt;"")*ISNUMBER(SEARCH('Target &amp; Team Lists'!$N$5:$N$60,(E454&amp;" "&amp;F454))))&gt;0,SUMPRODUCT(('Target &amp; Team Lists'!$O$5:$O$60&lt;&gt;"")*ISNUMBER(SEARCH('Target &amp; Team Lists'!$O$5:$O$60,(E454&amp;" "&amp;F454))))=0),"Yes","No"))))</f>
        <v/>
      </c>
      <c r="Q454" s="32"/>
    </row>
    <row r="455" customFormat="false" ht="15" hidden="false" customHeight="false" outlineLevel="0" collapsed="false">
      <c r="A455" s="30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3" t="str">
        <f aca="false">IF(D455="","",IF(SUM(I455:L455)&gt;0,1,0))</f>
        <v/>
      </c>
      <c r="O455" s="34" t="str">
        <f aca="false">IF(D455="","",IF(OR(COUNTIF('Target &amp; Team Lists'!$J$5:$J$204,D455)&gt;0,AND(H455&lt;&gt;"",COUNTIF('Target &amp; Team Lists'!$L$5:$L$204,H455)&gt;0),ISNUMBER(SEARCH("alpha nodus",(E455&amp;" "&amp;F455))),ISNUMBER(SEARCH("alphanodus",(E455&amp;" "&amp;F455)))),"Yes","No"))</f>
        <v/>
      </c>
      <c r="P455" s="34" t="str">
        <f aca="false">IF(D455="","",IF(O455="Yes","No",IF(OR(AND(F455&lt;&gt;"",COUNTIF('Target &amp; Team Lists'!$A$5:$A$504,F455)&gt;0),COUNTIF('Target &amp; Team Lists'!$E$5:$E$504,D455)&gt;0),"Yes",IF(AND(SUMPRODUCT(('Target &amp; Team Lists'!$N$5:$N$60&lt;&gt;"")*ISNUMBER(SEARCH('Target &amp; Team Lists'!$N$5:$N$60,(E455&amp;" "&amp;F455))))&gt;0,SUMPRODUCT(('Target &amp; Team Lists'!$O$5:$O$60&lt;&gt;"")*ISNUMBER(SEARCH('Target &amp; Team Lists'!$O$5:$O$60,(E455&amp;" "&amp;F455))))=0),"Yes","No"))))</f>
        <v/>
      </c>
      <c r="Q455" s="32"/>
    </row>
    <row r="456" customFormat="false" ht="15" hidden="false" customHeight="false" outlineLevel="0" collapsed="false">
      <c r="A456" s="30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3" t="str">
        <f aca="false">IF(D456="","",IF(SUM(I456:L456)&gt;0,1,0))</f>
        <v/>
      </c>
      <c r="O456" s="34" t="str">
        <f aca="false">IF(D456="","",IF(OR(COUNTIF('Target &amp; Team Lists'!$J$5:$J$204,D456)&gt;0,AND(H456&lt;&gt;"",COUNTIF('Target &amp; Team Lists'!$L$5:$L$204,H456)&gt;0),ISNUMBER(SEARCH("alpha nodus",(E456&amp;" "&amp;F456))),ISNUMBER(SEARCH("alphanodus",(E456&amp;" "&amp;F456)))),"Yes","No"))</f>
        <v/>
      </c>
      <c r="P456" s="34" t="str">
        <f aca="false">IF(D456="","",IF(O456="Yes","No",IF(OR(AND(F456&lt;&gt;"",COUNTIF('Target &amp; Team Lists'!$A$5:$A$504,F456)&gt;0),COUNTIF('Target &amp; Team Lists'!$E$5:$E$504,D456)&gt;0),"Yes",IF(AND(SUMPRODUCT(('Target &amp; Team Lists'!$N$5:$N$60&lt;&gt;"")*ISNUMBER(SEARCH('Target &amp; Team Lists'!$N$5:$N$60,(E456&amp;" "&amp;F456))))&gt;0,SUMPRODUCT(('Target &amp; Team Lists'!$O$5:$O$60&lt;&gt;"")*ISNUMBER(SEARCH('Target &amp; Team Lists'!$O$5:$O$60,(E456&amp;" "&amp;F456))))=0),"Yes","No"))))</f>
        <v/>
      </c>
      <c r="Q456" s="32"/>
    </row>
    <row r="457" customFormat="false" ht="15" hidden="false" customHeight="false" outlineLevel="0" collapsed="false">
      <c r="A457" s="30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3" t="str">
        <f aca="false">IF(D457="","",IF(SUM(I457:L457)&gt;0,1,0))</f>
        <v/>
      </c>
      <c r="O457" s="34" t="str">
        <f aca="false">IF(D457="","",IF(OR(COUNTIF('Target &amp; Team Lists'!$J$5:$J$204,D457)&gt;0,AND(H457&lt;&gt;"",COUNTIF('Target &amp; Team Lists'!$L$5:$L$204,H457)&gt;0),ISNUMBER(SEARCH("alpha nodus",(E457&amp;" "&amp;F457))),ISNUMBER(SEARCH("alphanodus",(E457&amp;" "&amp;F457)))),"Yes","No"))</f>
        <v/>
      </c>
      <c r="P457" s="34" t="str">
        <f aca="false">IF(D457="","",IF(O457="Yes","No",IF(OR(AND(F457&lt;&gt;"",COUNTIF('Target &amp; Team Lists'!$A$5:$A$504,F457)&gt;0),COUNTIF('Target &amp; Team Lists'!$E$5:$E$504,D457)&gt;0),"Yes",IF(AND(SUMPRODUCT(('Target &amp; Team Lists'!$N$5:$N$60&lt;&gt;"")*ISNUMBER(SEARCH('Target &amp; Team Lists'!$N$5:$N$60,(E457&amp;" "&amp;F457))))&gt;0,SUMPRODUCT(('Target &amp; Team Lists'!$O$5:$O$60&lt;&gt;"")*ISNUMBER(SEARCH('Target &amp; Team Lists'!$O$5:$O$60,(E457&amp;" "&amp;F457))))=0),"Yes","No"))))</f>
        <v/>
      </c>
      <c r="Q457" s="32"/>
    </row>
    <row r="458" customFormat="false" ht="15" hidden="false" customHeight="false" outlineLevel="0" collapsed="false">
      <c r="A458" s="30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3" t="str">
        <f aca="false">IF(D458="","",IF(SUM(I458:L458)&gt;0,1,0))</f>
        <v/>
      </c>
      <c r="O458" s="34" t="str">
        <f aca="false">IF(D458="","",IF(OR(COUNTIF('Target &amp; Team Lists'!$J$5:$J$204,D458)&gt;0,AND(H458&lt;&gt;"",COUNTIF('Target &amp; Team Lists'!$L$5:$L$204,H458)&gt;0),ISNUMBER(SEARCH("alpha nodus",(E458&amp;" "&amp;F458))),ISNUMBER(SEARCH("alphanodus",(E458&amp;" "&amp;F458)))),"Yes","No"))</f>
        <v/>
      </c>
      <c r="P458" s="34" t="str">
        <f aca="false">IF(D458="","",IF(O458="Yes","No",IF(OR(AND(F458&lt;&gt;"",COUNTIF('Target &amp; Team Lists'!$A$5:$A$504,F458)&gt;0),COUNTIF('Target &amp; Team Lists'!$E$5:$E$504,D458)&gt;0),"Yes",IF(AND(SUMPRODUCT(('Target &amp; Team Lists'!$N$5:$N$60&lt;&gt;"")*ISNUMBER(SEARCH('Target &amp; Team Lists'!$N$5:$N$60,(E458&amp;" "&amp;F458))))&gt;0,SUMPRODUCT(('Target &amp; Team Lists'!$O$5:$O$60&lt;&gt;"")*ISNUMBER(SEARCH('Target &amp; Team Lists'!$O$5:$O$60,(E458&amp;" "&amp;F458))))=0),"Yes","No"))))</f>
        <v/>
      </c>
      <c r="Q458" s="32"/>
    </row>
    <row r="459" customFormat="false" ht="15" hidden="false" customHeight="false" outlineLevel="0" collapsed="false">
      <c r="A459" s="30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3" t="str">
        <f aca="false">IF(D459="","",IF(SUM(I459:L459)&gt;0,1,0))</f>
        <v/>
      </c>
      <c r="O459" s="34" t="str">
        <f aca="false">IF(D459="","",IF(OR(COUNTIF('Target &amp; Team Lists'!$J$5:$J$204,D459)&gt;0,AND(H459&lt;&gt;"",COUNTIF('Target &amp; Team Lists'!$L$5:$L$204,H459)&gt;0),ISNUMBER(SEARCH("alpha nodus",(E459&amp;" "&amp;F459))),ISNUMBER(SEARCH("alphanodus",(E459&amp;" "&amp;F459)))),"Yes","No"))</f>
        <v/>
      </c>
      <c r="P459" s="34" t="str">
        <f aca="false">IF(D459="","",IF(O459="Yes","No",IF(OR(AND(F459&lt;&gt;"",COUNTIF('Target &amp; Team Lists'!$A$5:$A$504,F459)&gt;0),COUNTIF('Target &amp; Team Lists'!$E$5:$E$504,D459)&gt;0),"Yes",IF(AND(SUMPRODUCT(('Target &amp; Team Lists'!$N$5:$N$60&lt;&gt;"")*ISNUMBER(SEARCH('Target &amp; Team Lists'!$N$5:$N$60,(E459&amp;" "&amp;F459))))&gt;0,SUMPRODUCT(('Target &amp; Team Lists'!$O$5:$O$60&lt;&gt;"")*ISNUMBER(SEARCH('Target &amp; Team Lists'!$O$5:$O$60,(E459&amp;" "&amp;F459))))=0),"Yes","No"))))</f>
        <v/>
      </c>
      <c r="Q459" s="32"/>
    </row>
    <row r="460" customFormat="false" ht="15" hidden="false" customHeight="false" outlineLevel="0" collapsed="false">
      <c r="A460" s="30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3" t="str">
        <f aca="false">IF(D460="","",IF(SUM(I460:L460)&gt;0,1,0))</f>
        <v/>
      </c>
      <c r="O460" s="34" t="str">
        <f aca="false">IF(D460="","",IF(OR(COUNTIF('Target &amp; Team Lists'!$J$5:$J$204,D460)&gt;0,AND(H460&lt;&gt;"",COUNTIF('Target &amp; Team Lists'!$L$5:$L$204,H460)&gt;0),ISNUMBER(SEARCH("alpha nodus",(E460&amp;" "&amp;F460))),ISNUMBER(SEARCH("alphanodus",(E460&amp;" "&amp;F460)))),"Yes","No"))</f>
        <v/>
      </c>
      <c r="P460" s="34" t="str">
        <f aca="false">IF(D460="","",IF(O460="Yes","No",IF(OR(AND(F460&lt;&gt;"",COUNTIF('Target &amp; Team Lists'!$A$5:$A$504,F460)&gt;0),COUNTIF('Target &amp; Team Lists'!$E$5:$E$504,D460)&gt;0),"Yes",IF(AND(SUMPRODUCT(('Target &amp; Team Lists'!$N$5:$N$60&lt;&gt;"")*ISNUMBER(SEARCH('Target &amp; Team Lists'!$N$5:$N$60,(E460&amp;" "&amp;F460))))&gt;0,SUMPRODUCT(('Target &amp; Team Lists'!$O$5:$O$60&lt;&gt;"")*ISNUMBER(SEARCH('Target &amp; Team Lists'!$O$5:$O$60,(E460&amp;" "&amp;F460))))=0),"Yes","No"))))</f>
        <v/>
      </c>
      <c r="Q460" s="32"/>
    </row>
    <row r="461" customFormat="false" ht="15" hidden="false" customHeight="false" outlineLevel="0" collapsed="false">
      <c r="A461" s="30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3" t="str">
        <f aca="false">IF(D461="","",IF(SUM(I461:L461)&gt;0,1,0))</f>
        <v/>
      </c>
      <c r="O461" s="34" t="str">
        <f aca="false">IF(D461="","",IF(OR(COUNTIF('Target &amp; Team Lists'!$J$5:$J$204,D461)&gt;0,AND(H461&lt;&gt;"",COUNTIF('Target &amp; Team Lists'!$L$5:$L$204,H461)&gt;0),ISNUMBER(SEARCH("alpha nodus",(E461&amp;" "&amp;F461))),ISNUMBER(SEARCH("alphanodus",(E461&amp;" "&amp;F461)))),"Yes","No"))</f>
        <v/>
      </c>
      <c r="P461" s="34" t="str">
        <f aca="false">IF(D461="","",IF(O461="Yes","No",IF(OR(AND(F461&lt;&gt;"",COUNTIF('Target &amp; Team Lists'!$A$5:$A$504,F461)&gt;0),COUNTIF('Target &amp; Team Lists'!$E$5:$E$504,D461)&gt;0),"Yes",IF(AND(SUMPRODUCT(('Target &amp; Team Lists'!$N$5:$N$60&lt;&gt;"")*ISNUMBER(SEARCH('Target &amp; Team Lists'!$N$5:$N$60,(E461&amp;" "&amp;F461))))&gt;0,SUMPRODUCT(('Target &amp; Team Lists'!$O$5:$O$60&lt;&gt;"")*ISNUMBER(SEARCH('Target &amp; Team Lists'!$O$5:$O$60,(E461&amp;" "&amp;F461))))=0),"Yes","No"))))</f>
        <v/>
      </c>
      <c r="Q461" s="32"/>
    </row>
    <row r="462" customFormat="false" ht="15" hidden="false" customHeight="false" outlineLevel="0" collapsed="false">
      <c r="A462" s="30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3" t="str">
        <f aca="false">IF(D462="","",IF(SUM(I462:L462)&gt;0,1,0))</f>
        <v/>
      </c>
      <c r="O462" s="34" t="str">
        <f aca="false">IF(D462="","",IF(OR(COUNTIF('Target &amp; Team Lists'!$J$5:$J$204,D462)&gt;0,AND(H462&lt;&gt;"",COUNTIF('Target &amp; Team Lists'!$L$5:$L$204,H462)&gt;0),ISNUMBER(SEARCH("alpha nodus",(E462&amp;" "&amp;F462))),ISNUMBER(SEARCH("alphanodus",(E462&amp;" "&amp;F462)))),"Yes","No"))</f>
        <v/>
      </c>
      <c r="P462" s="34" t="str">
        <f aca="false">IF(D462="","",IF(O462="Yes","No",IF(OR(AND(F462&lt;&gt;"",COUNTIF('Target &amp; Team Lists'!$A$5:$A$504,F462)&gt;0),COUNTIF('Target &amp; Team Lists'!$E$5:$E$504,D462)&gt;0),"Yes",IF(AND(SUMPRODUCT(('Target &amp; Team Lists'!$N$5:$N$60&lt;&gt;"")*ISNUMBER(SEARCH('Target &amp; Team Lists'!$N$5:$N$60,(E462&amp;" "&amp;F462))))&gt;0,SUMPRODUCT(('Target &amp; Team Lists'!$O$5:$O$60&lt;&gt;"")*ISNUMBER(SEARCH('Target &amp; Team Lists'!$O$5:$O$60,(E462&amp;" "&amp;F462))))=0),"Yes","No"))))</f>
        <v/>
      </c>
      <c r="Q462" s="32"/>
    </row>
    <row r="463" customFormat="false" ht="15" hidden="false" customHeight="false" outlineLevel="0" collapsed="false">
      <c r="A463" s="30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3" t="str">
        <f aca="false">IF(D463="","",IF(SUM(I463:L463)&gt;0,1,0))</f>
        <v/>
      </c>
      <c r="O463" s="34" t="str">
        <f aca="false">IF(D463="","",IF(OR(COUNTIF('Target &amp; Team Lists'!$J$5:$J$204,D463)&gt;0,AND(H463&lt;&gt;"",COUNTIF('Target &amp; Team Lists'!$L$5:$L$204,H463)&gt;0),ISNUMBER(SEARCH("alpha nodus",(E463&amp;" "&amp;F463))),ISNUMBER(SEARCH("alphanodus",(E463&amp;" "&amp;F463)))),"Yes","No"))</f>
        <v/>
      </c>
      <c r="P463" s="34" t="str">
        <f aca="false">IF(D463="","",IF(O463="Yes","No",IF(OR(AND(F463&lt;&gt;"",COUNTIF('Target &amp; Team Lists'!$A$5:$A$504,F463)&gt;0),COUNTIF('Target &amp; Team Lists'!$E$5:$E$504,D463)&gt;0),"Yes",IF(AND(SUMPRODUCT(('Target &amp; Team Lists'!$N$5:$N$60&lt;&gt;"")*ISNUMBER(SEARCH('Target &amp; Team Lists'!$N$5:$N$60,(E463&amp;" "&amp;F463))))&gt;0,SUMPRODUCT(('Target &amp; Team Lists'!$O$5:$O$60&lt;&gt;"")*ISNUMBER(SEARCH('Target &amp; Team Lists'!$O$5:$O$60,(E463&amp;" "&amp;F463))))=0),"Yes","No"))))</f>
        <v/>
      </c>
      <c r="Q463" s="32"/>
    </row>
    <row r="464" customFormat="false" ht="15" hidden="false" customHeight="false" outlineLevel="0" collapsed="false">
      <c r="A464" s="30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3" t="str">
        <f aca="false">IF(D464="","",IF(SUM(I464:L464)&gt;0,1,0))</f>
        <v/>
      </c>
      <c r="O464" s="34" t="str">
        <f aca="false">IF(D464="","",IF(OR(COUNTIF('Target &amp; Team Lists'!$J$5:$J$204,D464)&gt;0,AND(H464&lt;&gt;"",COUNTIF('Target &amp; Team Lists'!$L$5:$L$204,H464)&gt;0),ISNUMBER(SEARCH("alpha nodus",(E464&amp;" "&amp;F464))),ISNUMBER(SEARCH("alphanodus",(E464&amp;" "&amp;F464)))),"Yes","No"))</f>
        <v/>
      </c>
      <c r="P464" s="34" t="str">
        <f aca="false">IF(D464="","",IF(O464="Yes","No",IF(OR(AND(F464&lt;&gt;"",COUNTIF('Target &amp; Team Lists'!$A$5:$A$504,F464)&gt;0),COUNTIF('Target &amp; Team Lists'!$E$5:$E$504,D464)&gt;0),"Yes",IF(AND(SUMPRODUCT(('Target &amp; Team Lists'!$N$5:$N$60&lt;&gt;"")*ISNUMBER(SEARCH('Target &amp; Team Lists'!$N$5:$N$60,(E464&amp;" "&amp;F464))))&gt;0,SUMPRODUCT(('Target &amp; Team Lists'!$O$5:$O$60&lt;&gt;"")*ISNUMBER(SEARCH('Target &amp; Team Lists'!$O$5:$O$60,(E464&amp;" "&amp;F464))))=0),"Yes","No"))))</f>
        <v/>
      </c>
      <c r="Q464" s="32"/>
    </row>
    <row r="465" customFormat="false" ht="15" hidden="false" customHeight="false" outlineLevel="0" collapsed="false">
      <c r="A465" s="30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3" t="str">
        <f aca="false">IF(D465="","",IF(SUM(I465:L465)&gt;0,1,0))</f>
        <v/>
      </c>
      <c r="O465" s="34" t="str">
        <f aca="false">IF(D465="","",IF(OR(COUNTIF('Target &amp; Team Lists'!$J$5:$J$204,D465)&gt;0,AND(H465&lt;&gt;"",COUNTIF('Target &amp; Team Lists'!$L$5:$L$204,H465)&gt;0),ISNUMBER(SEARCH("alpha nodus",(E465&amp;" "&amp;F465))),ISNUMBER(SEARCH("alphanodus",(E465&amp;" "&amp;F465)))),"Yes","No"))</f>
        <v/>
      </c>
      <c r="P465" s="34" t="str">
        <f aca="false">IF(D465="","",IF(O465="Yes","No",IF(OR(AND(F465&lt;&gt;"",COUNTIF('Target &amp; Team Lists'!$A$5:$A$504,F465)&gt;0),COUNTIF('Target &amp; Team Lists'!$E$5:$E$504,D465)&gt;0),"Yes",IF(AND(SUMPRODUCT(('Target &amp; Team Lists'!$N$5:$N$60&lt;&gt;"")*ISNUMBER(SEARCH('Target &amp; Team Lists'!$N$5:$N$60,(E465&amp;" "&amp;F465))))&gt;0,SUMPRODUCT(('Target &amp; Team Lists'!$O$5:$O$60&lt;&gt;"")*ISNUMBER(SEARCH('Target &amp; Team Lists'!$O$5:$O$60,(E465&amp;" "&amp;F465))))=0),"Yes","No"))))</f>
        <v/>
      </c>
      <c r="Q465" s="32"/>
    </row>
    <row r="466" customFormat="false" ht="15" hidden="false" customHeight="false" outlineLevel="0" collapsed="false">
      <c r="A466" s="30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3" t="str">
        <f aca="false">IF(D466="","",IF(SUM(I466:L466)&gt;0,1,0))</f>
        <v/>
      </c>
      <c r="O466" s="34" t="str">
        <f aca="false">IF(D466="","",IF(OR(COUNTIF('Target &amp; Team Lists'!$J$5:$J$204,D466)&gt;0,AND(H466&lt;&gt;"",COUNTIF('Target &amp; Team Lists'!$L$5:$L$204,H466)&gt;0),ISNUMBER(SEARCH("alpha nodus",(E466&amp;" "&amp;F466))),ISNUMBER(SEARCH("alphanodus",(E466&amp;" "&amp;F466)))),"Yes","No"))</f>
        <v/>
      </c>
      <c r="P466" s="34" t="str">
        <f aca="false">IF(D466="","",IF(O466="Yes","No",IF(OR(AND(F466&lt;&gt;"",COUNTIF('Target &amp; Team Lists'!$A$5:$A$504,F466)&gt;0),COUNTIF('Target &amp; Team Lists'!$E$5:$E$504,D466)&gt;0),"Yes",IF(AND(SUMPRODUCT(('Target &amp; Team Lists'!$N$5:$N$60&lt;&gt;"")*ISNUMBER(SEARCH('Target &amp; Team Lists'!$N$5:$N$60,(E466&amp;" "&amp;F466))))&gt;0,SUMPRODUCT(('Target &amp; Team Lists'!$O$5:$O$60&lt;&gt;"")*ISNUMBER(SEARCH('Target &amp; Team Lists'!$O$5:$O$60,(E466&amp;" "&amp;F466))))=0),"Yes","No"))))</f>
        <v/>
      </c>
      <c r="Q466" s="32"/>
    </row>
    <row r="467" customFormat="false" ht="15" hidden="false" customHeight="false" outlineLevel="0" collapsed="false">
      <c r="A467" s="30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3" t="str">
        <f aca="false">IF(D467="","",IF(SUM(I467:L467)&gt;0,1,0))</f>
        <v/>
      </c>
      <c r="O467" s="34" t="str">
        <f aca="false">IF(D467="","",IF(OR(COUNTIF('Target &amp; Team Lists'!$J$5:$J$204,D467)&gt;0,AND(H467&lt;&gt;"",COUNTIF('Target &amp; Team Lists'!$L$5:$L$204,H467)&gt;0),ISNUMBER(SEARCH("alpha nodus",(E467&amp;" "&amp;F467))),ISNUMBER(SEARCH("alphanodus",(E467&amp;" "&amp;F467)))),"Yes","No"))</f>
        <v/>
      </c>
      <c r="P467" s="34" t="str">
        <f aca="false">IF(D467="","",IF(O467="Yes","No",IF(OR(AND(F467&lt;&gt;"",COUNTIF('Target &amp; Team Lists'!$A$5:$A$504,F467)&gt;0),COUNTIF('Target &amp; Team Lists'!$E$5:$E$504,D467)&gt;0),"Yes",IF(AND(SUMPRODUCT(('Target &amp; Team Lists'!$N$5:$N$60&lt;&gt;"")*ISNUMBER(SEARCH('Target &amp; Team Lists'!$N$5:$N$60,(E467&amp;" "&amp;F467))))&gt;0,SUMPRODUCT(('Target &amp; Team Lists'!$O$5:$O$60&lt;&gt;"")*ISNUMBER(SEARCH('Target &amp; Team Lists'!$O$5:$O$60,(E467&amp;" "&amp;F467))))=0),"Yes","No"))))</f>
        <v/>
      </c>
      <c r="Q467" s="32"/>
    </row>
    <row r="468" customFormat="false" ht="15" hidden="false" customHeight="false" outlineLevel="0" collapsed="false">
      <c r="A468" s="30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3" t="str">
        <f aca="false">IF(D468="","",IF(SUM(I468:L468)&gt;0,1,0))</f>
        <v/>
      </c>
      <c r="O468" s="34" t="str">
        <f aca="false">IF(D468="","",IF(OR(COUNTIF('Target &amp; Team Lists'!$J$5:$J$204,D468)&gt;0,AND(H468&lt;&gt;"",COUNTIF('Target &amp; Team Lists'!$L$5:$L$204,H468)&gt;0),ISNUMBER(SEARCH("alpha nodus",(E468&amp;" "&amp;F468))),ISNUMBER(SEARCH("alphanodus",(E468&amp;" "&amp;F468)))),"Yes","No"))</f>
        <v/>
      </c>
      <c r="P468" s="34" t="str">
        <f aca="false">IF(D468="","",IF(O468="Yes","No",IF(OR(AND(F468&lt;&gt;"",COUNTIF('Target &amp; Team Lists'!$A$5:$A$504,F468)&gt;0),COUNTIF('Target &amp; Team Lists'!$E$5:$E$504,D468)&gt;0),"Yes",IF(AND(SUMPRODUCT(('Target &amp; Team Lists'!$N$5:$N$60&lt;&gt;"")*ISNUMBER(SEARCH('Target &amp; Team Lists'!$N$5:$N$60,(E468&amp;" "&amp;F468))))&gt;0,SUMPRODUCT(('Target &amp; Team Lists'!$O$5:$O$60&lt;&gt;"")*ISNUMBER(SEARCH('Target &amp; Team Lists'!$O$5:$O$60,(E468&amp;" "&amp;F468))))=0),"Yes","No"))))</f>
        <v/>
      </c>
      <c r="Q468" s="32"/>
    </row>
    <row r="469" customFormat="false" ht="15" hidden="false" customHeight="false" outlineLevel="0" collapsed="false">
      <c r="A469" s="30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3" t="str">
        <f aca="false">IF(D469="","",IF(SUM(I469:L469)&gt;0,1,0))</f>
        <v/>
      </c>
      <c r="O469" s="34" t="str">
        <f aca="false">IF(D469="","",IF(OR(COUNTIF('Target &amp; Team Lists'!$J$5:$J$204,D469)&gt;0,AND(H469&lt;&gt;"",COUNTIF('Target &amp; Team Lists'!$L$5:$L$204,H469)&gt;0),ISNUMBER(SEARCH("alpha nodus",(E469&amp;" "&amp;F469))),ISNUMBER(SEARCH("alphanodus",(E469&amp;" "&amp;F469)))),"Yes","No"))</f>
        <v/>
      </c>
      <c r="P469" s="34" t="str">
        <f aca="false">IF(D469="","",IF(O469="Yes","No",IF(OR(AND(F469&lt;&gt;"",COUNTIF('Target &amp; Team Lists'!$A$5:$A$504,F469)&gt;0),COUNTIF('Target &amp; Team Lists'!$E$5:$E$504,D469)&gt;0),"Yes",IF(AND(SUMPRODUCT(('Target &amp; Team Lists'!$N$5:$N$60&lt;&gt;"")*ISNUMBER(SEARCH('Target &amp; Team Lists'!$N$5:$N$60,(E469&amp;" "&amp;F469))))&gt;0,SUMPRODUCT(('Target &amp; Team Lists'!$O$5:$O$60&lt;&gt;"")*ISNUMBER(SEARCH('Target &amp; Team Lists'!$O$5:$O$60,(E469&amp;" "&amp;F469))))=0),"Yes","No"))))</f>
        <v/>
      </c>
      <c r="Q469" s="32"/>
    </row>
    <row r="470" customFormat="false" ht="15" hidden="false" customHeight="false" outlineLevel="0" collapsed="false">
      <c r="A470" s="30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3" t="str">
        <f aca="false">IF(D470="","",IF(SUM(I470:L470)&gt;0,1,0))</f>
        <v/>
      </c>
      <c r="O470" s="34" t="str">
        <f aca="false">IF(D470="","",IF(OR(COUNTIF('Target &amp; Team Lists'!$J$5:$J$204,D470)&gt;0,AND(H470&lt;&gt;"",COUNTIF('Target &amp; Team Lists'!$L$5:$L$204,H470)&gt;0),ISNUMBER(SEARCH("alpha nodus",(E470&amp;" "&amp;F470))),ISNUMBER(SEARCH("alphanodus",(E470&amp;" "&amp;F470)))),"Yes","No"))</f>
        <v/>
      </c>
      <c r="P470" s="34" t="str">
        <f aca="false">IF(D470="","",IF(O470="Yes","No",IF(OR(AND(F470&lt;&gt;"",COUNTIF('Target &amp; Team Lists'!$A$5:$A$504,F470)&gt;0),COUNTIF('Target &amp; Team Lists'!$E$5:$E$504,D470)&gt;0),"Yes",IF(AND(SUMPRODUCT(('Target &amp; Team Lists'!$N$5:$N$60&lt;&gt;"")*ISNUMBER(SEARCH('Target &amp; Team Lists'!$N$5:$N$60,(E470&amp;" "&amp;F470))))&gt;0,SUMPRODUCT(('Target &amp; Team Lists'!$O$5:$O$60&lt;&gt;"")*ISNUMBER(SEARCH('Target &amp; Team Lists'!$O$5:$O$60,(E470&amp;" "&amp;F470))))=0),"Yes","No"))))</f>
        <v/>
      </c>
      <c r="Q470" s="32"/>
    </row>
    <row r="471" customFormat="false" ht="15" hidden="false" customHeight="false" outlineLevel="0" collapsed="false">
      <c r="A471" s="30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3" t="str">
        <f aca="false">IF(D471="","",IF(SUM(I471:L471)&gt;0,1,0))</f>
        <v/>
      </c>
      <c r="O471" s="34" t="str">
        <f aca="false">IF(D471="","",IF(OR(COUNTIF('Target &amp; Team Lists'!$J$5:$J$204,D471)&gt;0,AND(H471&lt;&gt;"",COUNTIF('Target &amp; Team Lists'!$L$5:$L$204,H471)&gt;0),ISNUMBER(SEARCH("alpha nodus",(E471&amp;" "&amp;F471))),ISNUMBER(SEARCH("alphanodus",(E471&amp;" "&amp;F471)))),"Yes","No"))</f>
        <v/>
      </c>
      <c r="P471" s="34" t="str">
        <f aca="false">IF(D471="","",IF(O471="Yes","No",IF(OR(AND(F471&lt;&gt;"",COUNTIF('Target &amp; Team Lists'!$A$5:$A$504,F471)&gt;0),COUNTIF('Target &amp; Team Lists'!$E$5:$E$504,D471)&gt;0),"Yes",IF(AND(SUMPRODUCT(('Target &amp; Team Lists'!$N$5:$N$60&lt;&gt;"")*ISNUMBER(SEARCH('Target &amp; Team Lists'!$N$5:$N$60,(E471&amp;" "&amp;F471))))&gt;0,SUMPRODUCT(('Target &amp; Team Lists'!$O$5:$O$60&lt;&gt;"")*ISNUMBER(SEARCH('Target &amp; Team Lists'!$O$5:$O$60,(E471&amp;" "&amp;F471))))=0),"Yes","No"))))</f>
        <v/>
      </c>
      <c r="Q471" s="32"/>
    </row>
    <row r="472" customFormat="false" ht="15" hidden="false" customHeight="false" outlineLevel="0" collapsed="false">
      <c r="A472" s="30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3" t="str">
        <f aca="false">IF(D472="","",IF(SUM(I472:L472)&gt;0,1,0))</f>
        <v/>
      </c>
      <c r="O472" s="34" t="str">
        <f aca="false">IF(D472="","",IF(OR(COUNTIF('Target &amp; Team Lists'!$J$5:$J$204,D472)&gt;0,AND(H472&lt;&gt;"",COUNTIF('Target &amp; Team Lists'!$L$5:$L$204,H472)&gt;0),ISNUMBER(SEARCH("alpha nodus",(E472&amp;" "&amp;F472))),ISNUMBER(SEARCH("alphanodus",(E472&amp;" "&amp;F472)))),"Yes","No"))</f>
        <v/>
      </c>
      <c r="P472" s="34" t="str">
        <f aca="false">IF(D472="","",IF(O472="Yes","No",IF(OR(AND(F472&lt;&gt;"",COUNTIF('Target &amp; Team Lists'!$A$5:$A$504,F472)&gt;0),COUNTIF('Target &amp; Team Lists'!$E$5:$E$504,D472)&gt;0),"Yes",IF(AND(SUMPRODUCT(('Target &amp; Team Lists'!$N$5:$N$60&lt;&gt;"")*ISNUMBER(SEARCH('Target &amp; Team Lists'!$N$5:$N$60,(E472&amp;" "&amp;F472))))&gt;0,SUMPRODUCT(('Target &amp; Team Lists'!$O$5:$O$60&lt;&gt;"")*ISNUMBER(SEARCH('Target &amp; Team Lists'!$O$5:$O$60,(E472&amp;" "&amp;F472))))=0),"Yes","No"))))</f>
        <v/>
      </c>
      <c r="Q472" s="32"/>
    </row>
    <row r="473" customFormat="false" ht="15" hidden="false" customHeight="false" outlineLevel="0" collapsed="false">
      <c r="A473" s="30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3" t="str">
        <f aca="false">IF(D473="","",IF(SUM(I473:L473)&gt;0,1,0))</f>
        <v/>
      </c>
      <c r="O473" s="34" t="str">
        <f aca="false">IF(D473="","",IF(OR(COUNTIF('Target &amp; Team Lists'!$J$5:$J$204,D473)&gt;0,AND(H473&lt;&gt;"",COUNTIF('Target &amp; Team Lists'!$L$5:$L$204,H473)&gt;0),ISNUMBER(SEARCH("alpha nodus",(E473&amp;" "&amp;F473))),ISNUMBER(SEARCH("alphanodus",(E473&amp;" "&amp;F473)))),"Yes","No"))</f>
        <v/>
      </c>
      <c r="P473" s="34" t="str">
        <f aca="false">IF(D473="","",IF(O473="Yes","No",IF(OR(AND(F473&lt;&gt;"",COUNTIF('Target &amp; Team Lists'!$A$5:$A$504,F473)&gt;0),COUNTIF('Target &amp; Team Lists'!$E$5:$E$504,D473)&gt;0),"Yes",IF(AND(SUMPRODUCT(('Target &amp; Team Lists'!$N$5:$N$60&lt;&gt;"")*ISNUMBER(SEARCH('Target &amp; Team Lists'!$N$5:$N$60,(E473&amp;" "&amp;F473))))&gt;0,SUMPRODUCT(('Target &amp; Team Lists'!$O$5:$O$60&lt;&gt;"")*ISNUMBER(SEARCH('Target &amp; Team Lists'!$O$5:$O$60,(E473&amp;" "&amp;F473))))=0),"Yes","No"))))</f>
        <v/>
      </c>
      <c r="Q473" s="32"/>
    </row>
    <row r="474" customFormat="false" ht="15" hidden="false" customHeight="false" outlineLevel="0" collapsed="false">
      <c r="A474" s="30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3" t="str">
        <f aca="false">IF(D474="","",IF(SUM(I474:L474)&gt;0,1,0))</f>
        <v/>
      </c>
      <c r="O474" s="34" t="str">
        <f aca="false">IF(D474="","",IF(OR(COUNTIF('Target &amp; Team Lists'!$J$5:$J$204,D474)&gt;0,AND(H474&lt;&gt;"",COUNTIF('Target &amp; Team Lists'!$L$5:$L$204,H474)&gt;0),ISNUMBER(SEARCH("alpha nodus",(E474&amp;" "&amp;F474))),ISNUMBER(SEARCH("alphanodus",(E474&amp;" "&amp;F474)))),"Yes","No"))</f>
        <v/>
      </c>
      <c r="P474" s="34" t="str">
        <f aca="false">IF(D474="","",IF(O474="Yes","No",IF(OR(AND(F474&lt;&gt;"",COUNTIF('Target &amp; Team Lists'!$A$5:$A$504,F474)&gt;0),COUNTIF('Target &amp; Team Lists'!$E$5:$E$504,D474)&gt;0),"Yes",IF(AND(SUMPRODUCT(('Target &amp; Team Lists'!$N$5:$N$60&lt;&gt;"")*ISNUMBER(SEARCH('Target &amp; Team Lists'!$N$5:$N$60,(E474&amp;" "&amp;F474))))&gt;0,SUMPRODUCT(('Target &amp; Team Lists'!$O$5:$O$60&lt;&gt;"")*ISNUMBER(SEARCH('Target &amp; Team Lists'!$O$5:$O$60,(E474&amp;" "&amp;F474))))=0),"Yes","No"))))</f>
        <v/>
      </c>
      <c r="Q474" s="32"/>
    </row>
    <row r="475" customFormat="false" ht="15" hidden="false" customHeight="false" outlineLevel="0" collapsed="false">
      <c r="A475" s="30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3" t="str">
        <f aca="false">IF(D475="","",IF(SUM(I475:L475)&gt;0,1,0))</f>
        <v/>
      </c>
      <c r="O475" s="34" t="str">
        <f aca="false">IF(D475="","",IF(OR(COUNTIF('Target &amp; Team Lists'!$J$5:$J$204,D475)&gt;0,AND(H475&lt;&gt;"",COUNTIF('Target &amp; Team Lists'!$L$5:$L$204,H475)&gt;0),ISNUMBER(SEARCH("alpha nodus",(E475&amp;" "&amp;F475))),ISNUMBER(SEARCH("alphanodus",(E475&amp;" "&amp;F475)))),"Yes","No"))</f>
        <v/>
      </c>
      <c r="P475" s="34" t="str">
        <f aca="false">IF(D475="","",IF(O475="Yes","No",IF(OR(AND(F475&lt;&gt;"",COUNTIF('Target &amp; Team Lists'!$A$5:$A$504,F475)&gt;0),COUNTIF('Target &amp; Team Lists'!$E$5:$E$504,D475)&gt;0),"Yes",IF(AND(SUMPRODUCT(('Target &amp; Team Lists'!$N$5:$N$60&lt;&gt;"")*ISNUMBER(SEARCH('Target &amp; Team Lists'!$N$5:$N$60,(E475&amp;" "&amp;F475))))&gt;0,SUMPRODUCT(('Target &amp; Team Lists'!$O$5:$O$60&lt;&gt;"")*ISNUMBER(SEARCH('Target &amp; Team Lists'!$O$5:$O$60,(E475&amp;" "&amp;F475))))=0),"Yes","No"))))</f>
        <v/>
      </c>
      <c r="Q475" s="32"/>
    </row>
    <row r="476" customFormat="false" ht="15" hidden="false" customHeight="false" outlineLevel="0" collapsed="false">
      <c r="A476" s="30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3" t="str">
        <f aca="false">IF(D476="","",IF(SUM(I476:L476)&gt;0,1,0))</f>
        <v/>
      </c>
      <c r="O476" s="34" t="str">
        <f aca="false">IF(D476="","",IF(OR(COUNTIF('Target &amp; Team Lists'!$J$5:$J$204,D476)&gt;0,AND(H476&lt;&gt;"",COUNTIF('Target &amp; Team Lists'!$L$5:$L$204,H476)&gt;0),ISNUMBER(SEARCH("alpha nodus",(E476&amp;" "&amp;F476))),ISNUMBER(SEARCH("alphanodus",(E476&amp;" "&amp;F476)))),"Yes","No"))</f>
        <v/>
      </c>
      <c r="P476" s="34" t="str">
        <f aca="false">IF(D476="","",IF(O476="Yes","No",IF(OR(AND(F476&lt;&gt;"",COUNTIF('Target &amp; Team Lists'!$A$5:$A$504,F476)&gt;0),COUNTIF('Target &amp; Team Lists'!$E$5:$E$504,D476)&gt;0),"Yes",IF(AND(SUMPRODUCT(('Target &amp; Team Lists'!$N$5:$N$60&lt;&gt;"")*ISNUMBER(SEARCH('Target &amp; Team Lists'!$N$5:$N$60,(E476&amp;" "&amp;F476))))&gt;0,SUMPRODUCT(('Target &amp; Team Lists'!$O$5:$O$60&lt;&gt;"")*ISNUMBER(SEARCH('Target &amp; Team Lists'!$O$5:$O$60,(E476&amp;" "&amp;F476))))=0),"Yes","No"))))</f>
        <v/>
      </c>
      <c r="Q476" s="32"/>
    </row>
    <row r="477" customFormat="false" ht="15" hidden="false" customHeight="false" outlineLevel="0" collapsed="false">
      <c r="A477" s="30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3" t="str">
        <f aca="false">IF(D477="","",IF(SUM(I477:L477)&gt;0,1,0))</f>
        <v/>
      </c>
      <c r="O477" s="34" t="str">
        <f aca="false">IF(D477="","",IF(OR(COUNTIF('Target &amp; Team Lists'!$J$5:$J$204,D477)&gt;0,AND(H477&lt;&gt;"",COUNTIF('Target &amp; Team Lists'!$L$5:$L$204,H477)&gt;0),ISNUMBER(SEARCH("alpha nodus",(E477&amp;" "&amp;F477))),ISNUMBER(SEARCH("alphanodus",(E477&amp;" "&amp;F477)))),"Yes","No"))</f>
        <v/>
      </c>
      <c r="P477" s="34" t="str">
        <f aca="false">IF(D477="","",IF(O477="Yes","No",IF(OR(AND(F477&lt;&gt;"",COUNTIF('Target &amp; Team Lists'!$A$5:$A$504,F477)&gt;0),COUNTIF('Target &amp; Team Lists'!$E$5:$E$504,D477)&gt;0),"Yes",IF(AND(SUMPRODUCT(('Target &amp; Team Lists'!$N$5:$N$60&lt;&gt;"")*ISNUMBER(SEARCH('Target &amp; Team Lists'!$N$5:$N$60,(E477&amp;" "&amp;F477))))&gt;0,SUMPRODUCT(('Target &amp; Team Lists'!$O$5:$O$60&lt;&gt;"")*ISNUMBER(SEARCH('Target &amp; Team Lists'!$O$5:$O$60,(E477&amp;" "&amp;F477))))=0),"Yes","No"))))</f>
        <v/>
      </c>
      <c r="Q477" s="32"/>
    </row>
    <row r="478" customFormat="false" ht="15" hidden="false" customHeight="false" outlineLevel="0" collapsed="false">
      <c r="A478" s="30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3" t="str">
        <f aca="false">IF(D478="","",IF(SUM(I478:L478)&gt;0,1,0))</f>
        <v/>
      </c>
      <c r="O478" s="34" t="str">
        <f aca="false">IF(D478="","",IF(OR(COUNTIF('Target &amp; Team Lists'!$J$5:$J$204,D478)&gt;0,AND(H478&lt;&gt;"",COUNTIF('Target &amp; Team Lists'!$L$5:$L$204,H478)&gt;0),ISNUMBER(SEARCH("alpha nodus",(E478&amp;" "&amp;F478))),ISNUMBER(SEARCH("alphanodus",(E478&amp;" "&amp;F478)))),"Yes","No"))</f>
        <v/>
      </c>
      <c r="P478" s="34" t="str">
        <f aca="false">IF(D478="","",IF(O478="Yes","No",IF(OR(AND(F478&lt;&gt;"",COUNTIF('Target &amp; Team Lists'!$A$5:$A$504,F478)&gt;0),COUNTIF('Target &amp; Team Lists'!$E$5:$E$504,D478)&gt;0),"Yes",IF(AND(SUMPRODUCT(('Target &amp; Team Lists'!$N$5:$N$60&lt;&gt;"")*ISNUMBER(SEARCH('Target &amp; Team Lists'!$N$5:$N$60,(E478&amp;" "&amp;F478))))&gt;0,SUMPRODUCT(('Target &amp; Team Lists'!$O$5:$O$60&lt;&gt;"")*ISNUMBER(SEARCH('Target &amp; Team Lists'!$O$5:$O$60,(E478&amp;" "&amp;F478))))=0),"Yes","No"))))</f>
        <v/>
      </c>
      <c r="Q478" s="32"/>
    </row>
    <row r="479" customFormat="false" ht="15" hidden="false" customHeight="false" outlineLevel="0" collapsed="false">
      <c r="A479" s="30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3" t="str">
        <f aca="false">IF(D479="","",IF(SUM(I479:L479)&gt;0,1,0))</f>
        <v/>
      </c>
      <c r="O479" s="34" t="str">
        <f aca="false">IF(D479="","",IF(OR(COUNTIF('Target &amp; Team Lists'!$J$5:$J$204,D479)&gt;0,AND(H479&lt;&gt;"",COUNTIF('Target &amp; Team Lists'!$L$5:$L$204,H479)&gt;0),ISNUMBER(SEARCH("alpha nodus",(E479&amp;" "&amp;F479))),ISNUMBER(SEARCH("alphanodus",(E479&amp;" "&amp;F479)))),"Yes","No"))</f>
        <v/>
      </c>
      <c r="P479" s="34" t="str">
        <f aca="false">IF(D479="","",IF(O479="Yes","No",IF(OR(AND(F479&lt;&gt;"",COUNTIF('Target &amp; Team Lists'!$A$5:$A$504,F479)&gt;0),COUNTIF('Target &amp; Team Lists'!$E$5:$E$504,D479)&gt;0),"Yes",IF(AND(SUMPRODUCT(('Target &amp; Team Lists'!$N$5:$N$60&lt;&gt;"")*ISNUMBER(SEARCH('Target &amp; Team Lists'!$N$5:$N$60,(E479&amp;" "&amp;F479))))&gt;0,SUMPRODUCT(('Target &amp; Team Lists'!$O$5:$O$60&lt;&gt;"")*ISNUMBER(SEARCH('Target &amp; Team Lists'!$O$5:$O$60,(E479&amp;" "&amp;F479))))=0),"Yes","No"))))</f>
        <v/>
      </c>
      <c r="Q479" s="32"/>
    </row>
    <row r="480" customFormat="false" ht="15" hidden="false" customHeight="false" outlineLevel="0" collapsed="false">
      <c r="A480" s="30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3" t="str">
        <f aca="false">IF(D480="","",IF(SUM(I480:L480)&gt;0,1,0))</f>
        <v/>
      </c>
      <c r="O480" s="34" t="str">
        <f aca="false">IF(D480="","",IF(OR(COUNTIF('Target &amp; Team Lists'!$J$5:$J$204,D480)&gt;0,AND(H480&lt;&gt;"",COUNTIF('Target &amp; Team Lists'!$L$5:$L$204,H480)&gt;0),ISNUMBER(SEARCH("alpha nodus",(E480&amp;" "&amp;F480))),ISNUMBER(SEARCH("alphanodus",(E480&amp;" "&amp;F480)))),"Yes","No"))</f>
        <v/>
      </c>
      <c r="P480" s="34" t="str">
        <f aca="false">IF(D480="","",IF(O480="Yes","No",IF(OR(AND(F480&lt;&gt;"",COUNTIF('Target &amp; Team Lists'!$A$5:$A$504,F480)&gt;0),COUNTIF('Target &amp; Team Lists'!$E$5:$E$504,D480)&gt;0),"Yes",IF(AND(SUMPRODUCT(('Target &amp; Team Lists'!$N$5:$N$60&lt;&gt;"")*ISNUMBER(SEARCH('Target &amp; Team Lists'!$N$5:$N$60,(E480&amp;" "&amp;F480))))&gt;0,SUMPRODUCT(('Target &amp; Team Lists'!$O$5:$O$60&lt;&gt;"")*ISNUMBER(SEARCH('Target &amp; Team Lists'!$O$5:$O$60,(E480&amp;" "&amp;F480))))=0),"Yes","No"))))</f>
        <v/>
      </c>
      <c r="Q480" s="32"/>
    </row>
    <row r="481" customFormat="false" ht="15" hidden="false" customHeight="false" outlineLevel="0" collapsed="false">
      <c r="A481" s="30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3" t="str">
        <f aca="false">IF(D481="","",IF(SUM(I481:L481)&gt;0,1,0))</f>
        <v/>
      </c>
      <c r="O481" s="34" t="str">
        <f aca="false">IF(D481="","",IF(OR(COUNTIF('Target &amp; Team Lists'!$J$5:$J$204,D481)&gt;0,AND(H481&lt;&gt;"",COUNTIF('Target &amp; Team Lists'!$L$5:$L$204,H481)&gt;0),ISNUMBER(SEARCH("alpha nodus",(E481&amp;" "&amp;F481))),ISNUMBER(SEARCH("alphanodus",(E481&amp;" "&amp;F481)))),"Yes","No"))</f>
        <v/>
      </c>
      <c r="P481" s="34" t="str">
        <f aca="false">IF(D481="","",IF(O481="Yes","No",IF(OR(AND(F481&lt;&gt;"",COUNTIF('Target &amp; Team Lists'!$A$5:$A$504,F481)&gt;0),COUNTIF('Target &amp; Team Lists'!$E$5:$E$504,D481)&gt;0),"Yes",IF(AND(SUMPRODUCT(('Target &amp; Team Lists'!$N$5:$N$60&lt;&gt;"")*ISNUMBER(SEARCH('Target &amp; Team Lists'!$N$5:$N$60,(E481&amp;" "&amp;F481))))&gt;0,SUMPRODUCT(('Target &amp; Team Lists'!$O$5:$O$60&lt;&gt;"")*ISNUMBER(SEARCH('Target &amp; Team Lists'!$O$5:$O$60,(E481&amp;" "&amp;F481))))=0),"Yes","No"))))</f>
        <v/>
      </c>
      <c r="Q481" s="32"/>
    </row>
    <row r="482" customFormat="false" ht="15" hidden="false" customHeight="false" outlineLevel="0" collapsed="false">
      <c r="A482" s="30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3" t="str">
        <f aca="false">IF(D482="","",IF(SUM(I482:L482)&gt;0,1,0))</f>
        <v/>
      </c>
      <c r="O482" s="34" t="str">
        <f aca="false">IF(D482="","",IF(OR(COUNTIF('Target &amp; Team Lists'!$J$5:$J$204,D482)&gt;0,AND(H482&lt;&gt;"",COUNTIF('Target &amp; Team Lists'!$L$5:$L$204,H482)&gt;0),ISNUMBER(SEARCH("alpha nodus",(E482&amp;" "&amp;F482))),ISNUMBER(SEARCH("alphanodus",(E482&amp;" "&amp;F482)))),"Yes","No"))</f>
        <v/>
      </c>
      <c r="P482" s="34" t="str">
        <f aca="false">IF(D482="","",IF(O482="Yes","No",IF(OR(AND(F482&lt;&gt;"",COUNTIF('Target &amp; Team Lists'!$A$5:$A$504,F482)&gt;0),COUNTIF('Target &amp; Team Lists'!$E$5:$E$504,D482)&gt;0),"Yes",IF(AND(SUMPRODUCT(('Target &amp; Team Lists'!$N$5:$N$60&lt;&gt;"")*ISNUMBER(SEARCH('Target &amp; Team Lists'!$N$5:$N$60,(E482&amp;" "&amp;F482))))&gt;0,SUMPRODUCT(('Target &amp; Team Lists'!$O$5:$O$60&lt;&gt;"")*ISNUMBER(SEARCH('Target &amp; Team Lists'!$O$5:$O$60,(E482&amp;" "&amp;F482))))=0),"Yes","No"))))</f>
        <v/>
      </c>
      <c r="Q482" s="32"/>
    </row>
    <row r="483" customFormat="false" ht="15" hidden="false" customHeight="false" outlineLevel="0" collapsed="false">
      <c r="A483" s="30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3" t="str">
        <f aca="false">IF(D483="","",IF(SUM(I483:L483)&gt;0,1,0))</f>
        <v/>
      </c>
      <c r="O483" s="34" t="str">
        <f aca="false">IF(D483="","",IF(OR(COUNTIF('Target &amp; Team Lists'!$J$5:$J$204,D483)&gt;0,AND(H483&lt;&gt;"",COUNTIF('Target &amp; Team Lists'!$L$5:$L$204,H483)&gt;0),ISNUMBER(SEARCH("alpha nodus",(E483&amp;" "&amp;F483))),ISNUMBER(SEARCH("alphanodus",(E483&amp;" "&amp;F483)))),"Yes","No"))</f>
        <v/>
      </c>
      <c r="P483" s="34" t="str">
        <f aca="false">IF(D483="","",IF(O483="Yes","No",IF(OR(AND(F483&lt;&gt;"",COUNTIF('Target &amp; Team Lists'!$A$5:$A$504,F483)&gt;0),COUNTIF('Target &amp; Team Lists'!$E$5:$E$504,D483)&gt;0),"Yes",IF(AND(SUMPRODUCT(('Target &amp; Team Lists'!$N$5:$N$60&lt;&gt;"")*ISNUMBER(SEARCH('Target &amp; Team Lists'!$N$5:$N$60,(E483&amp;" "&amp;F483))))&gt;0,SUMPRODUCT(('Target &amp; Team Lists'!$O$5:$O$60&lt;&gt;"")*ISNUMBER(SEARCH('Target &amp; Team Lists'!$O$5:$O$60,(E483&amp;" "&amp;F483))))=0),"Yes","No"))))</f>
        <v/>
      </c>
      <c r="Q483" s="32"/>
    </row>
    <row r="484" customFormat="false" ht="15" hidden="false" customHeight="false" outlineLevel="0" collapsed="false">
      <c r="A484" s="30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3" t="str">
        <f aca="false">IF(D484="","",IF(SUM(I484:L484)&gt;0,1,0))</f>
        <v/>
      </c>
      <c r="O484" s="34" t="str">
        <f aca="false">IF(D484="","",IF(OR(COUNTIF('Target &amp; Team Lists'!$J$5:$J$204,D484)&gt;0,AND(H484&lt;&gt;"",COUNTIF('Target &amp; Team Lists'!$L$5:$L$204,H484)&gt;0),ISNUMBER(SEARCH("alpha nodus",(E484&amp;" "&amp;F484))),ISNUMBER(SEARCH("alphanodus",(E484&amp;" "&amp;F484)))),"Yes","No"))</f>
        <v/>
      </c>
      <c r="P484" s="34" t="str">
        <f aca="false">IF(D484="","",IF(O484="Yes","No",IF(OR(AND(F484&lt;&gt;"",COUNTIF('Target &amp; Team Lists'!$A$5:$A$504,F484)&gt;0),COUNTIF('Target &amp; Team Lists'!$E$5:$E$504,D484)&gt;0),"Yes",IF(AND(SUMPRODUCT(('Target &amp; Team Lists'!$N$5:$N$60&lt;&gt;"")*ISNUMBER(SEARCH('Target &amp; Team Lists'!$N$5:$N$60,(E484&amp;" "&amp;F484))))&gt;0,SUMPRODUCT(('Target &amp; Team Lists'!$O$5:$O$60&lt;&gt;"")*ISNUMBER(SEARCH('Target &amp; Team Lists'!$O$5:$O$60,(E484&amp;" "&amp;F484))))=0),"Yes","No"))))</f>
        <v/>
      </c>
      <c r="Q484" s="32"/>
    </row>
    <row r="485" customFormat="false" ht="15" hidden="false" customHeight="false" outlineLevel="0" collapsed="false">
      <c r="A485" s="30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3" t="str">
        <f aca="false">IF(D485="","",IF(SUM(I485:L485)&gt;0,1,0))</f>
        <v/>
      </c>
      <c r="O485" s="34" t="str">
        <f aca="false">IF(D485="","",IF(OR(COUNTIF('Target &amp; Team Lists'!$J$5:$J$204,D485)&gt;0,AND(H485&lt;&gt;"",COUNTIF('Target &amp; Team Lists'!$L$5:$L$204,H485)&gt;0),ISNUMBER(SEARCH("alpha nodus",(E485&amp;" "&amp;F485))),ISNUMBER(SEARCH("alphanodus",(E485&amp;" "&amp;F485)))),"Yes","No"))</f>
        <v/>
      </c>
      <c r="P485" s="34" t="str">
        <f aca="false">IF(D485="","",IF(O485="Yes","No",IF(OR(AND(F485&lt;&gt;"",COUNTIF('Target &amp; Team Lists'!$A$5:$A$504,F485)&gt;0),COUNTIF('Target &amp; Team Lists'!$E$5:$E$504,D485)&gt;0),"Yes",IF(AND(SUMPRODUCT(('Target &amp; Team Lists'!$N$5:$N$60&lt;&gt;"")*ISNUMBER(SEARCH('Target &amp; Team Lists'!$N$5:$N$60,(E485&amp;" "&amp;F485))))&gt;0,SUMPRODUCT(('Target &amp; Team Lists'!$O$5:$O$60&lt;&gt;"")*ISNUMBER(SEARCH('Target &amp; Team Lists'!$O$5:$O$60,(E485&amp;" "&amp;F485))))=0),"Yes","No"))))</f>
        <v/>
      </c>
      <c r="Q485" s="32"/>
    </row>
    <row r="486" customFormat="false" ht="15" hidden="false" customHeight="false" outlineLevel="0" collapsed="false">
      <c r="A486" s="30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3" t="str">
        <f aca="false">IF(D486="","",IF(SUM(I486:L486)&gt;0,1,0))</f>
        <v/>
      </c>
      <c r="O486" s="34" t="str">
        <f aca="false">IF(D486="","",IF(OR(COUNTIF('Target &amp; Team Lists'!$J$5:$J$204,D486)&gt;0,AND(H486&lt;&gt;"",COUNTIF('Target &amp; Team Lists'!$L$5:$L$204,H486)&gt;0),ISNUMBER(SEARCH("alpha nodus",(E486&amp;" "&amp;F486))),ISNUMBER(SEARCH("alphanodus",(E486&amp;" "&amp;F486)))),"Yes","No"))</f>
        <v/>
      </c>
      <c r="P486" s="34" t="str">
        <f aca="false">IF(D486="","",IF(O486="Yes","No",IF(OR(AND(F486&lt;&gt;"",COUNTIF('Target &amp; Team Lists'!$A$5:$A$504,F486)&gt;0),COUNTIF('Target &amp; Team Lists'!$E$5:$E$504,D486)&gt;0),"Yes",IF(AND(SUMPRODUCT(('Target &amp; Team Lists'!$N$5:$N$60&lt;&gt;"")*ISNUMBER(SEARCH('Target &amp; Team Lists'!$N$5:$N$60,(E486&amp;" "&amp;F486))))&gt;0,SUMPRODUCT(('Target &amp; Team Lists'!$O$5:$O$60&lt;&gt;"")*ISNUMBER(SEARCH('Target &amp; Team Lists'!$O$5:$O$60,(E486&amp;" "&amp;F486))))=0),"Yes","No"))))</f>
        <v/>
      </c>
      <c r="Q486" s="32"/>
    </row>
    <row r="487" customFormat="false" ht="15" hidden="false" customHeight="false" outlineLevel="0" collapsed="false">
      <c r="A487" s="30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3" t="str">
        <f aca="false">IF(D487="","",IF(SUM(I487:L487)&gt;0,1,0))</f>
        <v/>
      </c>
      <c r="O487" s="34" t="str">
        <f aca="false">IF(D487="","",IF(OR(COUNTIF('Target &amp; Team Lists'!$J$5:$J$204,D487)&gt;0,AND(H487&lt;&gt;"",COUNTIF('Target &amp; Team Lists'!$L$5:$L$204,H487)&gt;0),ISNUMBER(SEARCH("alpha nodus",(E487&amp;" "&amp;F487))),ISNUMBER(SEARCH("alphanodus",(E487&amp;" "&amp;F487)))),"Yes","No"))</f>
        <v/>
      </c>
      <c r="P487" s="34" t="str">
        <f aca="false">IF(D487="","",IF(O487="Yes","No",IF(OR(AND(F487&lt;&gt;"",COUNTIF('Target &amp; Team Lists'!$A$5:$A$504,F487)&gt;0),COUNTIF('Target &amp; Team Lists'!$E$5:$E$504,D487)&gt;0),"Yes",IF(AND(SUMPRODUCT(('Target &amp; Team Lists'!$N$5:$N$60&lt;&gt;"")*ISNUMBER(SEARCH('Target &amp; Team Lists'!$N$5:$N$60,(E487&amp;" "&amp;F487))))&gt;0,SUMPRODUCT(('Target &amp; Team Lists'!$O$5:$O$60&lt;&gt;"")*ISNUMBER(SEARCH('Target &amp; Team Lists'!$O$5:$O$60,(E487&amp;" "&amp;F487))))=0),"Yes","No"))))</f>
        <v/>
      </c>
      <c r="Q487" s="32"/>
    </row>
    <row r="488" customFormat="false" ht="15" hidden="false" customHeight="false" outlineLevel="0" collapsed="false">
      <c r="A488" s="30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3" t="str">
        <f aca="false">IF(D488="","",IF(SUM(I488:L488)&gt;0,1,0))</f>
        <v/>
      </c>
      <c r="O488" s="34" t="str">
        <f aca="false">IF(D488="","",IF(OR(COUNTIF('Target &amp; Team Lists'!$J$5:$J$204,D488)&gt;0,AND(H488&lt;&gt;"",COUNTIF('Target &amp; Team Lists'!$L$5:$L$204,H488)&gt;0),ISNUMBER(SEARCH("alpha nodus",(E488&amp;" "&amp;F488))),ISNUMBER(SEARCH("alphanodus",(E488&amp;" "&amp;F488)))),"Yes","No"))</f>
        <v/>
      </c>
      <c r="P488" s="34" t="str">
        <f aca="false">IF(D488="","",IF(O488="Yes","No",IF(OR(AND(F488&lt;&gt;"",COUNTIF('Target &amp; Team Lists'!$A$5:$A$504,F488)&gt;0),COUNTIF('Target &amp; Team Lists'!$E$5:$E$504,D488)&gt;0),"Yes",IF(AND(SUMPRODUCT(('Target &amp; Team Lists'!$N$5:$N$60&lt;&gt;"")*ISNUMBER(SEARCH('Target &amp; Team Lists'!$N$5:$N$60,(E488&amp;" "&amp;F488))))&gt;0,SUMPRODUCT(('Target &amp; Team Lists'!$O$5:$O$60&lt;&gt;"")*ISNUMBER(SEARCH('Target &amp; Team Lists'!$O$5:$O$60,(E488&amp;" "&amp;F488))))=0),"Yes","No"))))</f>
        <v/>
      </c>
      <c r="Q488" s="32"/>
    </row>
    <row r="489" customFormat="false" ht="15" hidden="false" customHeight="false" outlineLevel="0" collapsed="false">
      <c r="A489" s="30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3" t="str">
        <f aca="false">IF(D489="","",IF(SUM(I489:L489)&gt;0,1,0))</f>
        <v/>
      </c>
      <c r="O489" s="34" t="str">
        <f aca="false">IF(D489="","",IF(OR(COUNTIF('Target &amp; Team Lists'!$J$5:$J$204,D489)&gt;0,AND(H489&lt;&gt;"",COUNTIF('Target &amp; Team Lists'!$L$5:$L$204,H489)&gt;0),ISNUMBER(SEARCH("alpha nodus",(E489&amp;" "&amp;F489))),ISNUMBER(SEARCH("alphanodus",(E489&amp;" "&amp;F489)))),"Yes","No"))</f>
        <v/>
      </c>
      <c r="P489" s="34" t="str">
        <f aca="false">IF(D489="","",IF(O489="Yes","No",IF(OR(AND(F489&lt;&gt;"",COUNTIF('Target &amp; Team Lists'!$A$5:$A$504,F489)&gt;0),COUNTIF('Target &amp; Team Lists'!$E$5:$E$504,D489)&gt;0),"Yes",IF(AND(SUMPRODUCT(('Target &amp; Team Lists'!$N$5:$N$60&lt;&gt;"")*ISNUMBER(SEARCH('Target &amp; Team Lists'!$N$5:$N$60,(E489&amp;" "&amp;F489))))&gt;0,SUMPRODUCT(('Target &amp; Team Lists'!$O$5:$O$60&lt;&gt;"")*ISNUMBER(SEARCH('Target &amp; Team Lists'!$O$5:$O$60,(E489&amp;" "&amp;F489))))=0),"Yes","No"))))</f>
        <v/>
      </c>
      <c r="Q489" s="32"/>
    </row>
    <row r="490" customFormat="false" ht="15" hidden="false" customHeight="false" outlineLevel="0" collapsed="false">
      <c r="A490" s="30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3" t="str">
        <f aca="false">IF(D490="","",IF(SUM(I490:L490)&gt;0,1,0))</f>
        <v/>
      </c>
      <c r="O490" s="34" t="str">
        <f aca="false">IF(D490="","",IF(OR(COUNTIF('Target &amp; Team Lists'!$J$5:$J$204,D490)&gt;0,AND(H490&lt;&gt;"",COUNTIF('Target &amp; Team Lists'!$L$5:$L$204,H490)&gt;0),ISNUMBER(SEARCH("alpha nodus",(E490&amp;" "&amp;F490))),ISNUMBER(SEARCH("alphanodus",(E490&amp;" "&amp;F490)))),"Yes","No"))</f>
        <v/>
      </c>
      <c r="P490" s="34" t="str">
        <f aca="false">IF(D490="","",IF(O490="Yes","No",IF(OR(AND(F490&lt;&gt;"",COUNTIF('Target &amp; Team Lists'!$A$5:$A$504,F490)&gt;0),COUNTIF('Target &amp; Team Lists'!$E$5:$E$504,D490)&gt;0),"Yes",IF(AND(SUMPRODUCT(('Target &amp; Team Lists'!$N$5:$N$60&lt;&gt;"")*ISNUMBER(SEARCH('Target &amp; Team Lists'!$N$5:$N$60,(E490&amp;" "&amp;F490))))&gt;0,SUMPRODUCT(('Target &amp; Team Lists'!$O$5:$O$60&lt;&gt;"")*ISNUMBER(SEARCH('Target &amp; Team Lists'!$O$5:$O$60,(E490&amp;" "&amp;F490))))=0),"Yes","No"))))</f>
        <v/>
      </c>
      <c r="Q490" s="32"/>
    </row>
    <row r="491" customFormat="false" ht="15" hidden="false" customHeight="false" outlineLevel="0" collapsed="false">
      <c r="A491" s="30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3" t="str">
        <f aca="false">IF(D491="","",IF(SUM(I491:L491)&gt;0,1,0))</f>
        <v/>
      </c>
      <c r="O491" s="34" t="str">
        <f aca="false">IF(D491="","",IF(OR(COUNTIF('Target &amp; Team Lists'!$J$5:$J$204,D491)&gt;0,AND(H491&lt;&gt;"",COUNTIF('Target &amp; Team Lists'!$L$5:$L$204,H491)&gt;0),ISNUMBER(SEARCH("alpha nodus",(E491&amp;" "&amp;F491))),ISNUMBER(SEARCH("alphanodus",(E491&amp;" "&amp;F491)))),"Yes","No"))</f>
        <v/>
      </c>
      <c r="P491" s="34" t="str">
        <f aca="false">IF(D491="","",IF(O491="Yes","No",IF(OR(AND(F491&lt;&gt;"",COUNTIF('Target &amp; Team Lists'!$A$5:$A$504,F491)&gt;0),COUNTIF('Target &amp; Team Lists'!$E$5:$E$504,D491)&gt;0),"Yes",IF(AND(SUMPRODUCT(('Target &amp; Team Lists'!$N$5:$N$60&lt;&gt;"")*ISNUMBER(SEARCH('Target &amp; Team Lists'!$N$5:$N$60,(E491&amp;" "&amp;F491))))&gt;0,SUMPRODUCT(('Target &amp; Team Lists'!$O$5:$O$60&lt;&gt;"")*ISNUMBER(SEARCH('Target &amp; Team Lists'!$O$5:$O$60,(E491&amp;" "&amp;F491))))=0),"Yes","No"))))</f>
        <v/>
      </c>
      <c r="Q491" s="32"/>
    </row>
    <row r="492" customFormat="false" ht="15" hidden="false" customHeight="false" outlineLevel="0" collapsed="false">
      <c r="A492" s="30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3" t="str">
        <f aca="false">IF(D492="","",IF(SUM(I492:L492)&gt;0,1,0))</f>
        <v/>
      </c>
      <c r="O492" s="34" t="str">
        <f aca="false">IF(D492="","",IF(OR(COUNTIF('Target &amp; Team Lists'!$J$5:$J$204,D492)&gt;0,AND(H492&lt;&gt;"",COUNTIF('Target &amp; Team Lists'!$L$5:$L$204,H492)&gt;0),ISNUMBER(SEARCH("alpha nodus",(E492&amp;" "&amp;F492))),ISNUMBER(SEARCH("alphanodus",(E492&amp;" "&amp;F492)))),"Yes","No"))</f>
        <v/>
      </c>
      <c r="P492" s="34" t="str">
        <f aca="false">IF(D492="","",IF(O492="Yes","No",IF(OR(AND(F492&lt;&gt;"",COUNTIF('Target &amp; Team Lists'!$A$5:$A$504,F492)&gt;0),COUNTIF('Target &amp; Team Lists'!$E$5:$E$504,D492)&gt;0),"Yes",IF(AND(SUMPRODUCT(('Target &amp; Team Lists'!$N$5:$N$60&lt;&gt;"")*ISNUMBER(SEARCH('Target &amp; Team Lists'!$N$5:$N$60,(E492&amp;" "&amp;F492))))&gt;0,SUMPRODUCT(('Target &amp; Team Lists'!$O$5:$O$60&lt;&gt;"")*ISNUMBER(SEARCH('Target &amp; Team Lists'!$O$5:$O$60,(E492&amp;" "&amp;F492))))=0),"Yes","No"))))</f>
        <v/>
      </c>
      <c r="Q492" s="32"/>
    </row>
    <row r="493" customFormat="false" ht="15" hidden="false" customHeight="false" outlineLevel="0" collapsed="false">
      <c r="A493" s="30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3" t="str">
        <f aca="false">IF(D493="","",IF(SUM(I493:L493)&gt;0,1,0))</f>
        <v/>
      </c>
      <c r="O493" s="34" t="str">
        <f aca="false">IF(D493="","",IF(OR(COUNTIF('Target &amp; Team Lists'!$J$5:$J$204,D493)&gt;0,AND(H493&lt;&gt;"",COUNTIF('Target &amp; Team Lists'!$L$5:$L$204,H493)&gt;0),ISNUMBER(SEARCH("alpha nodus",(E493&amp;" "&amp;F493))),ISNUMBER(SEARCH("alphanodus",(E493&amp;" "&amp;F493)))),"Yes","No"))</f>
        <v/>
      </c>
      <c r="P493" s="34" t="str">
        <f aca="false">IF(D493="","",IF(O493="Yes","No",IF(OR(AND(F493&lt;&gt;"",COUNTIF('Target &amp; Team Lists'!$A$5:$A$504,F493)&gt;0),COUNTIF('Target &amp; Team Lists'!$E$5:$E$504,D493)&gt;0),"Yes",IF(AND(SUMPRODUCT(('Target &amp; Team Lists'!$N$5:$N$60&lt;&gt;"")*ISNUMBER(SEARCH('Target &amp; Team Lists'!$N$5:$N$60,(E493&amp;" "&amp;F493))))&gt;0,SUMPRODUCT(('Target &amp; Team Lists'!$O$5:$O$60&lt;&gt;"")*ISNUMBER(SEARCH('Target &amp; Team Lists'!$O$5:$O$60,(E493&amp;" "&amp;F493))))=0),"Yes","No"))))</f>
        <v/>
      </c>
      <c r="Q493" s="32"/>
    </row>
    <row r="494" customFormat="false" ht="15" hidden="false" customHeight="false" outlineLevel="0" collapsed="false">
      <c r="A494" s="30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3" t="str">
        <f aca="false">IF(D494="","",IF(SUM(I494:L494)&gt;0,1,0))</f>
        <v/>
      </c>
      <c r="O494" s="34" t="str">
        <f aca="false">IF(D494="","",IF(OR(COUNTIF('Target &amp; Team Lists'!$J$5:$J$204,D494)&gt;0,AND(H494&lt;&gt;"",COUNTIF('Target &amp; Team Lists'!$L$5:$L$204,H494)&gt;0),ISNUMBER(SEARCH("alpha nodus",(E494&amp;" "&amp;F494))),ISNUMBER(SEARCH("alphanodus",(E494&amp;" "&amp;F494)))),"Yes","No"))</f>
        <v/>
      </c>
      <c r="P494" s="34" t="str">
        <f aca="false">IF(D494="","",IF(O494="Yes","No",IF(OR(AND(F494&lt;&gt;"",COUNTIF('Target &amp; Team Lists'!$A$5:$A$504,F494)&gt;0),COUNTIF('Target &amp; Team Lists'!$E$5:$E$504,D494)&gt;0),"Yes",IF(AND(SUMPRODUCT(('Target &amp; Team Lists'!$N$5:$N$60&lt;&gt;"")*ISNUMBER(SEARCH('Target &amp; Team Lists'!$N$5:$N$60,(E494&amp;" "&amp;F494))))&gt;0,SUMPRODUCT(('Target &amp; Team Lists'!$O$5:$O$60&lt;&gt;"")*ISNUMBER(SEARCH('Target &amp; Team Lists'!$O$5:$O$60,(E494&amp;" "&amp;F494))))=0),"Yes","No"))))</f>
        <v/>
      </c>
      <c r="Q494" s="32"/>
    </row>
    <row r="495" customFormat="false" ht="15" hidden="false" customHeight="false" outlineLevel="0" collapsed="false">
      <c r="A495" s="30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3" t="str">
        <f aca="false">IF(D495="","",IF(SUM(I495:L495)&gt;0,1,0))</f>
        <v/>
      </c>
      <c r="O495" s="34" t="str">
        <f aca="false">IF(D495="","",IF(OR(COUNTIF('Target &amp; Team Lists'!$J$5:$J$204,D495)&gt;0,AND(H495&lt;&gt;"",COUNTIF('Target &amp; Team Lists'!$L$5:$L$204,H495)&gt;0),ISNUMBER(SEARCH("alpha nodus",(E495&amp;" "&amp;F495))),ISNUMBER(SEARCH("alphanodus",(E495&amp;" "&amp;F495)))),"Yes","No"))</f>
        <v/>
      </c>
      <c r="P495" s="34" t="str">
        <f aca="false">IF(D495="","",IF(O495="Yes","No",IF(OR(AND(F495&lt;&gt;"",COUNTIF('Target &amp; Team Lists'!$A$5:$A$504,F495)&gt;0),COUNTIF('Target &amp; Team Lists'!$E$5:$E$504,D495)&gt;0),"Yes",IF(AND(SUMPRODUCT(('Target &amp; Team Lists'!$N$5:$N$60&lt;&gt;"")*ISNUMBER(SEARCH('Target &amp; Team Lists'!$N$5:$N$60,(E495&amp;" "&amp;F495))))&gt;0,SUMPRODUCT(('Target &amp; Team Lists'!$O$5:$O$60&lt;&gt;"")*ISNUMBER(SEARCH('Target &amp; Team Lists'!$O$5:$O$60,(E495&amp;" "&amp;F495))))=0),"Yes","No"))))</f>
        <v/>
      </c>
      <c r="Q495" s="32"/>
    </row>
    <row r="496" customFormat="false" ht="15" hidden="false" customHeight="false" outlineLevel="0" collapsed="false">
      <c r="A496" s="30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3" t="str">
        <f aca="false">IF(D496="","",IF(SUM(I496:L496)&gt;0,1,0))</f>
        <v/>
      </c>
      <c r="O496" s="34" t="str">
        <f aca="false">IF(D496="","",IF(OR(COUNTIF('Target &amp; Team Lists'!$J$5:$J$204,D496)&gt;0,AND(H496&lt;&gt;"",COUNTIF('Target &amp; Team Lists'!$L$5:$L$204,H496)&gt;0),ISNUMBER(SEARCH("alpha nodus",(E496&amp;" "&amp;F496))),ISNUMBER(SEARCH("alphanodus",(E496&amp;" "&amp;F496)))),"Yes","No"))</f>
        <v/>
      </c>
      <c r="P496" s="34" t="str">
        <f aca="false">IF(D496="","",IF(O496="Yes","No",IF(OR(AND(F496&lt;&gt;"",COUNTIF('Target &amp; Team Lists'!$A$5:$A$504,F496)&gt;0),COUNTIF('Target &amp; Team Lists'!$E$5:$E$504,D496)&gt;0),"Yes",IF(AND(SUMPRODUCT(('Target &amp; Team Lists'!$N$5:$N$60&lt;&gt;"")*ISNUMBER(SEARCH('Target &amp; Team Lists'!$N$5:$N$60,(E496&amp;" "&amp;F496))))&gt;0,SUMPRODUCT(('Target &amp; Team Lists'!$O$5:$O$60&lt;&gt;"")*ISNUMBER(SEARCH('Target &amp; Team Lists'!$O$5:$O$60,(E496&amp;" "&amp;F496))))=0),"Yes","No"))))</f>
        <v/>
      </c>
      <c r="Q496" s="32"/>
    </row>
    <row r="497" customFormat="false" ht="15" hidden="false" customHeight="false" outlineLevel="0" collapsed="false">
      <c r="A497" s="30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3" t="str">
        <f aca="false">IF(D497="","",IF(SUM(I497:L497)&gt;0,1,0))</f>
        <v/>
      </c>
      <c r="O497" s="34" t="str">
        <f aca="false">IF(D497="","",IF(OR(COUNTIF('Target &amp; Team Lists'!$J$5:$J$204,D497)&gt;0,AND(H497&lt;&gt;"",COUNTIF('Target &amp; Team Lists'!$L$5:$L$204,H497)&gt;0),ISNUMBER(SEARCH("alpha nodus",(E497&amp;" "&amp;F497))),ISNUMBER(SEARCH("alphanodus",(E497&amp;" "&amp;F497)))),"Yes","No"))</f>
        <v/>
      </c>
      <c r="P497" s="34" t="str">
        <f aca="false">IF(D497="","",IF(O497="Yes","No",IF(OR(AND(F497&lt;&gt;"",COUNTIF('Target &amp; Team Lists'!$A$5:$A$504,F497)&gt;0),COUNTIF('Target &amp; Team Lists'!$E$5:$E$504,D497)&gt;0),"Yes",IF(AND(SUMPRODUCT(('Target &amp; Team Lists'!$N$5:$N$60&lt;&gt;"")*ISNUMBER(SEARCH('Target &amp; Team Lists'!$N$5:$N$60,(E497&amp;" "&amp;F497))))&gt;0,SUMPRODUCT(('Target &amp; Team Lists'!$O$5:$O$60&lt;&gt;"")*ISNUMBER(SEARCH('Target &amp; Team Lists'!$O$5:$O$60,(E497&amp;" "&amp;F497))))=0),"Yes","No"))))</f>
        <v/>
      </c>
      <c r="Q497" s="32"/>
    </row>
    <row r="498" customFormat="false" ht="15" hidden="false" customHeight="false" outlineLevel="0" collapsed="false">
      <c r="A498" s="30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3" t="str">
        <f aca="false">IF(D498="","",IF(SUM(I498:L498)&gt;0,1,0))</f>
        <v/>
      </c>
      <c r="O498" s="34" t="str">
        <f aca="false">IF(D498="","",IF(OR(COUNTIF('Target &amp; Team Lists'!$J$5:$J$204,D498)&gt;0,AND(H498&lt;&gt;"",COUNTIF('Target &amp; Team Lists'!$L$5:$L$204,H498)&gt;0),ISNUMBER(SEARCH("alpha nodus",(E498&amp;" "&amp;F498))),ISNUMBER(SEARCH("alphanodus",(E498&amp;" "&amp;F498)))),"Yes","No"))</f>
        <v/>
      </c>
      <c r="P498" s="34" t="str">
        <f aca="false">IF(D498="","",IF(O498="Yes","No",IF(OR(AND(F498&lt;&gt;"",COUNTIF('Target &amp; Team Lists'!$A$5:$A$504,F498)&gt;0),COUNTIF('Target &amp; Team Lists'!$E$5:$E$504,D498)&gt;0),"Yes",IF(AND(SUMPRODUCT(('Target &amp; Team Lists'!$N$5:$N$60&lt;&gt;"")*ISNUMBER(SEARCH('Target &amp; Team Lists'!$N$5:$N$60,(E498&amp;" "&amp;F498))))&gt;0,SUMPRODUCT(('Target &amp; Team Lists'!$O$5:$O$60&lt;&gt;"")*ISNUMBER(SEARCH('Target &amp; Team Lists'!$O$5:$O$60,(E498&amp;" "&amp;F498))))=0),"Yes","No"))))</f>
        <v/>
      </c>
      <c r="Q498" s="32"/>
    </row>
    <row r="499" customFormat="false" ht="15" hidden="false" customHeight="false" outlineLevel="0" collapsed="false">
      <c r="A499" s="30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3" t="str">
        <f aca="false">IF(D499="","",IF(SUM(I499:L499)&gt;0,1,0))</f>
        <v/>
      </c>
      <c r="O499" s="34" t="str">
        <f aca="false">IF(D499="","",IF(OR(COUNTIF('Target &amp; Team Lists'!$J$5:$J$204,D499)&gt;0,AND(H499&lt;&gt;"",COUNTIF('Target &amp; Team Lists'!$L$5:$L$204,H499)&gt;0),ISNUMBER(SEARCH("alpha nodus",(E499&amp;" "&amp;F499))),ISNUMBER(SEARCH("alphanodus",(E499&amp;" "&amp;F499)))),"Yes","No"))</f>
        <v/>
      </c>
      <c r="P499" s="34" t="str">
        <f aca="false">IF(D499="","",IF(O499="Yes","No",IF(OR(AND(F499&lt;&gt;"",COUNTIF('Target &amp; Team Lists'!$A$5:$A$504,F499)&gt;0),COUNTIF('Target &amp; Team Lists'!$E$5:$E$504,D499)&gt;0),"Yes",IF(AND(SUMPRODUCT(('Target &amp; Team Lists'!$N$5:$N$60&lt;&gt;"")*ISNUMBER(SEARCH('Target &amp; Team Lists'!$N$5:$N$60,(E499&amp;" "&amp;F499))))&gt;0,SUMPRODUCT(('Target &amp; Team Lists'!$O$5:$O$60&lt;&gt;"")*ISNUMBER(SEARCH('Target &amp; Team Lists'!$O$5:$O$60,(E499&amp;" "&amp;F499))))=0),"Yes","No"))))</f>
        <v/>
      </c>
      <c r="Q499" s="32"/>
    </row>
    <row r="500" customFormat="false" ht="15" hidden="false" customHeight="false" outlineLevel="0" collapsed="false">
      <c r="A500" s="30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3" t="str">
        <f aca="false">IF(D500="","",IF(SUM(I500:L500)&gt;0,1,0))</f>
        <v/>
      </c>
      <c r="O500" s="34" t="str">
        <f aca="false">IF(D500="","",IF(OR(COUNTIF('Target &amp; Team Lists'!$J$5:$J$204,D500)&gt;0,AND(H500&lt;&gt;"",COUNTIF('Target &amp; Team Lists'!$L$5:$L$204,H500)&gt;0),ISNUMBER(SEARCH("alpha nodus",(E500&amp;" "&amp;F500))),ISNUMBER(SEARCH("alphanodus",(E500&amp;" "&amp;F500)))),"Yes","No"))</f>
        <v/>
      </c>
      <c r="P500" s="34" t="str">
        <f aca="false">IF(D500="","",IF(O500="Yes","No",IF(OR(AND(F500&lt;&gt;"",COUNTIF('Target &amp; Team Lists'!$A$5:$A$504,F500)&gt;0),COUNTIF('Target &amp; Team Lists'!$E$5:$E$504,D500)&gt;0),"Yes",IF(AND(SUMPRODUCT(('Target &amp; Team Lists'!$N$5:$N$60&lt;&gt;"")*ISNUMBER(SEARCH('Target &amp; Team Lists'!$N$5:$N$60,(E500&amp;" "&amp;F500))))&gt;0,SUMPRODUCT(('Target &amp; Team Lists'!$O$5:$O$60&lt;&gt;"")*ISNUMBER(SEARCH('Target &amp; Team Lists'!$O$5:$O$60,(E500&amp;" "&amp;F500))))=0),"Yes","No"))))</f>
        <v/>
      </c>
      <c r="Q500" s="32"/>
    </row>
    <row r="501" customFormat="false" ht="15" hidden="false" customHeight="false" outlineLevel="0" collapsed="false">
      <c r="A501" s="30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3" t="str">
        <f aca="false">IF(D501="","",IF(SUM(I501:L501)&gt;0,1,0))</f>
        <v/>
      </c>
      <c r="O501" s="34" t="str">
        <f aca="false">IF(D501="","",IF(OR(COUNTIF('Target &amp; Team Lists'!$J$5:$J$204,D501)&gt;0,AND(H501&lt;&gt;"",COUNTIF('Target &amp; Team Lists'!$L$5:$L$204,H501)&gt;0),ISNUMBER(SEARCH("alpha nodus",(E501&amp;" "&amp;F501))),ISNUMBER(SEARCH("alphanodus",(E501&amp;" "&amp;F501)))),"Yes","No"))</f>
        <v/>
      </c>
      <c r="P501" s="34" t="str">
        <f aca="false">IF(D501="","",IF(O501="Yes","No",IF(OR(AND(F501&lt;&gt;"",COUNTIF('Target &amp; Team Lists'!$A$5:$A$504,F501)&gt;0),COUNTIF('Target &amp; Team Lists'!$E$5:$E$504,D501)&gt;0),"Yes",IF(AND(SUMPRODUCT(('Target &amp; Team Lists'!$N$5:$N$60&lt;&gt;"")*ISNUMBER(SEARCH('Target &amp; Team Lists'!$N$5:$N$60,(E501&amp;" "&amp;F501))))&gt;0,SUMPRODUCT(('Target &amp; Team Lists'!$O$5:$O$60&lt;&gt;"")*ISNUMBER(SEARCH('Target &amp; Team Lists'!$O$5:$O$60,(E501&amp;" "&amp;F501))))=0),"Yes","No"))))</f>
        <v/>
      </c>
      <c r="Q501" s="32"/>
    </row>
    <row r="502" customFormat="false" ht="15" hidden="false" customHeight="false" outlineLevel="0" collapsed="false">
      <c r="A502" s="30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3" t="str">
        <f aca="false">IF(D502="","",IF(SUM(I502:L502)&gt;0,1,0))</f>
        <v/>
      </c>
      <c r="O502" s="34" t="str">
        <f aca="false">IF(D502="","",IF(OR(COUNTIF('Target &amp; Team Lists'!$J$5:$J$204,D502)&gt;0,AND(H502&lt;&gt;"",COUNTIF('Target &amp; Team Lists'!$L$5:$L$204,H502)&gt;0),ISNUMBER(SEARCH("alpha nodus",(E502&amp;" "&amp;F502))),ISNUMBER(SEARCH("alphanodus",(E502&amp;" "&amp;F502)))),"Yes","No"))</f>
        <v/>
      </c>
      <c r="P502" s="34" t="str">
        <f aca="false">IF(D502="","",IF(O502="Yes","No",IF(OR(AND(F502&lt;&gt;"",COUNTIF('Target &amp; Team Lists'!$A$5:$A$504,F502)&gt;0),COUNTIF('Target &amp; Team Lists'!$E$5:$E$504,D502)&gt;0),"Yes",IF(AND(SUMPRODUCT(('Target &amp; Team Lists'!$N$5:$N$60&lt;&gt;"")*ISNUMBER(SEARCH('Target &amp; Team Lists'!$N$5:$N$60,(E502&amp;" "&amp;F502))))&gt;0,SUMPRODUCT(('Target &amp; Team Lists'!$O$5:$O$60&lt;&gt;"")*ISNUMBER(SEARCH('Target &amp; Team Lists'!$O$5:$O$60,(E502&amp;" "&amp;F502))))=0),"Yes","No"))))</f>
        <v/>
      </c>
      <c r="Q502" s="32"/>
    </row>
    <row r="503" customFormat="false" ht="15" hidden="false" customHeight="false" outlineLevel="0" collapsed="false">
      <c r="A503" s="30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3" t="str">
        <f aca="false">IF(D503="","",IF(SUM(I503:L503)&gt;0,1,0))</f>
        <v/>
      </c>
      <c r="O503" s="34" t="str">
        <f aca="false">IF(D503="","",IF(OR(COUNTIF('Target &amp; Team Lists'!$J$5:$J$204,D503)&gt;0,AND(H503&lt;&gt;"",COUNTIF('Target &amp; Team Lists'!$L$5:$L$204,H503)&gt;0),ISNUMBER(SEARCH("alpha nodus",(E503&amp;" "&amp;F503))),ISNUMBER(SEARCH("alphanodus",(E503&amp;" "&amp;F503)))),"Yes","No"))</f>
        <v/>
      </c>
      <c r="P503" s="34" t="str">
        <f aca="false">IF(D503="","",IF(O503="Yes","No",IF(OR(AND(F503&lt;&gt;"",COUNTIF('Target &amp; Team Lists'!$A$5:$A$504,F503)&gt;0),COUNTIF('Target &amp; Team Lists'!$E$5:$E$504,D503)&gt;0),"Yes",IF(AND(SUMPRODUCT(('Target &amp; Team Lists'!$N$5:$N$60&lt;&gt;"")*ISNUMBER(SEARCH('Target &amp; Team Lists'!$N$5:$N$60,(E503&amp;" "&amp;F503))))&gt;0,SUMPRODUCT(('Target &amp; Team Lists'!$O$5:$O$60&lt;&gt;"")*ISNUMBER(SEARCH('Target &amp; Team Lists'!$O$5:$O$60,(E503&amp;" "&amp;F503))))=0),"Yes","No"))))</f>
        <v/>
      </c>
      <c r="Q503" s="32"/>
    </row>
    <row r="504" customFormat="false" ht="15" hidden="false" customHeight="false" outlineLevel="0" collapsed="false">
      <c r="A504" s="30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3" t="str">
        <f aca="false">IF(D504="","",IF(SUM(I504:L504)&gt;0,1,0))</f>
        <v/>
      </c>
      <c r="O504" s="34" t="str">
        <f aca="false">IF(D504="","",IF(OR(COUNTIF('Target &amp; Team Lists'!$J$5:$J$204,D504)&gt;0,AND(H504&lt;&gt;"",COUNTIF('Target &amp; Team Lists'!$L$5:$L$204,H504)&gt;0),ISNUMBER(SEARCH("alpha nodus",(E504&amp;" "&amp;F504))),ISNUMBER(SEARCH("alphanodus",(E504&amp;" "&amp;F504)))),"Yes","No"))</f>
        <v/>
      </c>
      <c r="P504" s="34" t="str">
        <f aca="false">IF(D504="","",IF(O504="Yes","No",IF(OR(AND(F504&lt;&gt;"",COUNTIF('Target &amp; Team Lists'!$A$5:$A$504,F504)&gt;0),COUNTIF('Target &amp; Team Lists'!$E$5:$E$504,D504)&gt;0),"Yes",IF(AND(SUMPRODUCT(('Target &amp; Team Lists'!$N$5:$N$60&lt;&gt;"")*ISNUMBER(SEARCH('Target &amp; Team Lists'!$N$5:$N$60,(E504&amp;" "&amp;F504))))&gt;0,SUMPRODUCT(('Target &amp; Team Lists'!$O$5:$O$60&lt;&gt;"")*ISNUMBER(SEARCH('Target &amp; Team Lists'!$O$5:$O$60,(E504&amp;" "&amp;F504))))=0),"Yes","No"))))</f>
        <v/>
      </c>
      <c r="Q504" s="32"/>
    </row>
    <row r="505" customFormat="false" ht="15" hidden="false" customHeight="false" outlineLevel="0" collapsed="false">
      <c r="A505" s="30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3" t="str">
        <f aca="false">IF(D505="","",IF(SUM(I505:L505)&gt;0,1,0))</f>
        <v/>
      </c>
      <c r="O505" s="34" t="str">
        <f aca="false">IF(D505="","",IF(OR(COUNTIF('Target &amp; Team Lists'!$J$5:$J$204,D505)&gt;0,AND(H505&lt;&gt;"",COUNTIF('Target &amp; Team Lists'!$L$5:$L$204,H505)&gt;0),ISNUMBER(SEARCH("alpha nodus",(E505&amp;" "&amp;F505))),ISNUMBER(SEARCH("alphanodus",(E505&amp;" "&amp;F505)))),"Yes","No"))</f>
        <v/>
      </c>
      <c r="P505" s="34" t="str">
        <f aca="false">IF(D505="","",IF(O505="Yes","No",IF(OR(AND(F505&lt;&gt;"",COUNTIF('Target &amp; Team Lists'!$A$5:$A$504,F505)&gt;0),COUNTIF('Target &amp; Team Lists'!$E$5:$E$504,D505)&gt;0),"Yes",IF(AND(SUMPRODUCT(('Target &amp; Team Lists'!$N$5:$N$60&lt;&gt;"")*ISNUMBER(SEARCH('Target &amp; Team Lists'!$N$5:$N$60,(E505&amp;" "&amp;F505))))&gt;0,SUMPRODUCT(('Target &amp; Team Lists'!$O$5:$O$60&lt;&gt;"")*ISNUMBER(SEARCH('Target &amp; Team Lists'!$O$5:$O$60,(E505&amp;" "&amp;F505))))=0),"Yes","No"))))</f>
        <v/>
      </c>
      <c r="Q505" s="32"/>
    </row>
    <row r="506" customFormat="false" ht="15" hidden="false" customHeight="false" outlineLevel="0" collapsed="false">
      <c r="A506" s="30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3" t="str">
        <f aca="false">IF(D506="","",IF(SUM(I506:L506)&gt;0,1,0))</f>
        <v/>
      </c>
      <c r="O506" s="34" t="str">
        <f aca="false">IF(D506="","",IF(OR(COUNTIF('Target &amp; Team Lists'!$J$5:$J$204,D506)&gt;0,AND(H506&lt;&gt;"",COUNTIF('Target &amp; Team Lists'!$L$5:$L$204,H506)&gt;0),ISNUMBER(SEARCH("alpha nodus",(E506&amp;" "&amp;F506))),ISNUMBER(SEARCH("alphanodus",(E506&amp;" "&amp;F506)))),"Yes","No"))</f>
        <v/>
      </c>
      <c r="P506" s="34" t="str">
        <f aca="false">IF(D506="","",IF(O506="Yes","No",IF(OR(AND(F506&lt;&gt;"",COUNTIF('Target &amp; Team Lists'!$A$5:$A$504,F506)&gt;0),COUNTIF('Target &amp; Team Lists'!$E$5:$E$504,D506)&gt;0),"Yes",IF(AND(SUMPRODUCT(('Target &amp; Team Lists'!$N$5:$N$60&lt;&gt;"")*ISNUMBER(SEARCH('Target &amp; Team Lists'!$N$5:$N$60,(E506&amp;" "&amp;F506))))&gt;0,SUMPRODUCT(('Target &amp; Team Lists'!$O$5:$O$60&lt;&gt;"")*ISNUMBER(SEARCH('Target &amp; Team Lists'!$O$5:$O$60,(E506&amp;" "&amp;F506))))=0),"Yes","No"))))</f>
        <v/>
      </c>
      <c r="Q506" s="32"/>
    </row>
    <row r="507" customFormat="false" ht="15" hidden="false" customHeight="false" outlineLevel="0" collapsed="false">
      <c r="A507" s="30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3" t="str">
        <f aca="false">IF(D507="","",IF(SUM(I507:L507)&gt;0,1,0))</f>
        <v/>
      </c>
      <c r="O507" s="34" t="str">
        <f aca="false">IF(D507="","",IF(OR(COUNTIF('Target &amp; Team Lists'!$J$5:$J$204,D507)&gt;0,AND(H507&lt;&gt;"",COUNTIF('Target &amp; Team Lists'!$L$5:$L$204,H507)&gt;0),ISNUMBER(SEARCH("alpha nodus",(E507&amp;" "&amp;F507))),ISNUMBER(SEARCH("alphanodus",(E507&amp;" "&amp;F507)))),"Yes","No"))</f>
        <v/>
      </c>
      <c r="P507" s="34" t="str">
        <f aca="false">IF(D507="","",IF(O507="Yes","No",IF(OR(AND(F507&lt;&gt;"",COUNTIF('Target &amp; Team Lists'!$A$5:$A$504,F507)&gt;0),COUNTIF('Target &amp; Team Lists'!$E$5:$E$504,D507)&gt;0),"Yes",IF(AND(SUMPRODUCT(('Target &amp; Team Lists'!$N$5:$N$60&lt;&gt;"")*ISNUMBER(SEARCH('Target &amp; Team Lists'!$N$5:$N$60,(E507&amp;" "&amp;F507))))&gt;0,SUMPRODUCT(('Target &amp; Team Lists'!$O$5:$O$60&lt;&gt;"")*ISNUMBER(SEARCH('Target &amp; Team Lists'!$O$5:$O$60,(E507&amp;" "&amp;F507))))=0),"Yes","No"))))</f>
        <v/>
      </c>
      <c r="Q507" s="32"/>
    </row>
    <row r="508" customFormat="false" ht="15" hidden="false" customHeight="false" outlineLevel="0" collapsed="false">
      <c r="A508" s="30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3" t="str">
        <f aca="false">IF(D508="","",IF(SUM(I508:L508)&gt;0,1,0))</f>
        <v/>
      </c>
      <c r="O508" s="34" t="str">
        <f aca="false">IF(D508="","",IF(OR(COUNTIF('Target &amp; Team Lists'!$J$5:$J$204,D508)&gt;0,AND(H508&lt;&gt;"",COUNTIF('Target &amp; Team Lists'!$L$5:$L$204,H508)&gt;0),ISNUMBER(SEARCH("alpha nodus",(E508&amp;" "&amp;F508))),ISNUMBER(SEARCH("alphanodus",(E508&amp;" "&amp;F508)))),"Yes","No"))</f>
        <v/>
      </c>
      <c r="P508" s="34" t="str">
        <f aca="false">IF(D508="","",IF(O508="Yes","No",IF(OR(AND(F508&lt;&gt;"",COUNTIF('Target &amp; Team Lists'!$A$5:$A$504,F508)&gt;0),COUNTIF('Target &amp; Team Lists'!$E$5:$E$504,D508)&gt;0),"Yes",IF(AND(SUMPRODUCT(('Target &amp; Team Lists'!$N$5:$N$60&lt;&gt;"")*ISNUMBER(SEARCH('Target &amp; Team Lists'!$N$5:$N$60,(E508&amp;" "&amp;F508))))&gt;0,SUMPRODUCT(('Target &amp; Team Lists'!$O$5:$O$60&lt;&gt;"")*ISNUMBER(SEARCH('Target &amp; Team Lists'!$O$5:$O$60,(E508&amp;" "&amp;F508))))=0),"Yes","No"))))</f>
        <v/>
      </c>
      <c r="Q508" s="32"/>
    </row>
    <row r="509" customFormat="false" ht="15" hidden="false" customHeight="false" outlineLevel="0" collapsed="false">
      <c r="A509" s="30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3" t="str">
        <f aca="false">IF(D509="","",IF(SUM(I509:L509)&gt;0,1,0))</f>
        <v/>
      </c>
      <c r="O509" s="34" t="str">
        <f aca="false">IF(D509="","",IF(OR(COUNTIF('Target &amp; Team Lists'!$J$5:$J$204,D509)&gt;0,AND(H509&lt;&gt;"",COUNTIF('Target &amp; Team Lists'!$L$5:$L$204,H509)&gt;0),ISNUMBER(SEARCH("alpha nodus",(E509&amp;" "&amp;F509))),ISNUMBER(SEARCH("alphanodus",(E509&amp;" "&amp;F509)))),"Yes","No"))</f>
        <v/>
      </c>
      <c r="P509" s="34" t="str">
        <f aca="false">IF(D509="","",IF(O509="Yes","No",IF(OR(AND(F509&lt;&gt;"",COUNTIF('Target &amp; Team Lists'!$A$5:$A$504,F509)&gt;0),COUNTIF('Target &amp; Team Lists'!$E$5:$E$504,D509)&gt;0),"Yes",IF(AND(SUMPRODUCT(('Target &amp; Team Lists'!$N$5:$N$60&lt;&gt;"")*ISNUMBER(SEARCH('Target &amp; Team Lists'!$N$5:$N$60,(E509&amp;" "&amp;F509))))&gt;0,SUMPRODUCT(('Target &amp; Team Lists'!$O$5:$O$60&lt;&gt;"")*ISNUMBER(SEARCH('Target &amp; Team Lists'!$O$5:$O$60,(E509&amp;" "&amp;F509))))=0),"Yes","No"))))</f>
        <v/>
      </c>
      <c r="Q509" s="32"/>
    </row>
    <row r="510" customFormat="false" ht="15" hidden="false" customHeight="false" outlineLevel="0" collapsed="false">
      <c r="A510" s="30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3" t="str">
        <f aca="false">IF(D510="","",IF(SUM(I510:L510)&gt;0,1,0))</f>
        <v/>
      </c>
      <c r="O510" s="34" t="str">
        <f aca="false">IF(D510="","",IF(OR(COUNTIF('Target &amp; Team Lists'!$J$5:$J$204,D510)&gt;0,AND(H510&lt;&gt;"",COUNTIF('Target &amp; Team Lists'!$L$5:$L$204,H510)&gt;0),ISNUMBER(SEARCH("alpha nodus",(E510&amp;" "&amp;F510))),ISNUMBER(SEARCH("alphanodus",(E510&amp;" "&amp;F510)))),"Yes","No"))</f>
        <v/>
      </c>
      <c r="P510" s="34" t="str">
        <f aca="false">IF(D510="","",IF(O510="Yes","No",IF(OR(AND(F510&lt;&gt;"",COUNTIF('Target &amp; Team Lists'!$A$5:$A$504,F510)&gt;0),COUNTIF('Target &amp; Team Lists'!$E$5:$E$504,D510)&gt;0),"Yes",IF(AND(SUMPRODUCT(('Target &amp; Team Lists'!$N$5:$N$60&lt;&gt;"")*ISNUMBER(SEARCH('Target &amp; Team Lists'!$N$5:$N$60,(E510&amp;" "&amp;F510))))&gt;0,SUMPRODUCT(('Target &amp; Team Lists'!$O$5:$O$60&lt;&gt;"")*ISNUMBER(SEARCH('Target &amp; Team Lists'!$O$5:$O$60,(E510&amp;" "&amp;F510))))=0),"Yes","No"))))</f>
        <v/>
      </c>
      <c r="Q510" s="32"/>
    </row>
    <row r="511" customFormat="false" ht="15" hidden="false" customHeight="false" outlineLevel="0" collapsed="false">
      <c r="A511" s="30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3" t="str">
        <f aca="false">IF(D511="","",IF(SUM(I511:L511)&gt;0,1,0))</f>
        <v/>
      </c>
      <c r="O511" s="34" t="str">
        <f aca="false">IF(D511="","",IF(OR(COUNTIF('Target &amp; Team Lists'!$J$5:$J$204,D511)&gt;0,AND(H511&lt;&gt;"",COUNTIF('Target &amp; Team Lists'!$L$5:$L$204,H511)&gt;0),ISNUMBER(SEARCH("alpha nodus",(E511&amp;" "&amp;F511))),ISNUMBER(SEARCH("alphanodus",(E511&amp;" "&amp;F511)))),"Yes","No"))</f>
        <v/>
      </c>
      <c r="P511" s="34" t="str">
        <f aca="false">IF(D511="","",IF(O511="Yes","No",IF(OR(AND(F511&lt;&gt;"",COUNTIF('Target &amp; Team Lists'!$A$5:$A$504,F511)&gt;0),COUNTIF('Target &amp; Team Lists'!$E$5:$E$504,D511)&gt;0),"Yes",IF(AND(SUMPRODUCT(('Target &amp; Team Lists'!$N$5:$N$60&lt;&gt;"")*ISNUMBER(SEARCH('Target &amp; Team Lists'!$N$5:$N$60,(E511&amp;" "&amp;F511))))&gt;0,SUMPRODUCT(('Target &amp; Team Lists'!$O$5:$O$60&lt;&gt;"")*ISNUMBER(SEARCH('Target &amp; Team Lists'!$O$5:$O$60,(E511&amp;" "&amp;F511))))=0),"Yes","No"))))</f>
        <v/>
      </c>
      <c r="Q511" s="32"/>
    </row>
    <row r="512" customFormat="false" ht="15" hidden="false" customHeight="false" outlineLevel="0" collapsed="false">
      <c r="A512" s="30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3" t="str">
        <f aca="false">IF(D512="","",IF(SUM(I512:L512)&gt;0,1,0))</f>
        <v/>
      </c>
      <c r="O512" s="34" t="str">
        <f aca="false">IF(D512="","",IF(OR(COUNTIF('Target &amp; Team Lists'!$J$5:$J$204,D512)&gt;0,AND(H512&lt;&gt;"",COUNTIF('Target &amp; Team Lists'!$L$5:$L$204,H512)&gt;0),ISNUMBER(SEARCH("alpha nodus",(E512&amp;" "&amp;F512))),ISNUMBER(SEARCH("alphanodus",(E512&amp;" "&amp;F512)))),"Yes","No"))</f>
        <v/>
      </c>
      <c r="P512" s="34" t="str">
        <f aca="false">IF(D512="","",IF(O512="Yes","No",IF(OR(AND(F512&lt;&gt;"",COUNTIF('Target &amp; Team Lists'!$A$5:$A$504,F512)&gt;0),COUNTIF('Target &amp; Team Lists'!$E$5:$E$504,D512)&gt;0),"Yes",IF(AND(SUMPRODUCT(('Target &amp; Team Lists'!$N$5:$N$60&lt;&gt;"")*ISNUMBER(SEARCH('Target &amp; Team Lists'!$N$5:$N$60,(E512&amp;" "&amp;F512))))&gt;0,SUMPRODUCT(('Target &amp; Team Lists'!$O$5:$O$60&lt;&gt;"")*ISNUMBER(SEARCH('Target &amp; Team Lists'!$O$5:$O$60,(E512&amp;" "&amp;F512))))=0),"Yes","No"))))</f>
        <v/>
      </c>
      <c r="Q512" s="32"/>
    </row>
    <row r="513" customFormat="false" ht="15" hidden="false" customHeight="false" outlineLevel="0" collapsed="false">
      <c r="A513" s="30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3" t="str">
        <f aca="false">IF(D513="","",IF(SUM(I513:L513)&gt;0,1,0))</f>
        <v/>
      </c>
      <c r="O513" s="34" t="str">
        <f aca="false">IF(D513="","",IF(OR(COUNTIF('Target &amp; Team Lists'!$J$5:$J$204,D513)&gt;0,AND(H513&lt;&gt;"",COUNTIF('Target &amp; Team Lists'!$L$5:$L$204,H513)&gt;0),ISNUMBER(SEARCH("alpha nodus",(E513&amp;" "&amp;F513))),ISNUMBER(SEARCH("alphanodus",(E513&amp;" "&amp;F513)))),"Yes","No"))</f>
        <v/>
      </c>
      <c r="P513" s="34" t="str">
        <f aca="false">IF(D513="","",IF(O513="Yes","No",IF(OR(AND(F513&lt;&gt;"",COUNTIF('Target &amp; Team Lists'!$A$5:$A$504,F513)&gt;0),COUNTIF('Target &amp; Team Lists'!$E$5:$E$504,D513)&gt;0),"Yes",IF(AND(SUMPRODUCT(('Target &amp; Team Lists'!$N$5:$N$60&lt;&gt;"")*ISNUMBER(SEARCH('Target &amp; Team Lists'!$N$5:$N$60,(E513&amp;" "&amp;F513))))&gt;0,SUMPRODUCT(('Target &amp; Team Lists'!$O$5:$O$60&lt;&gt;"")*ISNUMBER(SEARCH('Target &amp; Team Lists'!$O$5:$O$60,(E513&amp;" "&amp;F513))))=0),"Yes","No"))))</f>
        <v/>
      </c>
      <c r="Q513" s="32"/>
    </row>
    <row r="514" customFormat="false" ht="15" hidden="false" customHeight="false" outlineLevel="0" collapsed="false">
      <c r="A514" s="30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3" t="str">
        <f aca="false">IF(D514="","",IF(SUM(I514:L514)&gt;0,1,0))</f>
        <v/>
      </c>
      <c r="O514" s="34" t="str">
        <f aca="false">IF(D514="","",IF(OR(COUNTIF('Target &amp; Team Lists'!$J$5:$J$204,D514)&gt;0,AND(H514&lt;&gt;"",COUNTIF('Target &amp; Team Lists'!$L$5:$L$204,H514)&gt;0),ISNUMBER(SEARCH("alpha nodus",(E514&amp;" "&amp;F514))),ISNUMBER(SEARCH("alphanodus",(E514&amp;" "&amp;F514)))),"Yes","No"))</f>
        <v/>
      </c>
      <c r="P514" s="34" t="str">
        <f aca="false">IF(D514="","",IF(O514="Yes","No",IF(OR(AND(F514&lt;&gt;"",COUNTIF('Target &amp; Team Lists'!$A$5:$A$504,F514)&gt;0),COUNTIF('Target &amp; Team Lists'!$E$5:$E$504,D514)&gt;0),"Yes",IF(AND(SUMPRODUCT(('Target &amp; Team Lists'!$N$5:$N$60&lt;&gt;"")*ISNUMBER(SEARCH('Target &amp; Team Lists'!$N$5:$N$60,(E514&amp;" "&amp;F514))))&gt;0,SUMPRODUCT(('Target &amp; Team Lists'!$O$5:$O$60&lt;&gt;"")*ISNUMBER(SEARCH('Target &amp; Team Lists'!$O$5:$O$60,(E514&amp;" "&amp;F514))))=0),"Yes","No"))))</f>
        <v/>
      </c>
      <c r="Q514" s="32"/>
    </row>
    <row r="515" customFormat="false" ht="15" hidden="false" customHeight="false" outlineLevel="0" collapsed="false">
      <c r="A515" s="30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3" t="str">
        <f aca="false">IF(D515="","",IF(SUM(I515:L515)&gt;0,1,0))</f>
        <v/>
      </c>
      <c r="O515" s="34" t="str">
        <f aca="false">IF(D515="","",IF(OR(COUNTIF('Target &amp; Team Lists'!$J$5:$J$204,D515)&gt;0,AND(H515&lt;&gt;"",COUNTIF('Target &amp; Team Lists'!$L$5:$L$204,H515)&gt;0),ISNUMBER(SEARCH("alpha nodus",(E515&amp;" "&amp;F515))),ISNUMBER(SEARCH("alphanodus",(E515&amp;" "&amp;F515)))),"Yes","No"))</f>
        <v/>
      </c>
      <c r="P515" s="34" t="str">
        <f aca="false">IF(D515="","",IF(O515="Yes","No",IF(OR(AND(F515&lt;&gt;"",COUNTIF('Target &amp; Team Lists'!$A$5:$A$504,F515)&gt;0),COUNTIF('Target &amp; Team Lists'!$E$5:$E$504,D515)&gt;0),"Yes",IF(AND(SUMPRODUCT(('Target &amp; Team Lists'!$N$5:$N$60&lt;&gt;"")*ISNUMBER(SEARCH('Target &amp; Team Lists'!$N$5:$N$60,(E515&amp;" "&amp;F515))))&gt;0,SUMPRODUCT(('Target &amp; Team Lists'!$O$5:$O$60&lt;&gt;"")*ISNUMBER(SEARCH('Target &amp; Team Lists'!$O$5:$O$60,(E515&amp;" "&amp;F515))))=0),"Yes","No"))))</f>
        <v/>
      </c>
      <c r="Q515" s="32"/>
    </row>
    <row r="516" customFormat="false" ht="15" hidden="false" customHeight="false" outlineLevel="0" collapsed="false">
      <c r="A516" s="30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3" t="str">
        <f aca="false">IF(D516="","",IF(SUM(I516:L516)&gt;0,1,0))</f>
        <v/>
      </c>
      <c r="O516" s="34" t="str">
        <f aca="false">IF(D516="","",IF(OR(COUNTIF('Target &amp; Team Lists'!$J$5:$J$204,D516)&gt;0,AND(H516&lt;&gt;"",COUNTIF('Target &amp; Team Lists'!$L$5:$L$204,H516)&gt;0),ISNUMBER(SEARCH("alpha nodus",(E516&amp;" "&amp;F516))),ISNUMBER(SEARCH("alphanodus",(E516&amp;" "&amp;F516)))),"Yes","No"))</f>
        <v/>
      </c>
      <c r="P516" s="34" t="str">
        <f aca="false">IF(D516="","",IF(O516="Yes","No",IF(OR(AND(F516&lt;&gt;"",COUNTIF('Target &amp; Team Lists'!$A$5:$A$504,F516)&gt;0),COUNTIF('Target &amp; Team Lists'!$E$5:$E$504,D516)&gt;0),"Yes",IF(AND(SUMPRODUCT(('Target &amp; Team Lists'!$N$5:$N$60&lt;&gt;"")*ISNUMBER(SEARCH('Target &amp; Team Lists'!$N$5:$N$60,(E516&amp;" "&amp;F516))))&gt;0,SUMPRODUCT(('Target &amp; Team Lists'!$O$5:$O$60&lt;&gt;"")*ISNUMBER(SEARCH('Target &amp; Team Lists'!$O$5:$O$60,(E516&amp;" "&amp;F516))))=0),"Yes","No"))))</f>
        <v/>
      </c>
      <c r="Q516" s="32"/>
    </row>
    <row r="517" customFormat="false" ht="15" hidden="false" customHeight="false" outlineLevel="0" collapsed="false">
      <c r="A517" s="30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3" t="str">
        <f aca="false">IF(D517="","",IF(SUM(I517:L517)&gt;0,1,0))</f>
        <v/>
      </c>
      <c r="O517" s="34" t="str">
        <f aca="false">IF(D517="","",IF(OR(COUNTIF('Target &amp; Team Lists'!$J$5:$J$204,D517)&gt;0,AND(H517&lt;&gt;"",COUNTIF('Target &amp; Team Lists'!$L$5:$L$204,H517)&gt;0),ISNUMBER(SEARCH("alpha nodus",(E517&amp;" "&amp;F517))),ISNUMBER(SEARCH("alphanodus",(E517&amp;" "&amp;F517)))),"Yes","No"))</f>
        <v/>
      </c>
      <c r="P517" s="34" t="str">
        <f aca="false">IF(D517="","",IF(O517="Yes","No",IF(OR(AND(F517&lt;&gt;"",COUNTIF('Target &amp; Team Lists'!$A$5:$A$504,F517)&gt;0),COUNTIF('Target &amp; Team Lists'!$E$5:$E$504,D517)&gt;0),"Yes",IF(AND(SUMPRODUCT(('Target &amp; Team Lists'!$N$5:$N$60&lt;&gt;"")*ISNUMBER(SEARCH('Target &amp; Team Lists'!$N$5:$N$60,(E517&amp;" "&amp;F517))))&gt;0,SUMPRODUCT(('Target &amp; Team Lists'!$O$5:$O$60&lt;&gt;"")*ISNUMBER(SEARCH('Target &amp; Team Lists'!$O$5:$O$60,(E517&amp;" "&amp;F517))))=0),"Yes","No"))))</f>
        <v/>
      </c>
      <c r="Q517" s="32"/>
    </row>
    <row r="518" customFormat="false" ht="15" hidden="false" customHeight="false" outlineLevel="0" collapsed="false">
      <c r="A518" s="30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3" t="str">
        <f aca="false">IF(D518="","",IF(SUM(I518:L518)&gt;0,1,0))</f>
        <v/>
      </c>
      <c r="O518" s="34" t="str">
        <f aca="false">IF(D518="","",IF(OR(COUNTIF('Target &amp; Team Lists'!$J$5:$J$204,D518)&gt;0,AND(H518&lt;&gt;"",COUNTIF('Target &amp; Team Lists'!$L$5:$L$204,H518)&gt;0),ISNUMBER(SEARCH("alpha nodus",(E518&amp;" "&amp;F518))),ISNUMBER(SEARCH("alphanodus",(E518&amp;" "&amp;F518)))),"Yes","No"))</f>
        <v/>
      </c>
      <c r="P518" s="34" t="str">
        <f aca="false">IF(D518="","",IF(O518="Yes","No",IF(OR(AND(F518&lt;&gt;"",COUNTIF('Target &amp; Team Lists'!$A$5:$A$504,F518)&gt;0),COUNTIF('Target &amp; Team Lists'!$E$5:$E$504,D518)&gt;0),"Yes",IF(AND(SUMPRODUCT(('Target &amp; Team Lists'!$N$5:$N$60&lt;&gt;"")*ISNUMBER(SEARCH('Target &amp; Team Lists'!$N$5:$N$60,(E518&amp;" "&amp;F518))))&gt;0,SUMPRODUCT(('Target &amp; Team Lists'!$O$5:$O$60&lt;&gt;"")*ISNUMBER(SEARCH('Target &amp; Team Lists'!$O$5:$O$60,(E518&amp;" "&amp;F518))))=0),"Yes","No"))))</f>
        <v/>
      </c>
      <c r="Q518" s="32"/>
    </row>
    <row r="519" customFormat="false" ht="15" hidden="false" customHeight="false" outlineLevel="0" collapsed="false">
      <c r="A519" s="30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3" t="str">
        <f aca="false">IF(D519="","",IF(SUM(I519:L519)&gt;0,1,0))</f>
        <v/>
      </c>
      <c r="O519" s="34" t="str">
        <f aca="false">IF(D519="","",IF(OR(COUNTIF('Target &amp; Team Lists'!$J$5:$J$204,D519)&gt;0,AND(H519&lt;&gt;"",COUNTIF('Target &amp; Team Lists'!$L$5:$L$204,H519)&gt;0),ISNUMBER(SEARCH("alpha nodus",(E519&amp;" "&amp;F519))),ISNUMBER(SEARCH("alphanodus",(E519&amp;" "&amp;F519)))),"Yes","No"))</f>
        <v/>
      </c>
      <c r="P519" s="34" t="str">
        <f aca="false">IF(D519="","",IF(O519="Yes","No",IF(OR(AND(F519&lt;&gt;"",COUNTIF('Target &amp; Team Lists'!$A$5:$A$504,F519)&gt;0),COUNTIF('Target &amp; Team Lists'!$E$5:$E$504,D519)&gt;0),"Yes",IF(AND(SUMPRODUCT(('Target &amp; Team Lists'!$N$5:$N$60&lt;&gt;"")*ISNUMBER(SEARCH('Target &amp; Team Lists'!$N$5:$N$60,(E519&amp;" "&amp;F519))))&gt;0,SUMPRODUCT(('Target &amp; Team Lists'!$O$5:$O$60&lt;&gt;"")*ISNUMBER(SEARCH('Target &amp; Team Lists'!$O$5:$O$60,(E519&amp;" "&amp;F519))))=0),"Yes","No"))))</f>
        <v/>
      </c>
      <c r="Q519" s="32"/>
    </row>
    <row r="520" customFormat="false" ht="15" hidden="false" customHeight="false" outlineLevel="0" collapsed="false">
      <c r="A520" s="30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3" t="str">
        <f aca="false">IF(D520="","",IF(SUM(I520:L520)&gt;0,1,0))</f>
        <v/>
      </c>
      <c r="O520" s="34" t="str">
        <f aca="false">IF(D520="","",IF(OR(COUNTIF('Target &amp; Team Lists'!$J$5:$J$204,D520)&gt;0,AND(H520&lt;&gt;"",COUNTIF('Target &amp; Team Lists'!$L$5:$L$204,H520)&gt;0),ISNUMBER(SEARCH("alpha nodus",(E520&amp;" "&amp;F520))),ISNUMBER(SEARCH("alphanodus",(E520&amp;" "&amp;F520)))),"Yes","No"))</f>
        <v/>
      </c>
      <c r="P520" s="34" t="str">
        <f aca="false">IF(D520="","",IF(O520="Yes","No",IF(OR(AND(F520&lt;&gt;"",COUNTIF('Target &amp; Team Lists'!$A$5:$A$504,F520)&gt;0),COUNTIF('Target &amp; Team Lists'!$E$5:$E$504,D520)&gt;0),"Yes",IF(AND(SUMPRODUCT(('Target &amp; Team Lists'!$N$5:$N$60&lt;&gt;"")*ISNUMBER(SEARCH('Target &amp; Team Lists'!$N$5:$N$60,(E520&amp;" "&amp;F520))))&gt;0,SUMPRODUCT(('Target &amp; Team Lists'!$O$5:$O$60&lt;&gt;"")*ISNUMBER(SEARCH('Target &amp; Team Lists'!$O$5:$O$60,(E520&amp;" "&amp;F520))))=0),"Yes","No"))))</f>
        <v/>
      </c>
      <c r="Q520" s="32"/>
    </row>
    <row r="521" customFormat="false" ht="15" hidden="false" customHeight="false" outlineLevel="0" collapsed="false">
      <c r="A521" s="30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3" t="str">
        <f aca="false">IF(D521="","",IF(SUM(I521:L521)&gt;0,1,0))</f>
        <v/>
      </c>
      <c r="O521" s="34" t="str">
        <f aca="false">IF(D521="","",IF(OR(COUNTIF('Target &amp; Team Lists'!$J$5:$J$204,D521)&gt;0,AND(H521&lt;&gt;"",COUNTIF('Target &amp; Team Lists'!$L$5:$L$204,H521)&gt;0),ISNUMBER(SEARCH("alpha nodus",(E521&amp;" "&amp;F521))),ISNUMBER(SEARCH("alphanodus",(E521&amp;" "&amp;F521)))),"Yes","No"))</f>
        <v/>
      </c>
      <c r="P521" s="34" t="str">
        <f aca="false">IF(D521="","",IF(O521="Yes","No",IF(OR(AND(F521&lt;&gt;"",COUNTIF('Target &amp; Team Lists'!$A$5:$A$504,F521)&gt;0),COUNTIF('Target &amp; Team Lists'!$E$5:$E$504,D521)&gt;0),"Yes",IF(AND(SUMPRODUCT(('Target &amp; Team Lists'!$N$5:$N$60&lt;&gt;"")*ISNUMBER(SEARCH('Target &amp; Team Lists'!$N$5:$N$60,(E521&amp;" "&amp;F521))))&gt;0,SUMPRODUCT(('Target &amp; Team Lists'!$O$5:$O$60&lt;&gt;"")*ISNUMBER(SEARCH('Target &amp; Team Lists'!$O$5:$O$60,(E521&amp;" "&amp;F521))))=0),"Yes","No"))))</f>
        <v/>
      </c>
      <c r="Q521" s="32"/>
    </row>
    <row r="522" customFormat="false" ht="15" hidden="false" customHeight="false" outlineLevel="0" collapsed="false">
      <c r="A522" s="30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3" t="str">
        <f aca="false">IF(D522="","",IF(SUM(I522:L522)&gt;0,1,0))</f>
        <v/>
      </c>
      <c r="O522" s="34" t="str">
        <f aca="false">IF(D522="","",IF(OR(COUNTIF('Target &amp; Team Lists'!$J$5:$J$204,D522)&gt;0,AND(H522&lt;&gt;"",COUNTIF('Target &amp; Team Lists'!$L$5:$L$204,H522)&gt;0),ISNUMBER(SEARCH("alpha nodus",(E522&amp;" "&amp;F522))),ISNUMBER(SEARCH("alphanodus",(E522&amp;" "&amp;F522)))),"Yes","No"))</f>
        <v/>
      </c>
      <c r="P522" s="34" t="str">
        <f aca="false">IF(D522="","",IF(O522="Yes","No",IF(OR(AND(F522&lt;&gt;"",COUNTIF('Target &amp; Team Lists'!$A$5:$A$504,F522)&gt;0),COUNTIF('Target &amp; Team Lists'!$E$5:$E$504,D522)&gt;0),"Yes",IF(AND(SUMPRODUCT(('Target &amp; Team Lists'!$N$5:$N$60&lt;&gt;"")*ISNUMBER(SEARCH('Target &amp; Team Lists'!$N$5:$N$60,(E522&amp;" "&amp;F522))))&gt;0,SUMPRODUCT(('Target &amp; Team Lists'!$O$5:$O$60&lt;&gt;"")*ISNUMBER(SEARCH('Target &amp; Team Lists'!$O$5:$O$60,(E522&amp;" "&amp;F522))))=0),"Yes","No"))))</f>
        <v/>
      </c>
      <c r="Q522" s="32"/>
    </row>
    <row r="523" customFormat="false" ht="15" hidden="false" customHeight="false" outlineLevel="0" collapsed="false">
      <c r="A523" s="30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3" t="str">
        <f aca="false">IF(D523="","",IF(SUM(I523:L523)&gt;0,1,0))</f>
        <v/>
      </c>
      <c r="O523" s="34" t="str">
        <f aca="false">IF(D523="","",IF(OR(COUNTIF('Target &amp; Team Lists'!$J$5:$J$204,D523)&gt;0,AND(H523&lt;&gt;"",COUNTIF('Target &amp; Team Lists'!$L$5:$L$204,H523)&gt;0),ISNUMBER(SEARCH("alpha nodus",(E523&amp;" "&amp;F523))),ISNUMBER(SEARCH("alphanodus",(E523&amp;" "&amp;F523)))),"Yes","No"))</f>
        <v/>
      </c>
      <c r="P523" s="34" t="str">
        <f aca="false">IF(D523="","",IF(O523="Yes","No",IF(OR(AND(F523&lt;&gt;"",COUNTIF('Target &amp; Team Lists'!$A$5:$A$504,F523)&gt;0),COUNTIF('Target &amp; Team Lists'!$E$5:$E$504,D523)&gt;0),"Yes",IF(AND(SUMPRODUCT(('Target &amp; Team Lists'!$N$5:$N$60&lt;&gt;"")*ISNUMBER(SEARCH('Target &amp; Team Lists'!$N$5:$N$60,(E523&amp;" "&amp;F523))))&gt;0,SUMPRODUCT(('Target &amp; Team Lists'!$O$5:$O$60&lt;&gt;"")*ISNUMBER(SEARCH('Target &amp; Team Lists'!$O$5:$O$60,(E523&amp;" "&amp;F523))))=0),"Yes","No"))))</f>
        <v/>
      </c>
      <c r="Q523" s="32"/>
    </row>
    <row r="524" customFormat="false" ht="15" hidden="false" customHeight="false" outlineLevel="0" collapsed="false">
      <c r="A524" s="30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3" t="str">
        <f aca="false">IF(D524="","",IF(SUM(I524:L524)&gt;0,1,0))</f>
        <v/>
      </c>
      <c r="O524" s="34" t="str">
        <f aca="false">IF(D524="","",IF(OR(COUNTIF('Target &amp; Team Lists'!$J$5:$J$204,D524)&gt;0,AND(H524&lt;&gt;"",COUNTIF('Target &amp; Team Lists'!$L$5:$L$204,H524)&gt;0),ISNUMBER(SEARCH("alpha nodus",(E524&amp;" "&amp;F524))),ISNUMBER(SEARCH("alphanodus",(E524&amp;" "&amp;F524)))),"Yes","No"))</f>
        <v/>
      </c>
      <c r="P524" s="34" t="str">
        <f aca="false">IF(D524="","",IF(O524="Yes","No",IF(OR(AND(F524&lt;&gt;"",COUNTIF('Target &amp; Team Lists'!$A$5:$A$504,F524)&gt;0),COUNTIF('Target &amp; Team Lists'!$E$5:$E$504,D524)&gt;0),"Yes",IF(AND(SUMPRODUCT(('Target &amp; Team Lists'!$N$5:$N$60&lt;&gt;"")*ISNUMBER(SEARCH('Target &amp; Team Lists'!$N$5:$N$60,(E524&amp;" "&amp;F524))))&gt;0,SUMPRODUCT(('Target &amp; Team Lists'!$O$5:$O$60&lt;&gt;"")*ISNUMBER(SEARCH('Target &amp; Team Lists'!$O$5:$O$60,(E524&amp;" "&amp;F524))))=0),"Yes","No"))))</f>
        <v/>
      </c>
      <c r="Q524" s="32"/>
    </row>
    <row r="525" customFormat="false" ht="15" hidden="false" customHeight="false" outlineLevel="0" collapsed="false">
      <c r="A525" s="30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3" t="str">
        <f aca="false">IF(D525="","",IF(SUM(I525:L525)&gt;0,1,0))</f>
        <v/>
      </c>
      <c r="O525" s="34" t="str">
        <f aca="false">IF(D525="","",IF(OR(COUNTIF('Target &amp; Team Lists'!$J$5:$J$204,D525)&gt;0,AND(H525&lt;&gt;"",COUNTIF('Target &amp; Team Lists'!$L$5:$L$204,H525)&gt;0),ISNUMBER(SEARCH("alpha nodus",(E525&amp;" "&amp;F525))),ISNUMBER(SEARCH("alphanodus",(E525&amp;" "&amp;F525)))),"Yes","No"))</f>
        <v/>
      </c>
      <c r="P525" s="34" t="str">
        <f aca="false">IF(D525="","",IF(O525="Yes","No",IF(OR(AND(F525&lt;&gt;"",COUNTIF('Target &amp; Team Lists'!$A$5:$A$504,F525)&gt;0),COUNTIF('Target &amp; Team Lists'!$E$5:$E$504,D525)&gt;0),"Yes",IF(AND(SUMPRODUCT(('Target &amp; Team Lists'!$N$5:$N$60&lt;&gt;"")*ISNUMBER(SEARCH('Target &amp; Team Lists'!$N$5:$N$60,(E525&amp;" "&amp;F525))))&gt;0,SUMPRODUCT(('Target &amp; Team Lists'!$O$5:$O$60&lt;&gt;"")*ISNUMBER(SEARCH('Target &amp; Team Lists'!$O$5:$O$60,(E525&amp;" "&amp;F525))))=0),"Yes","No"))))</f>
        <v/>
      </c>
      <c r="Q525" s="32"/>
    </row>
    <row r="526" customFormat="false" ht="15" hidden="false" customHeight="false" outlineLevel="0" collapsed="false">
      <c r="A526" s="30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3" t="str">
        <f aca="false">IF(D526="","",IF(SUM(I526:L526)&gt;0,1,0))</f>
        <v/>
      </c>
      <c r="O526" s="34" t="str">
        <f aca="false">IF(D526="","",IF(OR(COUNTIF('Target &amp; Team Lists'!$J$5:$J$204,D526)&gt;0,AND(H526&lt;&gt;"",COUNTIF('Target &amp; Team Lists'!$L$5:$L$204,H526)&gt;0),ISNUMBER(SEARCH("alpha nodus",(E526&amp;" "&amp;F526))),ISNUMBER(SEARCH("alphanodus",(E526&amp;" "&amp;F526)))),"Yes","No"))</f>
        <v/>
      </c>
      <c r="P526" s="34" t="str">
        <f aca="false">IF(D526="","",IF(O526="Yes","No",IF(OR(AND(F526&lt;&gt;"",COUNTIF('Target &amp; Team Lists'!$A$5:$A$504,F526)&gt;0),COUNTIF('Target &amp; Team Lists'!$E$5:$E$504,D526)&gt;0),"Yes",IF(AND(SUMPRODUCT(('Target &amp; Team Lists'!$N$5:$N$60&lt;&gt;"")*ISNUMBER(SEARCH('Target &amp; Team Lists'!$N$5:$N$60,(E526&amp;" "&amp;F526))))&gt;0,SUMPRODUCT(('Target &amp; Team Lists'!$O$5:$O$60&lt;&gt;"")*ISNUMBER(SEARCH('Target &amp; Team Lists'!$O$5:$O$60,(E526&amp;" "&amp;F526))))=0),"Yes","No"))))</f>
        <v/>
      </c>
      <c r="Q526" s="32"/>
    </row>
    <row r="527" customFormat="false" ht="15" hidden="false" customHeight="false" outlineLevel="0" collapsed="false">
      <c r="A527" s="30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3" t="str">
        <f aca="false">IF(D527="","",IF(SUM(I527:L527)&gt;0,1,0))</f>
        <v/>
      </c>
      <c r="O527" s="34" t="str">
        <f aca="false">IF(D527="","",IF(OR(COUNTIF('Target &amp; Team Lists'!$J$5:$J$204,D527)&gt;0,AND(H527&lt;&gt;"",COUNTIF('Target &amp; Team Lists'!$L$5:$L$204,H527)&gt;0),ISNUMBER(SEARCH("alpha nodus",(E527&amp;" "&amp;F527))),ISNUMBER(SEARCH("alphanodus",(E527&amp;" "&amp;F527)))),"Yes","No"))</f>
        <v/>
      </c>
      <c r="P527" s="34" t="str">
        <f aca="false">IF(D527="","",IF(O527="Yes","No",IF(OR(AND(F527&lt;&gt;"",COUNTIF('Target &amp; Team Lists'!$A$5:$A$504,F527)&gt;0),COUNTIF('Target &amp; Team Lists'!$E$5:$E$504,D527)&gt;0),"Yes",IF(AND(SUMPRODUCT(('Target &amp; Team Lists'!$N$5:$N$60&lt;&gt;"")*ISNUMBER(SEARCH('Target &amp; Team Lists'!$N$5:$N$60,(E527&amp;" "&amp;F527))))&gt;0,SUMPRODUCT(('Target &amp; Team Lists'!$O$5:$O$60&lt;&gt;"")*ISNUMBER(SEARCH('Target &amp; Team Lists'!$O$5:$O$60,(E527&amp;" "&amp;F527))))=0),"Yes","No"))))</f>
        <v/>
      </c>
      <c r="Q527" s="32"/>
    </row>
    <row r="528" customFormat="false" ht="15" hidden="false" customHeight="false" outlineLevel="0" collapsed="false">
      <c r="A528" s="30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3" t="str">
        <f aca="false">IF(D528="","",IF(SUM(I528:L528)&gt;0,1,0))</f>
        <v/>
      </c>
      <c r="O528" s="34" t="str">
        <f aca="false">IF(D528="","",IF(OR(COUNTIF('Target &amp; Team Lists'!$J$5:$J$204,D528)&gt;0,AND(H528&lt;&gt;"",COUNTIF('Target &amp; Team Lists'!$L$5:$L$204,H528)&gt;0),ISNUMBER(SEARCH("alpha nodus",(E528&amp;" "&amp;F528))),ISNUMBER(SEARCH("alphanodus",(E528&amp;" "&amp;F528)))),"Yes","No"))</f>
        <v/>
      </c>
      <c r="P528" s="34" t="str">
        <f aca="false">IF(D528="","",IF(O528="Yes","No",IF(OR(AND(F528&lt;&gt;"",COUNTIF('Target &amp; Team Lists'!$A$5:$A$504,F528)&gt;0),COUNTIF('Target &amp; Team Lists'!$E$5:$E$504,D528)&gt;0),"Yes",IF(AND(SUMPRODUCT(('Target &amp; Team Lists'!$N$5:$N$60&lt;&gt;"")*ISNUMBER(SEARCH('Target &amp; Team Lists'!$N$5:$N$60,(E528&amp;" "&amp;F528))))&gt;0,SUMPRODUCT(('Target &amp; Team Lists'!$O$5:$O$60&lt;&gt;"")*ISNUMBER(SEARCH('Target &amp; Team Lists'!$O$5:$O$60,(E528&amp;" "&amp;F528))))=0),"Yes","No"))))</f>
        <v/>
      </c>
      <c r="Q528" s="32"/>
    </row>
    <row r="529" customFormat="false" ht="15" hidden="false" customHeight="false" outlineLevel="0" collapsed="false">
      <c r="A529" s="30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3" t="str">
        <f aca="false">IF(D529="","",IF(SUM(I529:L529)&gt;0,1,0))</f>
        <v/>
      </c>
      <c r="O529" s="34" t="str">
        <f aca="false">IF(D529="","",IF(OR(COUNTIF('Target &amp; Team Lists'!$J$5:$J$204,D529)&gt;0,AND(H529&lt;&gt;"",COUNTIF('Target &amp; Team Lists'!$L$5:$L$204,H529)&gt;0),ISNUMBER(SEARCH("alpha nodus",(E529&amp;" "&amp;F529))),ISNUMBER(SEARCH("alphanodus",(E529&amp;" "&amp;F529)))),"Yes","No"))</f>
        <v/>
      </c>
      <c r="P529" s="34" t="str">
        <f aca="false">IF(D529="","",IF(O529="Yes","No",IF(OR(AND(F529&lt;&gt;"",COUNTIF('Target &amp; Team Lists'!$A$5:$A$504,F529)&gt;0),COUNTIF('Target &amp; Team Lists'!$E$5:$E$504,D529)&gt;0),"Yes",IF(AND(SUMPRODUCT(('Target &amp; Team Lists'!$N$5:$N$60&lt;&gt;"")*ISNUMBER(SEARCH('Target &amp; Team Lists'!$N$5:$N$60,(E529&amp;" "&amp;F529))))&gt;0,SUMPRODUCT(('Target &amp; Team Lists'!$O$5:$O$60&lt;&gt;"")*ISNUMBER(SEARCH('Target &amp; Team Lists'!$O$5:$O$60,(E529&amp;" "&amp;F529))))=0),"Yes","No"))))</f>
        <v/>
      </c>
      <c r="Q529" s="32"/>
    </row>
    <row r="530" customFormat="false" ht="15" hidden="false" customHeight="false" outlineLevel="0" collapsed="false">
      <c r="A530" s="30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3" t="str">
        <f aca="false">IF(D530="","",IF(SUM(I530:L530)&gt;0,1,0))</f>
        <v/>
      </c>
      <c r="O530" s="34" t="str">
        <f aca="false">IF(D530="","",IF(OR(COUNTIF('Target &amp; Team Lists'!$J$5:$J$204,D530)&gt;0,AND(H530&lt;&gt;"",COUNTIF('Target &amp; Team Lists'!$L$5:$L$204,H530)&gt;0),ISNUMBER(SEARCH("alpha nodus",(E530&amp;" "&amp;F530))),ISNUMBER(SEARCH("alphanodus",(E530&amp;" "&amp;F530)))),"Yes","No"))</f>
        <v/>
      </c>
      <c r="P530" s="34" t="str">
        <f aca="false">IF(D530="","",IF(O530="Yes","No",IF(OR(AND(F530&lt;&gt;"",COUNTIF('Target &amp; Team Lists'!$A$5:$A$504,F530)&gt;0),COUNTIF('Target &amp; Team Lists'!$E$5:$E$504,D530)&gt;0),"Yes",IF(AND(SUMPRODUCT(('Target &amp; Team Lists'!$N$5:$N$60&lt;&gt;"")*ISNUMBER(SEARCH('Target &amp; Team Lists'!$N$5:$N$60,(E530&amp;" "&amp;F530))))&gt;0,SUMPRODUCT(('Target &amp; Team Lists'!$O$5:$O$60&lt;&gt;"")*ISNUMBER(SEARCH('Target &amp; Team Lists'!$O$5:$O$60,(E530&amp;" "&amp;F530))))=0),"Yes","No"))))</f>
        <v/>
      </c>
      <c r="Q530" s="32"/>
    </row>
    <row r="531" customFormat="false" ht="15" hidden="false" customHeight="false" outlineLevel="0" collapsed="false">
      <c r="A531" s="30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3" t="str">
        <f aca="false">IF(D531="","",IF(SUM(I531:L531)&gt;0,1,0))</f>
        <v/>
      </c>
      <c r="O531" s="34" t="str">
        <f aca="false">IF(D531="","",IF(OR(COUNTIF('Target &amp; Team Lists'!$J$5:$J$204,D531)&gt;0,AND(H531&lt;&gt;"",COUNTIF('Target &amp; Team Lists'!$L$5:$L$204,H531)&gt;0),ISNUMBER(SEARCH("alpha nodus",(E531&amp;" "&amp;F531))),ISNUMBER(SEARCH("alphanodus",(E531&amp;" "&amp;F531)))),"Yes","No"))</f>
        <v/>
      </c>
      <c r="P531" s="34" t="str">
        <f aca="false">IF(D531="","",IF(O531="Yes","No",IF(OR(AND(F531&lt;&gt;"",COUNTIF('Target &amp; Team Lists'!$A$5:$A$504,F531)&gt;0),COUNTIF('Target &amp; Team Lists'!$E$5:$E$504,D531)&gt;0),"Yes",IF(AND(SUMPRODUCT(('Target &amp; Team Lists'!$N$5:$N$60&lt;&gt;"")*ISNUMBER(SEARCH('Target &amp; Team Lists'!$N$5:$N$60,(E531&amp;" "&amp;F531))))&gt;0,SUMPRODUCT(('Target &amp; Team Lists'!$O$5:$O$60&lt;&gt;"")*ISNUMBER(SEARCH('Target &amp; Team Lists'!$O$5:$O$60,(E531&amp;" "&amp;F531))))=0),"Yes","No"))))</f>
        <v/>
      </c>
      <c r="Q531" s="32"/>
    </row>
    <row r="532" customFormat="false" ht="15" hidden="false" customHeight="false" outlineLevel="0" collapsed="false">
      <c r="A532" s="30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3" t="str">
        <f aca="false">IF(D532="","",IF(SUM(I532:L532)&gt;0,1,0))</f>
        <v/>
      </c>
      <c r="O532" s="34" t="str">
        <f aca="false">IF(D532="","",IF(OR(COUNTIF('Target &amp; Team Lists'!$J$5:$J$204,D532)&gt;0,AND(H532&lt;&gt;"",COUNTIF('Target &amp; Team Lists'!$L$5:$L$204,H532)&gt;0),ISNUMBER(SEARCH("alpha nodus",(E532&amp;" "&amp;F532))),ISNUMBER(SEARCH("alphanodus",(E532&amp;" "&amp;F532)))),"Yes","No"))</f>
        <v/>
      </c>
      <c r="P532" s="34" t="str">
        <f aca="false">IF(D532="","",IF(O532="Yes","No",IF(OR(AND(F532&lt;&gt;"",COUNTIF('Target &amp; Team Lists'!$A$5:$A$504,F532)&gt;0),COUNTIF('Target &amp; Team Lists'!$E$5:$E$504,D532)&gt;0),"Yes",IF(AND(SUMPRODUCT(('Target &amp; Team Lists'!$N$5:$N$60&lt;&gt;"")*ISNUMBER(SEARCH('Target &amp; Team Lists'!$N$5:$N$60,(E532&amp;" "&amp;F532))))&gt;0,SUMPRODUCT(('Target &amp; Team Lists'!$O$5:$O$60&lt;&gt;"")*ISNUMBER(SEARCH('Target &amp; Team Lists'!$O$5:$O$60,(E532&amp;" "&amp;F532))))=0),"Yes","No"))))</f>
        <v/>
      </c>
      <c r="Q532" s="32"/>
    </row>
    <row r="533" customFormat="false" ht="15" hidden="false" customHeight="false" outlineLevel="0" collapsed="false">
      <c r="A533" s="30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3" t="str">
        <f aca="false">IF(D533="","",IF(SUM(I533:L533)&gt;0,1,0))</f>
        <v/>
      </c>
      <c r="O533" s="34" t="str">
        <f aca="false">IF(D533="","",IF(OR(COUNTIF('Target &amp; Team Lists'!$J$5:$J$204,D533)&gt;0,AND(H533&lt;&gt;"",COUNTIF('Target &amp; Team Lists'!$L$5:$L$204,H533)&gt;0),ISNUMBER(SEARCH("alpha nodus",(E533&amp;" "&amp;F533))),ISNUMBER(SEARCH("alphanodus",(E533&amp;" "&amp;F533)))),"Yes","No"))</f>
        <v/>
      </c>
      <c r="P533" s="34" t="str">
        <f aca="false">IF(D533="","",IF(O533="Yes","No",IF(OR(AND(F533&lt;&gt;"",COUNTIF('Target &amp; Team Lists'!$A$5:$A$504,F533)&gt;0),COUNTIF('Target &amp; Team Lists'!$E$5:$E$504,D533)&gt;0),"Yes",IF(AND(SUMPRODUCT(('Target &amp; Team Lists'!$N$5:$N$60&lt;&gt;"")*ISNUMBER(SEARCH('Target &amp; Team Lists'!$N$5:$N$60,(E533&amp;" "&amp;F533))))&gt;0,SUMPRODUCT(('Target &amp; Team Lists'!$O$5:$O$60&lt;&gt;"")*ISNUMBER(SEARCH('Target &amp; Team Lists'!$O$5:$O$60,(E533&amp;" "&amp;F533))))=0),"Yes","No"))))</f>
        <v/>
      </c>
      <c r="Q533" s="32"/>
    </row>
    <row r="534" customFormat="false" ht="15" hidden="false" customHeight="false" outlineLevel="0" collapsed="false">
      <c r="A534" s="30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3" t="str">
        <f aca="false">IF(D534="","",IF(SUM(I534:L534)&gt;0,1,0))</f>
        <v/>
      </c>
      <c r="O534" s="34" t="str">
        <f aca="false">IF(D534="","",IF(OR(COUNTIF('Target &amp; Team Lists'!$J$5:$J$204,D534)&gt;0,AND(H534&lt;&gt;"",COUNTIF('Target &amp; Team Lists'!$L$5:$L$204,H534)&gt;0),ISNUMBER(SEARCH("alpha nodus",(E534&amp;" "&amp;F534))),ISNUMBER(SEARCH("alphanodus",(E534&amp;" "&amp;F534)))),"Yes","No"))</f>
        <v/>
      </c>
      <c r="P534" s="34" t="str">
        <f aca="false">IF(D534="","",IF(O534="Yes","No",IF(OR(AND(F534&lt;&gt;"",COUNTIF('Target &amp; Team Lists'!$A$5:$A$504,F534)&gt;0),COUNTIF('Target &amp; Team Lists'!$E$5:$E$504,D534)&gt;0),"Yes",IF(AND(SUMPRODUCT(('Target &amp; Team Lists'!$N$5:$N$60&lt;&gt;"")*ISNUMBER(SEARCH('Target &amp; Team Lists'!$N$5:$N$60,(E534&amp;" "&amp;F534))))&gt;0,SUMPRODUCT(('Target &amp; Team Lists'!$O$5:$O$60&lt;&gt;"")*ISNUMBER(SEARCH('Target &amp; Team Lists'!$O$5:$O$60,(E534&amp;" "&amp;F534))))=0),"Yes","No"))))</f>
        <v/>
      </c>
      <c r="Q534" s="32"/>
    </row>
    <row r="535" customFormat="false" ht="15" hidden="false" customHeight="false" outlineLevel="0" collapsed="false">
      <c r="A535" s="30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3" t="str">
        <f aca="false">IF(D535="","",IF(SUM(I535:L535)&gt;0,1,0))</f>
        <v/>
      </c>
      <c r="O535" s="34" t="str">
        <f aca="false">IF(D535="","",IF(OR(COUNTIF('Target &amp; Team Lists'!$J$5:$J$204,D535)&gt;0,AND(H535&lt;&gt;"",COUNTIF('Target &amp; Team Lists'!$L$5:$L$204,H535)&gt;0),ISNUMBER(SEARCH("alpha nodus",(E535&amp;" "&amp;F535))),ISNUMBER(SEARCH("alphanodus",(E535&amp;" "&amp;F535)))),"Yes","No"))</f>
        <v/>
      </c>
      <c r="P535" s="34" t="str">
        <f aca="false">IF(D535="","",IF(O535="Yes","No",IF(OR(AND(F535&lt;&gt;"",COUNTIF('Target &amp; Team Lists'!$A$5:$A$504,F535)&gt;0),COUNTIF('Target &amp; Team Lists'!$E$5:$E$504,D535)&gt;0),"Yes",IF(AND(SUMPRODUCT(('Target &amp; Team Lists'!$N$5:$N$60&lt;&gt;"")*ISNUMBER(SEARCH('Target &amp; Team Lists'!$N$5:$N$60,(E535&amp;" "&amp;F535))))&gt;0,SUMPRODUCT(('Target &amp; Team Lists'!$O$5:$O$60&lt;&gt;"")*ISNUMBER(SEARCH('Target &amp; Team Lists'!$O$5:$O$60,(E535&amp;" "&amp;F535))))=0),"Yes","No"))))</f>
        <v/>
      </c>
      <c r="Q535" s="32"/>
    </row>
    <row r="536" customFormat="false" ht="15" hidden="false" customHeight="false" outlineLevel="0" collapsed="false">
      <c r="A536" s="30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3" t="str">
        <f aca="false">IF(D536="","",IF(SUM(I536:L536)&gt;0,1,0))</f>
        <v/>
      </c>
      <c r="O536" s="34" t="str">
        <f aca="false">IF(D536="","",IF(OR(COUNTIF('Target &amp; Team Lists'!$J$5:$J$204,D536)&gt;0,AND(H536&lt;&gt;"",COUNTIF('Target &amp; Team Lists'!$L$5:$L$204,H536)&gt;0),ISNUMBER(SEARCH("alpha nodus",(E536&amp;" "&amp;F536))),ISNUMBER(SEARCH("alphanodus",(E536&amp;" "&amp;F536)))),"Yes","No"))</f>
        <v/>
      </c>
      <c r="P536" s="34" t="str">
        <f aca="false">IF(D536="","",IF(O536="Yes","No",IF(OR(AND(F536&lt;&gt;"",COUNTIF('Target &amp; Team Lists'!$A$5:$A$504,F536)&gt;0),COUNTIF('Target &amp; Team Lists'!$E$5:$E$504,D536)&gt;0),"Yes",IF(AND(SUMPRODUCT(('Target &amp; Team Lists'!$N$5:$N$60&lt;&gt;"")*ISNUMBER(SEARCH('Target &amp; Team Lists'!$N$5:$N$60,(E536&amp;" "&amp;F536))))&gt;0,SUMPRODUCT(('Target &amp; Team Lists'!$O$5:$O$60&lt;&gt;"")*ISNUMBER(SEARCH('Target &amp; Team Lists'!$O$5:$O$60,(E536&amp;" "&amp;F536))))=0),"Yes","No"))))</f>
        <v/>
      </c>
      <c r="Q536" s="32"/>
    </row>
    <row r="537" customFormat="false" ht="15" hidden="false" customHeight="false" outlineLevel="0" collapsed="false">
      <c r="A537" s="30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3" t="str">
        <f aca="false">IF(D537="","",IF(SUM(I537:L537)&gt;0,1,0))</f>
        <v/>
      </c>
      <c r="O537" s="34" t="str">
        <f aca="false">IF(D537="","",IF(OR(COUNTIF('Target &amp; Team Lists'!$J$5:$J$204,D537)&gt;0,AND(H537&lt;&gt;"",COUNTIF('Target &amp; Team Lists'!$L$5:$L$204,H537)&gt;0),ISNUMBER(SEARCH("alpha nodus",(E537&amp;" "&amp;F537))),ISNUMBER(SEARCH("alphanodus",(E537&amp;" "&amp;F537)))),"Yes","No"))</f>
        <v/>
      </c>
      <c r="P537" s="34" t="str">
        <f aca="false">IF(D537="","",IF(O537="Yes","No",IF(OR(AND(F537&lt;&gt;"",COUNTIF('Target &amp; Team Lists'!$A$5:$A$504,F537)&gt;0),COUNTIF('Target &amp; Team Lists'!$E$5:$E$504,D537)&gt;0),"Yes",IF(AND(SUMPRODUCT(('Target &amp; Team Lists'!$N$5:$N$60&lt;&gt;"")*ISNUMBER(SEARCH('Target &amp; Team Lists'!$N$5:$N$60,(E537&amp;" "&amp;F537))))&gt;0,SUMPRODUCT(('Target &amp; Team Lists'!$O$5:$O$60&lt;&gt;"")*ISNUMBER(SEARCH('Target &amp; Team Lists'!$O$5:$O$60,(E537&amp;" "&amp;F537))))=0),"Yes","No"))))</f>
        <v/>
      </c>
      <c r="Q537" s="32"/>
    </row>
    <row r="538" customFormat="false" ht="15" hidden="false" customHeight="false" outlineLevel="0" collapsed="false">
      <c r="A538" s="30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3" t="str">
        <f aca="false">IF(D538="","",IF(SUM(I538:L538)&gt;0,1,0))</f>
        <v/>
      </c>
      <c r="O538" s="34" t="str">
        <f aca="false">IF(D538="","",IF(OR(COUNTIF('Target &amp; Team Lists'!$J$5:$J$204,D538)&gt;0,AND(H538&lt;&gt;"",COUNTIF('Target &amp; Team Lists'!$L$5:$L$204,H538)&gt;0),ISNUMBER(SEARCH("alpha nodus",(E538&amp;" "&amp;F538))),ISNUMBER(SEARCH("alphanodus",(E538&amp;" "&amp;F538)))),"Yes","No"))</f>
        <v/>
      </c>
      <c r="P538" s="34" t="str">
        <f aca="false">IF(D538="","",IF(O538="Yes","No",IF(OR(AND(F538&lt;&gt;"",COUNTIF('Target &amp; Team Lists'!$A$5:$A$504,F538)&gt;0),COUNTIF('Target &amp; Team Lists'!$E$5:$E$504,D538)&gt;0),"Yes",IF(AND(SUMPRODUCT(('Target &amp; Team Lists'!$N$5:$N$60&lt;&gt;"")*ISNUMBER(SEARCH('Target &amp; Team Lists'!$N$5:$N$60,(E538&amp;" "&amp;F538))))&gt;0,SUMPRODUCT(('Target &amp; Team Lists'!$O$5:$O$60&lt;&gt;"")*ISNUMBER(SEARCH('Target &amp; Team Lists'!$O$5:$O$60,(E538&amp;" "&amp;F538))))=0),"Yes","No"))))</f>
        <v/>
      </c>
      <c r="Q538" s="32"/>
    </row>
    <row r="539" customFormat="false" ht="15" hidden="false" customHeight="false" outlineLevel="0" collapsed="false">
      <c r="A539" s="30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3" t="str">
        <f aca="false">IF(D539="","",IF(SUM(I539:L539)&gt;0,1,0))</f>
        <v/>
      </c>
      <c r="O539" s="34" t="str">
        <f aca="false">IF(D539="","",IF(OR(COUNTIF('Target &amp; Team Lists'!$J$5:$J$204,D539)&gt;0,AND(H539&lt;&gt;"",COUNTIF('Target &amp; Team Lists'!$L$5:$L$204,H539)&gt;0),ISNUMBER(SEARCH("alpha nodus",(E539&amp;" "&amp;F539))),ISNUMBER(SEARCH("alphanodus",(E539&amp;" "&amp;F539)))),"Yes","No"))</f>
        <v/>
      </c>
      <c r="P539" s="34" t="str">
        <f aca="false">IF(D539="","",IF(O539="Yes","No",IF(OR(AND(F539&lt;&gt;"",COUNTIF('Target &amp; Team Lists'!$A$5:$A$504,F539)&gt;0),COUNTIF('Target &amp; Team Lists'!$E$5:$E$504,D539)&gt;0),"Yes",IF(AND(SUMPRODUCT(('Target &amp; Team Lists'!$N$5:$N$60&lt;&gt;"")*ISNUMBER(SEARCH('Target &amp; Team Lists'!$N$5:$N$60,(E539&amp;" "&amp;F539))))&gt;0,SUMPRODUCT(('Target &amp; Team Lists'!$O$5:$O$60&lt;&gt;"")*ISNUMBER(SEARCH('Target &amp; Team Lists'!$O$5:$O$60,(E539&amp;" "&amp;F539))))=0),"Yes","No"))))</f>
        <v/>
      </c>
      <c r="Q539" s="32"/>
    </row>
    <row r="540" customFormat="false" ht="15" hidden="false" customHeight="false" outlineLevel="0" collapsed="false">
      <c r="A540" s="30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3" t="str">
        <f aca="false">IF(D540="","",IF(SUM(I540:L540)&gt;0,1,0))</f>
        <v/>
      </c>
      <c r="O540" s="34" t="str">
        <f aca="false">IF(D540="","",IF(OR(COUNTIF('Target &amp; Team Lists'!$J$5:$J$204,D540)&gt;0,AND(H540&lt;&gt;"",COUNTIF('Target &amp; Team Lists'!$L$5:$L$204,H540)&gt;0),ISNUMBER(SEARCH("alpha nodus",(E540&amp;" "&amp;F540))),ISNUMBER(SEARCH("alphanodus",(E540&amp;" "&amp;F540)))),"Yes","No"))</f>
        <v/>
      </c>
      <c r="P540" s="34" t="str">
        <f aca="false">IF(D540="","",IF(O540="Yes","No",IF(OR(AND(F540&lt;&gt;"",COUNTIF('Target &amp; Team Lists'!$A$5:$A$504,F540)&gt;0),COUNTIF('Target &amp; Team Lists'!$E$5:$E$504,D540)&gt;0),"Yes",IF(AND(SUMPRODUCT(('Target &amp; Team Lists'!$N$5:$N$60&lt;&gt;"")*ISNUMBER(SEARCH('Target &amp; Team Lists'!$N$5:$N$60,(E540&amp;" "&amp;F540))))&gt;0,SUMPRODUCT(('Target &amp; Team Lists'!$O$5:$O$60&lt;&gt;"")*ISNUMBER(SEARCH('Target &amp; Team Lists'!$O$5:$O$60,(E540&amp;" "&amp;F540))))=0),"Yes","No"))))</f>
        <v/>
      </c>
      <c r="Q540" s="32"/>
    </row>
    <row r="541" customFormat="false" ht="15" hidden="false" customHeight="false" outlineLevel="0" collapsed="false">
      <c r="A541" s="30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3" t="str">
        <f aca="false">IF(D541="","",IF(SUM(I541:L541)&gt;0,1,0))</f>
        <v/>
      </c>
      <c r="O541" s="34" t="str">
        <f aca="false">IF(D541="","",IF(OR(COUNTIF('Target &amp; Team Lists'!$J$5:$J$204,D541)&gt;0,AND(H541&lt;&gt;"",COUNTIF('Target &amp; Team Lists'!$L$5:$L$204,H541)&gt;0),ISNUMBER(SEARCH("alpha nodus",(E541&amp;" "&amp;F541))),ISNUMBER(SEARCH("alphanodus",(E541&amp;" "&amp;F541)))),"Yes","No"))</f>
        <v/>
      </c>
      <c r="P541" s="34" t="str">
        <f aca="false">IF(D541="","",IF(O541="Yes","No",IF(OR(AND(F541&lt;&gt;"",COUNTIF('Target &amp; Team Lists'!$A$5:$A$504,F541)&gt;0),COUNTIF('Target &amp; Team Lists'!$E$5:$E$504,D541)&gt;0),"Yes",IF(AND(SUMPRODUCT(('Target &amp; Team Lists'!$N$5:$N$60&lt;&gt;"")*ISNUMBER(SEARCH('Target &amp; Team Lists'!$N$5:$N$60,(E541&amp;" "&amp;F541))))&gt;0,SUMPRODUCT(('Target &amp; Team Lists'!$O$5:$O$60&lt;&gt;"")*ISNUMBER(SEARCH('Target &amp; Team Lists'!$O$5:$O$60,(E541&amp;" "&amp;F541))))=0),"Yes","No"))))</f>
        <v/>
      </c>
      <c r="Q541" s="32"/>
    </row>
    <row r="542" customFormat="false" ht="15" hidden="false" customHeight="false" outlineLevel="0" collapsed="false">
      <c r="A542" s="30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3" t="str">
        <f aca="false">IF(D542="","",IF(SUM(I542:L542)&gt;0,1,0))</f>
        <v/>
      </c>
      <c r="O542" s="34" t="str">
        <f aca="false">IF(D542="","",IF(OR(COUNTIF('Target &amp; Team Lists'!$J$5:$J$204,D542)&gt;0,AND(H542&lt;&gt;"",COUNTIF('Target &amp; Team Lists'!$L$5:$L$204,H542)&gt;0),ISNUMBER(SEARCH("alpha nodus",(E542&amp;" "&amp;F542))),ISNUMBER(SEARCH("alphanodus",(E542&amp;" "&amp;F542)))),"Yes","No"))</f>
        <v/>
      </c>
      <c r="P542" s="34" t="str">
        <f aca="false">IF(D542="","",IF(O542="Yes","No",IF(OR(AND(F542&lt;&gt;"",COUNTIF('Target &amp; Team Lists'!$A$5:$A$504,F542)&gt;0),COUNTIF('Target &amp; Team Lists'!$E$5:$E$504,D542)&gt;0),"Yes",IF(AND(SUMPRODUCT(('Target &amp; Team Lists'!$N$5:$N$60&lt;&gt;"")*ISNUMBER(SEARCH('Target &amp; Team Lists'!$N$5:$N$60,(E542&amp;" "&amp;F542))))&gt;0,SUMPRODUCT(('Target &amp; Team Lists'!$O$5:$O$60&lt;&gt;"")*ISNUMBER(SEARCH('Target &amp; Team Lists'!$O$5:$O$60,(E542&amp;" "&amp;F542))))=0),"Yes","No"))))</f>
        <v/>
      </c>
      <c r="Q542" s="32"/>
    </row>
    <row r="543" customFormat="false" ht="15" hidden="false" customHeight="false" outlineLevel="0" collapsed="false">
      <c r="A543" s="30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3" t="str">
        <f aca="false">IF(D543="","",IF(SUM(I543:L543)&gt;0,1,0))</f>
        <v/>
      </c>
      <c r="O543" s="34" t="str">
        <f aca="false">IF(D543="","",IF(OR(COUNTIF('Target &amp; Team Lists'!$J$5:$J$204,D543)&gt;0,AND(H543&lt;&gt;"",COUNTIF('Target &amp; Team Lists'!$L$5:$L$204,H543)&gt;0),ISNUMBER(SEARCH("alpha nodus",(E543&amp;" "&amp;F543))),ISNUMBER(SEARCH("alphanodus",(E543&amp;" "&amp;F543)))),"Yes","No"))</f>
        <v/>
      </c>
      <c r="P543" s="34" t="str">
        <f aca="false">IF(D543="","",IF(O543="Yes","No",IF(OR(AND(F543&lt;&gt;"",COUNTIF('Target &amp; Team Lists'!$A$5:$A$504,F543)&gt;0),COUNTIF('Target &amp; Team Lists'!$E$5:$E$504,D543)&gt;0),"Yes",IF(AND(SUMPRODUCT(('Target &amp; Team Lists'!$N$5:$N$60&lt;&gt;"")*ISNUMBER(SEARCH('Target &amp; Team Lists'!$N$5:$N$60,(E543&amp;" "&amp;F543))))&gt;0,SUMPRODUCT(('Target &amp; Team Lists'!$O$5:$O$60&lt;&gt;"")*ISNUMBER(SEARCH('Target &amp; Team Lists'!$O$5:$O$60,(E543&amp;" "&amp;F543))))=0),"Yes","No"))))</f>
        <v/>
      </c>
      <c r="Q543" s="32"/>
    </row>
    <row r="544" customFormat="false" ht="15" hidden="false" customHeight="false" outlineLevel="0" collapsed="false">
      <c r="A544" s="30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3" t="str">
        <f aca="false">IF(D544="","",IF(SUM(I544:L544)&gt;0,1,0))</f>
        <v/>
      </c>
      <c r="O544" s="34" t="str">
        <f aca="false">IF(D544="","",IF(OR(COUNTIF('Target &amp; Team Lists'!$J$5:$J$204,D544)&gt;0,AND(H544&lt;&gt;"",COUNTIF('Target &amp; Team Lists'!$L$5:$L$204,H544)&gt;0),ISNUMBER(SEARCH("alpha nodus",(E544&amp;" "&amp;F544))),ISNUMBER(SEARCH("alphanodus",(E544&amp;" "&amp;F544)))),"Yes","No"))</f>
        <v/>
      </c>
      <c r="P544" s="34" t="str">
        <f aca="false">IF(D544="","",IF(O544="Yes","No",IF(OR(AND(F544&lt;&gt;"",COUNTIF('Target &amp; Team Lists'!$A$5:$A$504,F544)&gt;0),COUNTIF('Target &amp; Team Lists'!$E$5:$E$504,D544)&gt;0),"Yes",IF(AND(SUMPRODUCT(('Target &amp; Team Lists'!$N$5:$N$60&lt;&gt;"")*ISNUMBER(SEARCH('Target &amp; Team Lists'!$N$5:$N$60,(E544&amp;" "&amp;F544))))&gt;0,SUMPRODUCT(('Target &amp; Team Lists'!$O$5:$O$60&lt;&gt;"")*ISNUMBER(SEARCH('Target &amp; Team Lists'!$O$5:$O$60,(E544&amp;" "&amp;F544))))=0),"Yes","No"))))</f>
        <v/>
      </c>
      <c r="Q544" s="32"/>
    </row>
    <row r="545" customFormat="false" ht="15" hidden="false" customHeight="false" outlineLevel="0" collapsed="false">
      <c r="A545" s="30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3" t="str">
        <f aca="false">IF(D545="","",IF(SUM(I545:L545)&gt;0,1,0))</f>
        <v/>
      </c>
      <c r="O545" s="34" t="str">
        <f aca="false">IF(D545="","",IF(OR(COUNTIF('Target &amp; Team Lists'!$J$5:$J$204,D545)&gt;0,AND(H545&lt;&gt;"",COUNTIF('Target &amp; Team Lists'!$L$5:$L$204,H545)&gt;0),ISNUMBER(SEARCH("alpha nodus",(E545&amp;" "&amp;F545))),ISNUMBER(SEARCH("alphanodus",(E545&amp;" "&amp;F545)))),"Yes","No"))</f>
        <v/>
      </c>
      <c r="P545" s="34" t="str">
        <f aca="false">IF(D545="","",IF(O545="Yes","No",IF(OR(AND(F545&lt;&gt;"",COUNTIF('Target &amp; Team Lists'!$A$5:$A$504,F545)&gt;0),COUNTIF('Target &amp; Team Lists'!$E$5:$E$504,D545)&gt;0),"Yes",IF(AND(SUMPRODUCT(('Target &amp; Team Lists'!$N$5:$N$60&lt;&gt;"")*ISNUMBER(SEARCH('Target &amp; Team Lists'!$N$5:$N$60,(E545&amp;" "&amp;F545))))&gt;0,SUMPRODUCT(('Target &amp; Team Lists'!$O$5:$O$60&lt;&gt;"")*ISNUMBER(SEARCH('Target &amp; Team Lists'!$O$5:$O$60,(E545&amp;" "&amp;F545))))=0),"Yes","No"))))</f>
        <v/>
      </c>
      <c r="Q545" s="32"/>
    </row>
    <row r="546" customFormat="false" ht="15" hidden="false" customHeight="false" outlineLevel="0" collapsed="false">
      <c r="A546" s="30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3" t="str">
        <f aca="false">IF(D546="","",IF(SUM(I546:L546)&gt;0,1,0))</f>
        <v/>
      </c>
      <c r="O546" s="34" t="str">
        <f aca="false">IF(D546="","",IF(OR(COUNTIF('Target &amp; Team Lists'!$J$5:$J$204,D546)&gt;0,AND(H546&lt;&gt;"",COUNTIF('Target &amp; Team Lists'!$L$5:$L$204,H546)&gt;0),ISNUMBER(SEARCH("alpha nodus",(E546&amp;" "&amp;F546))),ISNUMBER(SEARCH("alphanodus",(E546&amp;" "&amp;F546)))),"Yes","No"))</f>
        <v/>
      </c>
      <c r="P546" s="34" t="str">
        <f aca="false">IF(D546="","",IF(O546="Yes","No",IF(OR(AND(F546&lt;&gt;"",COUNTIF('Target &amp; Team Lists'!$A$5:$A$504,F546)&gt;0),COUNTIF('Target &amp; Team Lists'!$E$5:$E$504,D546)&gt;0),"Yes",IF(AND(SUMPRODUCT(('Target &amp; Team Lists'!$N$5:$N$60&lt;&gt;"")*ISNUMBER(SEARCH('Target &amp; Team Lists'!$N$5:$N$60,(E546&amp;" "&amp;F546))))&gt;0,SUMPRODUCT(('Target &amp; Team Lists'!$O$5:$O$60&lt;&gt;"")*ISNUMBER(SEARCH('Target &amp; Team Lists'!$O$5:$O$60,(E546&amp;" "&amp;F546))))=0),"Yes","No"))))</f>
        <v/>
      </c>
      <c r="Q546" s="32"/>
    </row>
    <row r="547" customFormat="false" ht="15" hidden="false" customHeight="false" outlineLevel="0" collapsed="false">
      <c r="A547" s="30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3" t="str">
        <f aca="false">IF(D547="","",IF(SUM(I547:L547)&gt;0,1,0))</f>
        <v/>
      </c>
      <c r="O547" s="34" t="str">
        <f aca="false">IF(D547="","",IF(OR(COUNTIF('Target &amp; Team Lists'!$J$5:$J$204,D547)&gt;0,AND(H547&lt;&gt;"",COUNTIF('Target &amp; Team Lists'!$L$5:$L$204,H547)&gt;0),ISNUMBER(SEARCH("alpha nodus",(E547&amp;" "&amp;F547))),ISNUMBER(SEARCH("alphanodus",(E547&amp;" "&amp;F547)))),"Yes","No"))</f>
        <v/>
      </c>
      <c r="P547" s="34" t="str">
        <f aca="false">IF(D547="","",IF(O547="Yes","No",IF(OR(AND(F547&lt;&gt;"",COUNTIF('Target &amp; Team Lists'!$A$5:$A$504,F547)&gt;0),COUNTIF('Target &amp; Team Lists'!$E$5:$E$504,D547)&gt;0),"Yes",IF(AND(SUMPRODUCT(('Target &amp; Team Lists'!$N$5:$N$60&lt;&gt;"")*ISNUMBER(SEARCH('Target &amp; Team Lists'!$N$5:$N$60,(E547&amp;" "&amp;F547))))&gt;0,SUMPRODUCT(('Target &amp; Team Lists'!$O$5:$O$60&lt;&gt;"")*ISNUMBER(SEARCH('Target &amp; Team Lists'!$O$5:$O$60,(E547&amp;" "&amp;F547))))=0),"Yes","No"))))</f>
        <v/>
      </c>
      <c r="Q547" s="32"/>
    </row>
    <row r="548" customFormat="false" ht="15" hidden="false" customHeight="false" outlineLevel="0" collapsed="false">
      <c r="A548" s="30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3" t="str">
        <f aca="false">IF(D548="","",IF(SUM(I548:L548)&gt;0,1,0))</f>
        <v/>
      </c>
      <c r="O548" s="34" t="str">
        <f aca="false">IF(D548="","",IF(OR(COUNTIF('Target &amp; Team Lists'!$J$5:$J$204,D548)&gt;0,AND(H548&lt;&gt;"",COUNTIF('Target &amp; Team Lists'!$L$5:$L$204,H548)&gt;0),ISNUMBER(SEARCH("alpha nodus",(E548&amp;" "&amp;F548))),ISNUMBER(SEARCH("alphanodus",(E548&amp;" "&amp;F548)))),"Yes","No"))</f>
        <v/>
      </c>
      <c r="P548" s="34" t="str">
        <f aca="false">IF(D548="","",IF(O548="Yes","No",IF(OR(AND(F548&lt;&gt;"",COUNTIF('Target &amp; Team Lists'!$A$5:$A$504,F548)&gt;0),COUNTIF('Target &amp; Team Lists'!$E$5:$E$504,D548)&gt;0),"Yes",IF(AND(SUMPRODUCT(('Target &amp; Team Lists'!$N$5:$N$60&lt;&gt;"")*ISNUMBER(SEARCH('Target &amp; Team Lists'!$N$5:$N$60,(E548&amp;" "&amp;F548))))&gt;0,SUMPRODUCT(('Target &amp; Team Lists'!$O$5:$O$60&lt;&gt;"")*ISNUMBER(SEARCH('Target &amp; Team Lists'!$O$5:$O$60,(E548&amp;" "&amp;F548))))=0),"Yes","No"))))</f>
        <v/>
      </c>
      <c r="Q548" s="32"/>
    </row>
    <row r="549" customFormat="false" ht="15" hidden="false" customHeight="false" outlineLevel="0" collapsed="false">
      <c r="A549" s="30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3" t="str">
        <f aca="false">IF(D549="","",IF(SUM(I549:L549)&gt;0,1,0))</f>
        <v/>
      </c>
      <c r="O549" s="34" t="str">
        <f aca="false">IF(D549="","",IF(OR(COUNTIF('Target &amp; Team Lists'!$J$5:$J$204,D549)&gt;0,AND(H549&lt;&gt;"",COUNTIF('Target &amp; Team Lists'!$L$5:$L$204,H549)&gt;0),ISNUMBER(SEARCH("alpha nodus",(E549&amp;" "&amp;F549))),ISNUMBER(SEARCH("alphanodus",(E549&amp;" "&amp;F549)))),"Yes","No"))</f>
        <v/>
      </c>
      <c r="P549" s="34" t="str">
        <f aca="false">IF(D549="","",IF(O549="Yes","No",IF(OR(AND(F549&lt;&gt;"",COUNTIF('Target &amp; Team Lists'!$A$5:$A$504,F549)&gt;0),COUNTIF('Target &amp; Team Lists'!$E$5:$E$504,D549)&gt;0),"Yes",IF(AND(SUMPRODUCT(('Target &amp; Team Lists'!$N$5:$N$60&lt;&gt;"")*ISNUMBER(SEARCH('Target &amp; Team Lists'!$N$5:$N$60,(E549&amp;" "&amp;F549))))&gt;0,SUMPRODUCT(('Target &amp; Team Lists'!$O$5:$O$60&lt;&gt;"")*ISNUMBER(SEARCH('Target &amp; Team Lists'!$O$5:$O$60,(E549&amp;" "&amp;F549))))=0),"Yes","No"))))</f>
        <v/>
      </c>
      <c r="Q549" s="32"/>
    </row>
    <row r="550" customFormat="false" ht="15" hidden="false" customHeight="false" outlineLevel="0" collapsed="false">
      <c r="A550" s="30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3" t="str">
        <f aca="false">IF(D550="","",IF(SUM(I550:L550)&gt;0,1,0))</f>
        <v/>
      </c>
      <c r="O550" s="34" t="str">
        <f aca="false">IF(D550="","",IF(OR(COUNTIF('Target &amp; Team Lists'!$J$5:$J$204,D550)&gt;0,AND(H550&lt;&gt;"",COUNTIF('Target &amp; Team Lists'!$L$5:$L$204,H550)&gt;0),ISNUMBER(SEARCH("alpha nodus",(E550&amp;" "&amp;F550))),ISNUMBER(SEARCH("alphanodus",(E550&amp;" "&amp;F550)))),"Yes","No"))</f>
        <v/>
      </c>
      <c r="P550" s="34" t="str">
        <f aca="false">IF(D550="","",IF(O550="Yes","No",IF(OR(AND(F550&lt;&gt;"",COUNTIF('Target &amp; Team Lists'!$A$5:$A$504,F550)&gt;0),COUNTIF('Target &amp; Team Lists'!$E$5:$E$504,D550)&gt;0),"Yes",IF(AND(SUMPRODUCT(('Target &amp; Team Lists'!$N$5:$N$60&lt;&gt;"")*ISNUMBER(SEARCH('Target &amp; Team Lists'!$N$5:$N$60,(E550&amp;" "&amp;F550))))&gt;0,SUMPRODUCT(('Target &amp; Team Lists'!$O$5:$O$60&lt;&gt;"")*ISNUMBER(SEARCH('Target &amp; Team Lists'!$O$5:$O$60,(E550&amp;" "&amp;F550))))=0),"Yes","No"))))</f>
        <v/>
      </c>
      <c r="Q550" s="32"/>
    </row>
    <row r="551" customFormat="false" ht="15" hidden="false" customHeight="false" outlineLevel="0" collapsed="false">
      <c r="A551" s="30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3" t="str">
        <f aca="false">IF(D551="","",IF(SUM(I551:L551)&gt;0,1,0))</f>
        <v/>
      </c>
      <c r="O551" s="34" t="str">
        <f aca="false">IF(D551="","",IF(OR(COUNTIF('Target &amp; Team Lists'!$J$5:$J$204,D551)&gt;0,AND(H551&lt;&gt;"",COUNTIF('Target &amp; Team Lists'!$L$5:$L$204,H551)&gt;0),ISNUMBER(SEARCH("alpha nodus",(E551&amp;" "&amp;F551))),ISNUMBER(SEARCH("alphanodus",(E551&amp;" "&amp;F551)))),"Yes","No"))</f>
        <v/>
      </c>
      <c r="P551" s="34" t="str">
        <f aca="false">IF(D551="","",IF(O551="Yes","No",IF(OR(AND(F551&lt;&gt;"",COUNTIF('Target &amp; Team Lists'!$A$5:$A$504,F551)&gt;0),COUNTIF('Target &amp; Team Lists'!$E$5:$E$504,D551)&gt;0),"Yes",IF(AND(SUMPRODUCT(('Target &amp; Team Lists'!$N$5:$N$60&lt;&gt;"")*ISNUMBER(SEARCH('Target &amp; Team Lists'!$N$5:$N$60,(E551&amp;" "&amp;F551))))&gt;0,SUMPRODUCT(('Target &amp; Team Lists'!$O$5:$O$60&lt;&gt;"")*ISNUMBER(SEARCH('Target &amp; Team Lists'!$O$5:$O$60,(E551&amp;" "&amp;F551))))=0),"Yes","No"))))</f>
        <v/>
      </c>
      <c r="Q551" s="32"/>
    </row>
    <row r="552" customFormat="false" ht="15" hidden="false" customHeight="false" outlineLevel="0" collapsed="false">
      <c r="A552" s="30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3" t="str">
        <f aca="false">IF(D552="","",IF(SUM(I552:L552)&gt;0,1,0))</f>
        <v/>
      </c>
      <c r="O552" s="34" t="str">
        <f aca="false">IF(D552="","",IF(OR(COUNTIF('Target &amp; Team Lists'!$J$5:$J$204,D552)&gt;0,AND(H552&lt;&gt;"",COUNTIF('Target &amp; Team Lists'!$L$5:$L$204,H552)&gt;0),ISNUMBER(SEARCH("alpha nodus",(E552&amp;" "&amp;F552))),ISNUMBER(SEARCH("alphanodus",(E552&amp;" "&amp;F552)))),"Yes","No"))</f>
        <v/>
      </c>
      <c r="P552" s="34" t="str">
        <f aca="false">IF(D552="","",IF(O552="Yes","No",IF(OR(AND(F552&lt;&gt;"",COUNTIF('Target &amp; Team Lists'!$A$5:$A$504,F552)&gt;0),COUNTIF('Target &amp; Team Lists'!$E$5:$E$504,D552)&gt;0),"Yes",IF(AND(SUMPRODUCT(('Target &amp; Team Lists'!$N$5:$N$60&lt;&gt;"")*ISNUMBER(SEARCH('Target &amp; Team Lists'!$N$5:$N$60,(E552&amp;" "&amp;F552))))&gt;0,SUMPRODUCT(('Target &amp; Team Lists'!$O$5:$O$60&lt;&gt;"")*ISNUMBER(SEARCH('Target &amp; Team Lists'!$O$5:$O$60,(E552&amp;" "&amp;F552))))=0),"Yes","No"))))</f>
        <v/>
      </c>
      <c r="Q552" s="32"/>
    </row>
    <row r="553" customFormat="false" ht="15" hidden="false" customHeight="false" outlineLevel="0" collapsed="false">
      <c r="A553" s="30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3" t="str">
        <f aca="false">IF(D553="","",IF(SUM(I553:L553)&gt;0,1,0))</f>
        <v/>
      </c>
      <c r="O553" s="34" t="str">
        <f aca="false">IF(D553="","",IF(OR(COUNTIF('Target &amp; Team Lists'!$J$5:$J$204,D553)&gt;0,AND(H553&lt;&gt;"",COUNTIF('Target &amp; Team Lists'!$L$5:$L$204,H553)&gt;0),ISNUMBER(SEARCH("alpha nodus",(E553&amp;" "&amp;F553))),ISNUMBER(SEARCH("alphanodus",(E553&amp;" "&amp;F553)))),"Yes","No"))</f>
        <v/>
      </c>
      <c r="P553" s="34" t="str">
        <f aca="false">IF(D553="","",IF(O553="Yes","No",IF(OR(AND(F553&lt;&gt;"",COUNTIF('Target &amp; Team Lists'!$A$5:$A$504,F553)&gt;0),COUNTIF('Target &amp; Team Lists'!$E$5:$E$504,D553)&gt;0),"Yes",IF(AND(SUMPRODUCT(('Target &amp; Team Lists'!$N$5:$N$60&lt;&gt;"")*ISNUMBER(SEARCH('Target &amp; Team Lists'!$N$5:$N$60,(E553&amp;" "&amp;F553))))&gt;0,SUMPRODUCT(('Target &amp; Team Lists'!$O$5:$O$60&lt;&gt;"")*ISNUMBER(SEARCH('Target &amp; Team Lists'!$O$5:$O$60,(E553&amp;" "&amp;F553))))=0),"Yes","No"))))</f>
        <v/>
      </c>
      <c r="Q553" s="32"/>
    </row>
    <row r="554" customFormat="false" ht="15" hidden="false" customHeight="false" outlineLevel="0" collapsed="false">
      <c r="A554" s="30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3" t="str">
        <f aca="false">IF(D554="","",IF(SUM(I554:L554)&gt;0,1,0))</f>
        <v/>
      </c>
      <c r="O554" s="34" t="str">
        <f aca="false">IF(D554="","",IF(OR(COUNTIF('Target &amp; Team Lists'!$J$5:$J$204,D554)&gt;0,AND(H554&lt;&gt;"",COUNTIF('Target &amp; Team Lists'!$L$5:$L$204,H554)&gt;0),ISNUMBER(SEARCH("alpha nodus",(E554&amp;" "&amp;F554))),ISNUMBER(SEARCH("alphanodus",(E554&amp;" "&amp;F554)))),"Yes","No"))</f>
        <v/>
      </c>
      <c r="P554" s="34" t="str">
        <f aca="false">IF(D554="","",IF(O554="Yes","No",IF(OR(AND(F554&lt;&gt;"",COUNTIF('Target &amp; Team Lists'!$A$5:$A$504,F554)&gt;0),COUNTIF('Target &amp; Team Lists'!$E$5:$E$504,D554)&gt;0),"Yes",IF(AND(SUMPRODUCT(('Target &amp; Team Lists'!$N$5:$N$60&lt;&gt;"")*ISNUMBER(SEARCH('Target &amp; Team Lists'!$N$5:$N$60,(E554&amp;" "&amp;F554))))&gt;0,SUMPRODUCT(('Target &amp; Team Lists'!$O$5:$O$60&lt;&gt;"")*ISNUMBER(SEARCH('Target &amp; Team Lists'!$O$5:$O$60,(E554&amp;" "&amp;F554))))=0),"Yes","No"))))</f>
        <v/>
      </c>
      <c r="Q554" s="32"/>
    </row>
    <row r="555" customFormat="false" ht="15" hidden="false" customHeight="false" outlineLevel="0" collapsed="false">
      <c r="A555" s="30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3" t="str">
        <f aca="false">IF(D555="","",IF(SUM(I555:L555)&gt;0,1,0))</f>
        <v/>
      </c>
      <c r="O555" s="34" t="str">
        <f aca="false">IF(D555="","",IF(OR(COUNTIF('Target &amp; Team Lists'!$J$5:$J$204,D555)&gt;0,AND(H555&lt;&gt;"",COUNTIF('Target &amp; Team Lists'!$L$5:$L$204,H555)&gt;0),ISNUMBER(SEARCH("alpha nodus",(E555&amp;" "&amp;F555))),ISNUMBER(SEARCH("alphanodus",(E555&amp;" "&amp;F555)))),"Yes","No"))</f>
        <v/>
      </c>
      <c r="P555" s="34" t="str">
        <f aca="false">IF(D555="","",IF(O555="Yes","No",IF(OR(AND(F555&lt;&gt;"",COUNTIF('Target &amp; Team Lists'!$A$5:$A$504,F555)&gt;0),COUNTIF('Target &amp; Team Lists'!$E$5:$E$504,D555)&gt;0),"Yes",IF(AND(SUMPRODUCT(('Target &amp; Team Lists'!$N$5:$N$60&lt;&gt;"")*ISNUMBER(SEARCH('Target &amp; Team Lists'!$N$5:$N$60,(E555&amp;" "&amp;F555))))&gt;0,SUMPRODUCT(('Target &amp; Team Lists'!$O$5:$O$60&lt;&gt;"")*ISNUMBER(SEARCH('Target &amp; Team Lists'!$O$5:$O$60,(E555&amp;" "&amp;F555))))=0),"Yes","No"))))</f>
        <v/>
      </c>
      <c r="Q555" s="32"/>
    </row>
    <row r="556" customFormat="false" ht="15" hidden="false" customHeight="false" outlineLevel="0" collapsed="false">
      <c r="A556" s="30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3" t="str">
        <f aca="false">IF(D556="","",IF(SUM(I556:L556)&gt;0,1,0))</f>
        <v/>
      </c>
      <c r="O556" s="34" t="str">
        <f aca="false">IF(D556="","",IF(OR(COUNTIF('Target &amp; Team Lists'!$J$5:$J$204,D556)&gt;0,AND(H556&lt;&gt;"",COUNTIF('Target &amp; Team Lists'!$L$5:$L$204,H556)&gt;0),ISNUMBER(SEARCH("alpha nodus",(E556&amp;" "&amp;F556))),ISNUMBER(SEARCH("alphanodus",(E556&amp;" "&amp;F556)))),"Yes","No"))</f>
        <v/>
      </c>
      <c r="P556" s="34" t="str">
        <f aca="false">IF(D556="","",IF(O556="Yes","No",IF(OR(AND(F556&lt;&gt;"",COUNTIF('Target &amp; Team Lists'!$A$5:$A$504,F556)&gt;0),COUNTIF('Target &amp; Team Lists'!$E$5:$E$504,D556)&gt;0),"Yes",IF(AND(SUMPRODUCT(('Target &amp; Team Lists'!$N$5:$N$60&lt;&gt;"")*ISNUMBER(SEARCH('Target &amp; Team Lists'!$N$5:$N$60,(E556&amp;" "&amp;F556))))&gt;0,SUMPRODUCT(('Target &amp; Team Lists'!$O$5:$O$60&lt;&gt;"")*ISNUMBER(SEARCH('Target &amp; Team Lists'!$O$5:$O$60,(E556&amp;" "&amp;F556))))=0),"Yes","No"))))</f>
        <v/>
      </c>
      <c r="Q556" s="32"/>
    </row>
    <row r="557" customFormat="false" ht="15" hidden="false" customHeight="false" outlineLevel="0" collapsed="false">
      <c r="A557" s="30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3" t="str">
        <f aca="false">IF(D557="","",IF(SUM(I557:L557)&gt;0,1,0))</f>
        <v/>
      </c>
      <c r="O557" s="34" t="str">
        <f aca="false">IF(D557="","",IF(OR(COUNTIF('Target &amp; Team Lists'!$J$5:$J$204,D557)&gt;0,AND(H557&lt;&gt;"",COUNTIF('Target &amp; Team Lists'!$L$5:$L$204,H557)&gt;0),ISNUMBER(SEARCH("alpha nodus",(E557&amp;" "&amp;F557))),ISNUMBER(SEARCH("alphanodus",(E557&amp;" "&amp;F557)))),"Yes","No"))</f>
        <v/>
      </c>
      <c r="P557" s="34" t="str">
        <f aca="false">IF(D557="","",IF(O557="Yes","No",IF(OR(AND(F557&lt;&gt;"",COUNTIF('Target &amp; Team Lists'!$A$5:$A$504,F557)&gt;0),COUNTIF('Target &amp; Team Lists'!$E$5:$E$504,D557)&gt;0),"Yes",IF(AND(SUMPRODUCT(('Target &amp; Team Lists'!$N$5:$N$60&lt;&gt;"")*ISNUMBER(SEARCH('Target &amp; Team Lists'!$N$5:$N$60,(E557&amp;" "&amp;F557))))&gt;0,SUMPRODUCT(('Target &amp; Team Lists'!$O$5:$O$60&lt;&gt;"")*ISNUMBER(SEARCH('Target &amp; Team Lists'!$O$5:$O$60,(E557&amp;" "&amp;F557))))=0),"Yes","No"))))</f>
        <v/>
      </c>
      <c r="Q557" s="32"/>
    </row>
    <row r="558" customFormat="false" ht="15" hidden="false" customHeight="false" outlineLevel="0" collapsed="false">
      <c r="A558" s="30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3" t="str">
        <f aca="false">IF(D558="","",IF(SUM(I558:L558)&gt;0,1,0))</f>
        <v/>
      </c>
      <c r="O558" s="34" t="str">
        <f aca="false">IF(D558="","",IF(OR(COUNTIF('Target &amp; Team Lists'!$J$5:$J$204,D558)&gt;0,AND(H558&lt;&gt;"",COUNTIF('Target &amp; Team Lists'!$L$5:$L$204,H558)&gt;0),ISNUMBER(SEARCH("alpha nodus",(E558&amp;" "&amp;F558))),ISNUMBER(SEARCH("alphanodus",(E558&amp;" "&amp;F558)))),"Yes","No"))</f>
        <v/>
      </c>
      <c r="P558" s="34" t="str">
        <f aca="false">IF(D558="","",IF(O558="Yes","No",IF(OR(AND(F558&lt;&gt;"",COUNTIF('Target &amp; Team Lists'!$A$5:$A$504,F558)&gt;0),COUNTIF('Target &amp; Team Lists'!$E$5:$E$504,D558)&gt;0),"Yes",IF(AND(SUMPRODUCT(('Target &amp; Team Lists'!$N$5:$N$60&lt;&gt;"")*ISNUMBER(SEARCH('Target &amp; Team Lists'!$N$5:$N$60,(E558&amp;" "&amp;F558))))&gt;0,SUMPRODUCT(('Target &amp; Team Lists'!$O$5:$O$60&lt;&gt;"")*ISNUMBER(SEARCH('Target &amp; Team Lists'!$O$5:$O$60,(E558&amp;" "&amp;F558))))=0),"Yes","No"))))</f>
        <v/>
      </c>
      <c r="Q558" s="32"/>
    </row>
    <row r="559" customFormat="false" ht="15" hidden="false" customHeight="false" outlineLevel="0" collapsed="false">
      <c r="A559" s="30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3" t="str">
        <f aca="false">IF(D559="","",IF(SUM(I559:L559)&gt;0,1,0))</f>
        <v/>
      </c>
      <c r="O559" s="34" t="str">
        <f aca="false">IF(D559="","",IF(OR(COUNTIF('Target &amp; Team Lists'!$J$5:$J$204,D559)&gt;0,AND(H559&lt;&gt;"",COUNTIF('Target &amp; Team Lists'!$L$5:$L$204,H559)&gt;0),ISNUMBER(SEARCH("alpha nodus",(E559&amp;" "&amp;F559))),ISNUMBER(SEARCH("alphanodus",(E559&amp;" "&amp;F559)))),"Yes","No"))</f>
        <v/>
      </c>
      <c r="P559" s="34" t="str">
        <f aca="false">IF(D559="","",IF(O559="Yes","No",IF(OR(AND(F559&lt;&gt;"",COUNTIF('Target &amp; Team Lists'!$A$5:$A$504,F559)&gt;0),COUNTIF('Target &amp; Team Lists'!$E$5:$E$504,D559)&gt;0),"Yes",IF(AND(SUMPRODUCT(('Target &amp; Team Lists'!$N$5:$N$60&lt;&gt;"")*ISNUMBER(SEARCH('Target &amp; Team Lists'!$N$5:$N$60,(E559&amp;" "&amp;F559))))&gt;0,SUMPRODUCT(('Target &amp; Team Lists'!$O$5:$O$60&lt;&gt;"")*ISNUMBER(SEARCH('Target &amp; Team Lists'!$O$5:$O$60,(E559&amp;" "&amp;F559))))=0),"Yes","No"))))</f>
        <v/>
      </c>
      <c r="Q559" s="32"/>
    </row>
    <row r="560" customFormat="false" ht="15" hidden="false" customHeight="false" outlineLevel="0" collapsed="false">
      <c r="A560" s="30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3" t="str">
        <f aca="false">IF(D560="","",IF(SUM(I560:L560)&gt;0,1,0))</f>
        <v/>
      </c>
      <c r="O560" s="34" t="str">
        <f aca="false">IF(D560="","",IF(OR(COUNTIF('Target &amp; Team Lists'!$J$5:$J$204,D560)&gt;0,AND(H560&lt;&gt;"",COUNTIF('Target &amp; Team Lists'!$L$5:$L$204,H560)&gt;0),ISNUMBER(SEARCH("alpha nodus",(E560&amp;" "&amp;F560))),ISNUMBER(SEARCH("alphanodus",(E560&amp;" "&amp;F560)))),"Yes","No"))</f>
        <v/>
      </c>
      <c r="P560" s="34" t="str">
        <f aca="false">IF(D560="","",IF(O560="Yes","No",IF(OR(AND(F560&lt;&gt;"",COUNTIF('Target &amp; Team Lists'!$A$5:$A$504,F560)&gt;0),COUNTIF('Target &amp; Team Lists'!$E$5:$E$504,D560)&gt;0),"Yes",IF(AND(SUMPRODUCT(('Target &amp; Team Lists'!$N$5:$N$60&lt;&gt;"")*ISNUMBER(SEARCH('Target &amp; Team Lists'!$N$5:$N$60,(E560&amp;" "&amp;F560))))&gt;0,SUMPRODUCT(('Target &amp; Team Lists'!$O$5:$O$60&lt;&gt;"")*ISNUMBER(SEARCH('Target &amp; Team Lists'!$O$5:$O$60,(E560&amp;" "&amp;F560))))=0),"Yes","No"))))</f>
        <v/>
      </c>
      <c r="Q560" s="32"/>
    </row>
    <row r="561" customFormat="false" ht="15" hidden="false" customHeight="false" outlineLevel="0" collapsed="false">
      <c r="A561" s="30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3" t="str">
        <f aca="false">IF(D561="","",IF(SUM(I561:L561)&gt;0,1,0))</f>
        <v/>
      </c>
      <c r="O561" s="34" t="str">
        <f aca="false">IF(D561="","",IF(OR(COUNTIF('Target &amp; Team Lists'!$J$5:$J$204,D561)&gt;0,AND(H561&lt;&gt;"",COUNTIF('Target &amp; Team Lists'!$L$5:$L$204,H561)&gt;0),ISNUMBER(SEARCH("alpha nodus",(E561&amp;" "&amp;F561))),ISNUMBER(SEARCH("alphanodus",(E561&amp;" "&amp;F561)))),"Yes","No"))</f>
        <v/>
      </c>
      <c r="P561" s="34" t="str">
        <f aca="false">IF(D561="","",IF(O561="Yes","No",IF(OR(AND(F561&lt;&gt;"",COUNTIF('Target &amp; Team Lists'!$A$5:$A$504,F561)&gt;0),COUNTIF('Target &amp; Team Lists'!$E$5:$E$504,D561)&gt;0),"Yes",IF(AND(SUMPRODUCT(('Target &amp; Team Lists'!$N$5:$N$60&lt;&gt;"")*ISNUMBER(SEARCH('Target &amp; Team Lists'!$N$5:$N$60,(E561&amp;" "&amp;F561))))&gt;0,SUMPRODUCT(('Target &amp; Team Lists'!$O$5:$O$60&lt;&gt;"")*ISNUMBER(SEARCH('Target &amp; Team Lists'!$O$5:$O$60,(E561&amp;" "&amp;F561))))=0),"Yes","No"))))</f>
        <v/>
      </c>
      <c r="Q561" s="32"/>
    </row>
    <row r="562" customFormat="false" ht="15" hidden="false" customHeight="false" outlineLevel="0" collapsed="false">
      <c r="A562" s="30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3" t="str">
        <f aca="false">IF(D562="","",IF(SUM(I562:L562)&gt;0,1,0))</f>
        <v/>
      </c>
      <c r="O562" s="34" t="str">
        <f aca="false">IF(D562="","",IF(OR(COUNTIF('Target &amp; Team Lists'!$J$5:$J$204,D562)&gt;0,AND(H562&lt;&gt;"",COUNTIF('Target &amp; Team Lists'!$L$5:$L$204,H562)&gt;0),ISNUMBER(SEARCH("alpha nodus",(E562&amp;" "&amp;F562))),ISNUMBER(SEARCH("alphanodus",(E562&amp;" "&amp;F562)))),"Yes","No"))</f>
        <v/>
      </c>
      <c r="P562" s="34" t="str">
        <f aca="false">IF(D562="","",IF(O562="Yes","No",IF(OR(AND(F562&lt;&gt;"",COUNTIF('Target &amp; Team Lists'!$A$5:$A$504,F562)&gt;0),COUNTIF('Target &amp; Team Lists'!$E$5:$E$504,D562)&gt;0),"Yes",IF(AND(SUMPRODUCT(('Target &amp; Team Lists'!$N$5:$N$60&lt;&gt;"")*ISNUMBER(SEARCH('Target &amp; Team Lists'!$N$5:$N$60,(E562&amp;" "&amp;F562))))&gt;0,SUMPRODUCT(('Target &amp; Team Lists'!$O$5:$O$60&lt;&gt;"")*ISNUMBER(SEARCH('Target &amp; Team Lists'!$O$5:$O$60,(E562&amp;" "&amp;F562))))=0),"Yes","No"))))</f>
        <v/>
      </c>
      <c r="Q562" s="32"/>
    </row>
    <row r="563" customFormat="false" ht="15" hidden="false" customHeight="false" outlineLevel="0" collapsed="false">
      <c r="A563" s="30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3" t="str">
        <f aca="false">IF(D563="","",IF(SUM(I563:L563)&gt;0,1,0))</f>
        <v/>
      </c>
      <c r="O563" s="34" t="str">
        <f aca="false">IF(D563="","",IF(OR(COUNTIF('Target &amp; Team Lists'!$J$5:$J$204,D563)&gt;0,AND(H563&lt;&gt;"",COUNTIF('Target &amp; Team Lists'!$L$5:$L$204,H563)&gt;0),ISNUMBER(SEARCH("alpha nodus",(E563&amp;" "&amp;F563))),ISNUMBER(SEARCH("alphanodus",(E563&amp;" "&amp;F563)))),"Yes","No"))</f>
        <v/>
      </c>
      <c r="P563" s="34" t="str">
        <f aca="false">IF(D563="","",IF(O563="Yes","No",IF(OR(AND(F563&lt;&gt;"",COUNTIF('Target &amp; Team Lists'!$A$5:$A$504,F563)&gt;0),COUNTIF('Target &amp; Team Lists'!$E$5:$E$504,D563)&gt;0),"Yes",IF(AND(SUMPRODUCT(('Target &amp; Team Lists'!$N$5:$N$60&lt;&gt;"")*ISNUMBER(SEARCH('Target &amp; Team Lists'!$N$5:$N$60,(E563&amp;" "&amp;F563))))&gt;0,SUMPRODUCT(('Target &amp; Team Lists'!$O$5:$O$60&lt;&gt;"")*ISNUMBER(SEARCH('Target &amp; Team Lists'!$O$5:$O$60,(E563&amp;" "&amp;F563))))=0),"Yes","No"))))</f>
        <v/>
      </c>
      <c r="Q563" s="32"/>
    </row>
    <row r="564" customFormat="false" ht="15" hidden="false" customHeight="false" outlineLevel="0" collapsed="false">
      <c r="A564" s="30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3" t="str">
        <f aca="false">IF(D564="","",IF(SUM(I564:L564)&gt;0,1,0))</f>
        <v/>
      </c>
      <c r="O564" s="34" t="str">
        <f aca="false">IF(D564="","",IF(OR(COUNTIF('Target &amp; Team Lists'!$J$5:$J$204,D564)&gt;0,AND(H564&lt;&gt;"",COUNTIF('Target &amp; Team Lists'!$L$5:$L$204,H564)&gt;0),ISNUMBER(SEARCH("alpha nodus",(E564&amp;" "&amp;F564))),ISNUMBER(SEARCH("alphanodus",(E564&amp;" "&amp;F564)))),"Yes","No"))</f>
        <v/>
      </c>
      <c r="P564" s="34" t="str">
        <f aca="false">IF(D564="","",IF(O564="Yes","No",IF(OR(AND(F564&lt;&gt;"",COUNTIF('Target &amp; Team Lists'!$A$5:$A$504,F564)&gt;0),COUNTIF('Target &amp; Team Lists'!$E$5:$E$504,D564)&gt;0),"Yes",IF(AND(SUMPRODUCT(('Target &amp; Team Lists'!$N$5:$N$60&lt;&gt;"")*ISNUMBER(SEARCH('Target &amp; Team Lists'!$N$5:$N$60,(E564&amp;" "&amp;F564))))&gt;0,SUMPRODUCT(('Target &amp; Team Lists'!$O$5:$O$60&lt;&gt;"")*ISNUMBER(SEARCH('Target &amp; Team Lists'!$O$5:$O$60,(E564&amp;" "&amp;F564))))=0),"Yes","No"))))</f>
        <v/>
      </c>
      <c r="Q564" s="32"/>
    </row>
    <row r="565" customFormat="false" ht="15" hidden="false" customHeight="false" outlineLevel="0" collapsed="false">
      <c r="A565" s="30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3" t="str">
        <f aca="false">IF(D565="","",IF(SUM(I565:L565)&gt;0,1,0))</f>
        <v/>
      </c>
      <c r="O565" s="34" t="str">
        <f aca="false">IF(D565="","",IF(OR(COUNTIF('Target &amp; Team Lists'!$J$5:$J$204,D565)&gt;0,AND(H565&lt;&gt;"",COUNTIF('Target &amp; Team Lists'!$L$5:$L$204,H565)&gt;0),ISNUMBER(SEARCH("alpha nodus",(E565&amp;" "&amp;F565))),ISNUMBER(SEARCH("alphanodus",(E565&amp;" "&amp;F565)))),"Yes","No"))</f>
        <v/>
      </c>
      <c r="P565" s="34" t="str">
        <f aca="false">IF(D565="","",IF(O565="Yes","No",IF(OR(AND(F565&lt;&gt;"",COUNTIF('Target &amp; Team Lists'!$A$5:$A$504,F565)&gt;0),COUNTIF('Target &amp; Team Lists'!$E$5:$E$504,D565)&gt;0),"Yes",IF(AND(SUMPRODUCT(('Target &amp; Team Lists'!$N$5:$N$60&lt;&gt;"")*ISNUMBER(SEARCH('Target &amp; Team Lists'!$N$5:$N$60,(E565&amp;" "&amp;F565))))&gt;0,SUMPRODUCT(('Target &amp; Team Lists'!$O$5:$O$60&lt;&gt;"")*ISNUMBER(SEARCH('Target &amp; Team Lists'!$O$5:$O$60,(E565&amp;" "&amp;F565))))=0),"Yes","No"))))</f>
        <v/>
      </c>
      <c r="Q565" s="32"/>
    </row>
    <row r="566" customFormat="false" ht="15" hidden="false" customHeight="false" outlineLevel="0" collapsed="false">
      <c r="A566" s="30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3" t="str">
        <f aca="false">IF(D566="","",IF(SUM(I566:L566)&gt;0,1,0))</f>
        <v/>
      </c>
      <c r="O566" s="34" t="str">
        <f aca="false">IF(D566="","",IF(OR(COUNTIF('Target &amp; Team Lists'!$J$5:$J$204,D566)&gt;0,AND(H566&lt;&gt;"",COUNTIF('Target &amp; Team Lists'!$L$5:$L$204,H566)&gt;0),ISNUMBER(SEARCH("alpha nodus",(E566&amp;" "&amp;F566))),ISNUMBER(SEARCH("alphanodus",(E566&amp;" "&amp;F566)))),"Yes","No"))</f>
        <v/>
      </c>
      <c r="P566" s="34" t="str">
        <f aca="false">IF(D566="","",IF(O566="Yes","No",IF(OR(AND(F566&lt;&gt;"",COUNTIF('Target &amp; Team Lists'!$A$5:$A$504,F566)&gt;0),COUNTIF('Target &amp; Team Lists'!$E$5:$E$504,D566)&gt;0),"Yes",IF(AND(SUMPRODUCT(('Target &amp; Team Lists'!$N$5:$N$60&lt;&gt;"")*ISNUMBER(SEARCH('Target &amp; Team Lists'!$N$5:$N$60,(E566&amp;" "&amp;F566))))&gt;0,SUMPRODUCT(('Target &amp; Team Lists'!$O$5:$O$60&lt;&gt;"")*ISNUMBER(SEARCH('Target &amp; Team Lists'!$O$5:$O$60,(E566&amp;" "&amp;F566))))=0),"Yes","No"))))</f>
        <v/>
      </c>
      <c r="Q566" s="32"/>
    </row>
    <row r="567" customFormat="false" ht="15" hidden="false" customHeight="false" outlineLevel="0" collapsed="false">
      <c r="A567" s="30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3" t="str">
        <f aca="false">IF(D567="","",IF(SUM(I567:L567)&gt;0,1,0))</f>
        <v/>
      </c>
      <c r="O567" s="34" t="str">
        <f aca="false">IF(D567="","",IF(OR(COUNTIF('Target &amp; Team Lists'!$J$5:$J$204,D567)&gt;0,AND(H567&lt;&gt;"",COUNTIF('Target &amp; Team Lists'!$L$5:$L$204,H567)&gt;0),ISNUMBER(SEARCH("alpha nodus",(E567&amp;" "&amp;F567))),ISNUMBER(SEARCH("alphanodus",(E567&amp;" "&amp;F567)))),"Yes","No"))</f>
        <v/>
      </c>
      <c r="P567" s="34" t="str">
        <f aca="false">IF(D567="","",IF(O567="Yes","No",IF(OR(AND(F567&lt;&gt;"",COUNTIF('Target &amp; Team Lists'!$A$5:$A$504,F567)&gt;0),COUNTIF('Target &amp; Team Lists'!$E$5:$E$504,D567)&gt;0),"Yes",IF(AND(SUMPRODUCT(('Target &amp; Team Lists'!$N$5:$N$60&lt;&gt;"")*ISNUMBER(SEARCH('Target &amp; Team Lists'!$N$5:$N$60,(E567&amp;" "&amp;F567))))&gt;0,SUMPRODUCT(('Target &amp; Team Lists'!$O$5:$O$60&lt;&gt;"")*ISNUMBER(SEARCH('Target &amp; Team Lists'!$O$5:$O$60,(E567&amp;" "&amp;F567))))=0),"Yes","No"))))</f>
        <v/>
      </c>
      <c r="Q567" s="32"/>
    </row>
    <row r="568" customFormat="false" ht="15" hidden="false" customHeight="false" outlineLevel="0" collapsed="false">
      <c r="A568" s="30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3" t="str">
        <f aca="false">IF(D568="","",IF(SUM(I568:L568)&gt;0,1,0))</f>
        <v/>
      </c>
      <c r="O568" s="34" t="str">
        <f aca="false">IF(D568="","",IF(OR(COUNTIF('Target &amp; Team Lists'!$J$5:$J$204,D568)&gt;0,AND(H568&lt;&gt;"",COUNTIF('Target &amp; Team Lists'!$L$5:$L$204,H568)&gt;0),ISNUMBER(SEARCH("alpha nodus",(E568&amp;" "&amp;F568))),ISNUMBER(SEARCH("alphanodus",(E568&amp;" "&amp;F568)))),"Yes","No"))</f>
        <v/>
      </c>
      <c r="P568" s="34" t="str">
        <f aca="false">IF(D568="","",IF(O568="Yes","No",IF(OR(AND(F568&lt;&gt;"",COUNTIF('Target &amp; Team Lists'!$A$5:$A$504,F568)&gt;0),COUNTIF('Target &amp; Team Lists'!$E$5:$E$504,D568)&gt;0),"Yes",IF(AND(SUMPRODUCT(('Target &amp; Team Lists'!$N$5:$N$60&lt;&gt;"")*ISNUMBER(SEARCH('Target &amp; Team Lists'!$N$5:$N$60,(E568&amp;" "&amp;F568))))&gt;0,SUMPRODUCT(('Target &amp; Team Lists'!$O$5:$O$60&lt;&gt;"")*ISNUMBER(SEARCH('Target &amp; Team Lists'!$O$5:$O$60,(E568&amp;" "&amp;F568))))=0),"Yes","No"))))</f>
        <v/>
      </c>
      <c r="Q568" s="32"/>
    </row>
    <row r="569" customFormat="false" ht="15" hidden="false" customHeight="false" outlineLevel="0" collapsed="false">
      <c r="A569" s="30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3" t="str">
        <f aca="false">IF(D569="","",IF(SUM(I569:L569)&gt;0,1,0))</f>
        <v/>
      </c>
      <c r="O569" s="34" t="str">
        <f aca="false">IF(D569="","",IF(OR(COUNTIF('Target &amp; Team Lists'!$J$5:$J$204,D569)&gt;0,AND(H569&lt;&gt;"",COUNTIF('Target &amp; Team Lists'!$L$5:$L$204,H569)&gt;0),ISNUMBER(SEARCH("alpha nodus",(E569&amp;" "&amp;F569))),ISNUMBER(SEARCH("alphanodus",(E569&amp;" "&amp;F569)))),"Yes","No"))</f>
        <v/>
      </c>
      <c r="P569" s="34" t="str">
        <f aca="false">IF(D569="","",IF(O569="Yes","No",IF(OR(AND(F569&lt;&gt;"",COUNTIF('Target &amp; Team Lists'!$A$5:$A$504,F569)&gt;0),COUNTIF('Target &amp; Team Lists'!$E$5:$E$504,D569)&gt;0),"Yes",IF(AND(SUMPRODUCT(('Target &amp; Team Lists'!$N$5:$N$60&lt;&gt;"")*ISNUMBER(SEARCH('Target &amp; Team Lists'!$N$5:$N$60,(E569&amp;" "&amp;F569))))&gt;0,SUMPRODUCT(('Target &amp; Team Lists'!$O$5:$O$60&lt;&gt;"")*ISNUMBER(SEARCH('Target &amp; Team Lists'!$O$5:$O$60,(E569&amp;" "&amp;F569))))=0),"Yes","No"))))</f>
        <v/>
      </c>
      <c r="Q569" s="32"/>
    </row>
    <row r="570" customFormat="false" ht="15" hidden="false" customHeight="false" outlineLevel="0" collapsed="false">
      <c r="A570" s="30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3" t="str">
        <f aca="false">IF(D570="","",IF(SUM(I570:L570)&gt;0,1,0))</f>
        <v/>
      </c>
      <c r="O570" s="34" t="str">
        <f aca="false">IF(D570="","",IF(OR(COUNTIF('Target &amp; Team Lists'!$J$5:$J$204,D570)&gt;0,AND(H570&lt;&gt;"",COUNTIF('Target &amp; Team Lists'!$L$5:$L$204,H570)&gt;0),ISNUMBER(SEARCH("alpha nodus",(E570&amp;" "&amp;F570))),ISNUMBER(SEARCH("alphanodus",(E570&amp;" "&amp;F570)))),"Yes","No"))</f>
        <v/>
      </c>
      <c r="P570" s="34" t="str">
        <f aca="false">IF(D570="","",IF(O570="Yes","No",IF(OR(AND(F570&lt;&gt;"",COUNTIF('Target &amp; Team Lists'!$A$5:$A$504,F570)&gt;0),COUNTIF('Target &amp; Team Lists'!$E$5:$E$504,D570)&gt;0),"Yes",IF(AND(SUMPRODUCT(('Target &amp; Team Lists'!$N$5:$N$60&lt;&gt;"")*ISNUMBER(SEARCH('Target &amp; Team Lists'!$N$5:$N$60,(E570&amp;" "&amp;F570))))&gt;0,SUMPRODUCT(('Target &amp; Team Lists'!$O$5:$O$60&lt;&gt;"")*ISNUMBER(SEARCH('Target &amp; Team Lists'!$O$5:$O$60,(E570&amp;" "&amp;F570))))=0),"Yes","No"))))</f>
        <v/>
      </c>
      <c r="Q570" s="32"/>
    </row>
    <row r="571" customFormat="false" ht="15" hidden="false" customHeight="false" outlineLevel="0" collapsed="false">
      <c r="A571" s="30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3" t="str">
        <f aca="false">IF(D571="","",IF(SUM(I571:L571)&gt;0,1,0))</f>
        <v/>
      </c>
      <c r="O571" s="34" t="str">
        <f aca="false">IF(D571="","",IF(OR(COUNTIF('Target &amp; Team Lists'!$J$5:$J$204,D571)&gt;0,AND(H571&lt;&gt;"",COUNTIF('Target &amp; Team Lists'!$L$5:$L$204,H571)&gt;0),ISNUMBER(SEARCH("alpha nodus",(E571&amp;" "&amp;F571))),ISNUMBER(SEARCH("alphanodus",(E571&amp;" "&amp;F571)))),"Yes","No"))</f>
        <v/>
      </c>
      <c r="P571" s="34" t="str">
        <f aca="false">IF(D571="","",IF(O571="Yes","No",IF(OR(AND(F571&lt;&gt;"",COUNTIF('Target &amp; Team Lists'!$A$5:$A$504,F571)&gt;0),COUNTIF('Target &amp; Team Lists'!$E$5:$E$504,D571)&gt;0),"Yes",IF(AND(SUMPRODUCT(('Target &amp; Team Lists'!$N$5:$N$60&lt;&gt;"")*ISNUMBER(SEARCH('Target &amp; Team Lists'!$N$5:$N$60,(E571&amp;" "&amp;F571))))&gt;0,SUMPRODUCT(('Target &amp; Team Lists'!$O$5:$O$60&lt;&gt;"")*ISNUMBER(SEARCH('Target &amp; Team Lists'!$O$5:$O$60,(E571&amp;" "&amp;F571))))=0),"Yes","No"))))</f>
        <v/>
      </c>
      <c r="Q571" s="32"/>
    </row>
    <row r="572" customFormat="false" ht="15" hidden="false" customHeight="false" outlineLevel="0" collapsed="false">
      <c r="A572" s="30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3" t="str">
        <f aca="false">IF(D572="","",IF(SUM(I572:L572)&gt;0,1,0))</f>
        <v/>
      </c>
      <c r="O572" s="34" t="str">
        <f aca="false">IF(D572="","",IF(OR(COUNTIF('Target &amp; Team Lists'!$J$5:$J$204,D572)&gt;0,AND(H572&lt;&gt;"",COUNTIF('Target &amp; Team Lists'!$L$5:$L$204,H572)&gt;0),ISNUMBER(SEARCH("alpha nodus",(E572&amp;" "&amp;F572))),ISNUMBER(SEARCH("alphanodus",(E572&amp;" "&amp;F572)))),"Yes","No"))</f>
        <v/>
      </c>
      <c r="P572" s="34" t="str">
        <f aca="false">IF(D572="","",IF(O572="Yes","No",IF(OR(AND(F572&lt;&gt;"",COUNTIF('Target &amp; Team Lists'!$A$5:$A$504,F572)&gt;0),COUNTIF('Target &amp; Team Lists'!$E$5:$E$504,D572)&gt;0),"Yes",IF(AND(SUMPRODUCT(('Target &amp; Team Lists'!$N$5:$N$60&lt;&gt;"")*ISNUMBER(SEARCH('Target &amp; Team Lists'!$N$5:$N$60,(E572&amp;" "&amp;F572))))&gt;0,SUMPRODUCT(('Target &amp; Team Lists'!$O$5:$O$60&lt;&gt;"")*ISNUMBER(SEARCH('Target &amp; Team Lists'!$O$5:$O$60,(E572&amp;" "&amp;F572))))=0),"Yes","No"))))</f>
        <v/>
      </c>
      <c r="Q572" s="32"/>
    </row>
    <row r="573" customFormat="false" ht="15" hidden="false" customHeight="false" outlineLevel="0" collapsed="false">
      <c r="A573" s="30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3" t="str">
        <f aca="false">IF(D573="","",IF(SUM(I573:L573)&gt;0,1,0))</f>
        <v/>
      </c>
      <c r="O573" s="34" t="str">
        <f aca="false">IF(D573="","",IF(OR(COUNTIF('Target &amp; Team Lists'!$J$5:$J$204,D573)&gt;0,AND(H573&lt;&gt;"",COUNTIF('Target &amp; Team Lists'!$L$5:$L$204,H573)&gt;0),ISNUMBER(SEARCH("alpha nodus",(E573&amp;" "&amp;F573))),ISNUMBER(SEARCH("alphanodus",(E573&amp;" "&amp;F573)))),"Yes","No"))</f>
        <v/>
      </c>
      <c r="P573" s="34" t="str">
        <f aca="false">IF(D573="","",IF(O573="Yes","No",IF(OR(AND(F573&lt;&gt;"",COUNTIF('Target &amp; Team Lists'!$A$5:$A$504,F573)&gt;0),COUNTIF('Target &amp; Team Lists'!$E$5:$E$504,D573)&gt;0),"Yes",IF(AND(SUMPRODUCT(('Target &amp; Team Lists'!$N$5:$N$60&lt;&gt;"")*ISNUMBER(SEARCH('Target &amp; Team Lists'!$N$5:$N$60,(E573&amp;" "&amp;F573))))&gt;0,SUMPRODUCT(('Target &amp; Team Lists'!$O$5:$O$60&lt;&gt;"")*ISNUMBER(SEARCH('Target &amp; Team Lists'!$O$5:$O$60,(E573&amp;" "&amp;F573))))=0),"Yes","No"))))</f>
        <v/>
      </c>
      <c r="Q573" s="32"/>
    </row>
    <row r="574" customFormat="false" ht="15" hidden="false" customHeight="false" outlineLevel="0" collapsed="false">
      <c r="A574" s="30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3" t="str">
        <f aca="false">IF(D574="","",IF(SUM(I574:L574)&gt;0,1,0))</f>
        <v/>
      </c>
      <c r="O574" s="34" t="str">
        <f aca="false">IF(D574="","",IF(OR(COUNTIF('Target &amp; Team Lists'!$J$5:$J$204,D574)&gt;0,AND(H574&lt;&gt;"",COUNTIF('Target &amp; Team Lists'!$L$5:$L$204,H574)&gt;0),ISNUMBER(SEARCH("alpha nodus",(E574&amp;" "&amp;F574))),ISNUMBER(SEARCH("alphanodus",(E574&amp;" "&amp;F574)))),"Yes","No"))</f>
        <v/>
      </c>
      <c r="P574" s="34" t="str">
        <f aca="false">IF(D574="","",IF(O574="Yes","No",IF(OR(AND(F574&lt;&gt;"",COUNTIF('Target &amp; Team Lists'!$A$5:$A$504,F574)&gt;0),COUNTIF('Target &amp; Team Lists'!$E$5:$E$504,D574)&gt;0),"Yes",IF(AND(SUMPRODUCT(('Target &amp; Team Lists'!$N$5:$N$60&lt;&gt;"")*ISNUMBER(SEARCH('Target &amp; Team Lists'!$N$5:$N$60,(E574&amp;" "&amp;F574))))&gt;0,SUMPRODUCT(('Target &amp; Team Lists'!$O$5:$O$60&lt;&gt;"")*ISNUMBER(SEARCH('Target &amp; Team Lists'!$O$5:$O$60,(E574&amp;" "&amp;F574))))=0),"Yes","No"))))</f>
        <v/>
      </c>
      <c r="Q574" s="32"/>
    </row>
    <row r="575" customFormat="false" ht="15" hidden="false" customHeight="false" outlineLevel="0" collapsed="false">
      <c r="A575" s="30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3" t="str">
        <f aca="false">IF(D575="","",IF(SUM(I575:L575)&gt;0,1,0))</f>
        <v/>
      </c>
      <c r="O575" s="34" t="str">
        <f aca="false">IF(D575="","",IF(OR(COUNTIF('Target &amp; Team Lists'!$J$5:$J$204,D575)&gt;0,AND(H575&lt;&gt;"",COUNTIF('Target &amp; Team Lists'!$L$5:$L$204,H575)&gt;0),ISNUMBER(SEARCH("alpha nodus",(E575&amp;" "&amp;F575))),ISNUMBER(SEARCH("alphanodus",(E575&amp;" "&amp;F575)))),"Yes","No"))</f>
        <v/>
      </c>
      <c r="P575" s="34" t="str">
        <f aca="false">IF(D575="","",IF(O575="Yes","No",IF(OR(AND(F575&lt;&gt;"",COUNTIF('Target &amp; Team Lists'!$A$5:$A$504,F575)&gt;0),COUNTIF('Target &amp; Team Lists'!$E$5:$E$504,D575)&gt;0),"Yes",IF(AND(SUMPRODUCT(('Target &amp; Team Lists'!$N$5:$N$60&lt;&gt;"")*ISNUMBER(SEARCH('Target &amp; Team Lists'!$N$5:$N$60,(E575&amp;" "&amp;F575))))&gt;0,SUMPRODUCT(('Target &amp; Team Lists'!$O$5:$O$60&lt;&gt;"")*ISNUMBER(SEARCH('Target &amp; Team Lists'!$O$5:$O$60,(E575&amp;" "&amp;F575))))=0),"Yes","No"))))</f>
        <v/>
      </c>
      <c r="Q575" s="32"/>
    </row>
    <row r="576" customFormat="false" ht="15" hidden="false" customHeight="false" outlineLevel="0" collapsed="false">
      <c r="A576" s="30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3" t="str">
        <f aca="false">IF(D576="","",IF(SUM(I576:L576)&gt;0,1,0))</f>
        <v/>
      </c>
      <c r="O576" s="34" t="str">
        <f aca="false">IF(D576="","",IF(OR(COUNTIF('Target &amp; Team Lists'!$J$5:$J$204,D576)&gt;0,AND(H576&lt;&gt;"",COUNTIF('Target &amp; Team Lists'!$L$5:$L$204,H576)&gt;0),ISNUMBER(SEARCH("alpha nodus",(E576&amp;" "&amp;F576))),ISNUMBER(SEARCH("alphanodus",(E576&amp;" "&amp;F576)))),"Yes","No"))</f>
        <v/>
      </c>
      <c r="P576" s="34" t="str">
        <f aca="false">IF(D576="","",IF(O576="Yes","No",IF(OR(AND(F576&lt;&gt;"",COUNTIF('Target &amp; Team Lists'!$A$5:$A$504,F576)&gt;0),COUNTIF('Target &amp; Team Lists'!$E$5:$E$504,D576)&gt;0),"Yes",IF(AND(SUMPRODUCT(('Target &amp; Team Lists'!$N$5:$N$60&lt;&gt;"")*ISNUMBER(SEARCH('Target &amp; Team Lists'!$N$5:$N$60,(E576&amp;" "&amp;F576))))&gt;0,SUMPRODUCT(('Target &amp; Team Lists'!$O$5:$O$60&lt;&gt;"")*ISNUMBER(SEARCH('Target &amp; Team Lists'!$O$5:$O$60,(E576&amp;" "&amp;F576))))=0),"Yes","No"))))</f>
        <v/>
      </c>
      <c r="Q576" s="32"/>
    </row>
    <row r="577" customFormat="false" ht="15" hidden="false" customHeight="false" outlineLevel="0" collapsed="false">
      <c r="A577" s="30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3" t="str">
        <f aca="false">IF(D577="","",IF(SUM(I577:L577)&gt;0,1,0))</f>
        <v/>
      </c>
      <c r="O577" s="34" t="str">
        <f aca="false">IF(D577="","",IF(OR(COUNTIF('Target &amp; Team Lists'!$J$5:$J$204,D577)&gt;0,AND(H577&lt;&gt;"",COUNTIF('Target &amp; Team Lists'!$L$5:$L$204,H577)&gt;0),ISNUMBER(SEARCH("alpha nodus",(E577&amp;" "&amp;F577))),ISNUMBER(SEARCH("alphanodus",(E577&amp;" "&amp;F577)))),"Yes","No"))</f>
        <v/>
      </c>
      <c r="P577" s="34" t="str">
        <f aca="false">IF(D577="","",IF(O577="Yes","No",IF(OR(AND(F577&lt;&gt;"",COUNTIF('Target &amp; Team Lists'!$A$5:$A$504,F577)&gt;0),COUNTIF('Target &amp; Team Lists'!$E$5:$E$504,D577)&gt;0),"Yes",IF(AND(SUMPRODUCT(('Target &amp; Team Lists'!$N$5:$N$60&lt;&gt;"")*ISNUMBER(SEARCH('Target &amp; Team Lists'!$N$5:$N$60,(E577&amp;" "&amp;F577))))&gt;0,SUMPRODUCT(('Target &amp; Team Lists'!$O$5:$O$60&lt;&gt;"")*ISNUMBER(SEARCH('Target &amp; Team Lists'!$O$5:$O$60,(E577&amp;" "&amp;F577))))=0),"Yes","No"))))</f>
        <v/>
      </c>
      <c r="Q577" s="32"/>
    </row>
    <row r="578" customFormat="false" ht="15" hidden="false" customHeight="false" outlineLevel="0" collapsed="false">
      <c r="A578" s="30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3" t="str">
        <f aca="false">IF(D578="","",IF(SUM(I578:L578)&gt;0,1,0))</f>
        <v/>
      </c>
      <c r="O578" s="34" t="str">
        <f aca="false">IF(D578="","",IF(OR(COUNTIF('Target &amp; Team Lists'!$J$5:$J$204,D578)&gt;0,AND(H578&lt;&gt;"",COUNTIF('Target &amp; Team Lists'!$L$5:$L$204,H578)&gt;0),ISNUMBER(SEARCH("alpha nodus",(E578&amp;" "&amp;F578))),ISNUMBER(SEARCH("alphanodus",(E578&amp;" "&amp;F578)))),"Yes","No"))</f>
        <v/>
      </c>
      <c r="P578" s="34" t="str">
        <f aca="false">IF(D578="","",IF(O578="Yes","No",IF(OR(AND(F578&lt;&gt;"",COUNTIF('Target &amp; Team Lists'!$A$5:$A$504,F578)&gt;0),COUNTIF('Target &amp; Team Lists'!$E$5:$E$504,D578)&gt;0),"Yes",IF(AND(SUMPRODUCT(('Target &amp; Team Lists'!$N$5:$N$60&lt;&gt;"")*ISNUMBER(SEARCH('Target &amp; Team Lists'!$N$5:$N$60,(E578&amp;" "&amp;F578))))&gt;0,SUMPRODUCT(('Target &amp; Team Lists'!$O$5:$O$60&lt;&gt;"")*ISNUMBER(SEARCH('Target &amp; Team Lists'!$O$5:$O$60,(E578&amp;" "&amp;F578))))=0),"Yes","No"))))</f>
        <v/>
      </c>
      <c r="Q578" s="32"/>
    </row>
    <row r="579" customFormat="false" ht="15" hidden="false" customHeight="false" outlineLevel="0" collapsed="false">
      <c r="A579" s="30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3" t="str">
        <f aca="false">IF(D579="","",IF(SUM(I579:L579)&gt;0,1,0))</f>
        <v/>
      </c>
      <c r="O579" s="34" t="str">
        <f aca="false">IF(D579="","",IF(OR(COUNTIF('Target &amp; Team Lists'!$J$5:$J$204,D579)&gt;0,AND(H579&lt;&gt;"",COUNTIF('Target &amp; Team Lists'!$L$5:$L$204,H579)&gt;0),ISNUMBER(SEARCH("alpha nodus",(E579&amp;" "&amp;F579))),ISNUMBER(SEARCH("alphanodus",(E579&amp;" "&amp;F579)))),"Yes","No"))</f>
        <v/>
      </c>
      <c r="P579" s="34" t="str">
        <f aca="false">IF(D579="","",IF(O579="Yes","No",IF(OR(AND(F579&lt;&gt;"",COUNTIF('Target &amp; Team Lists'!$A$5:$A$504,F579)&gt;0),COUNTIF('Target &amp; Team Lists'!$E$5:$E$504,D579)&gt;0),"Yes",IF(AND(SUMPRODUCT(('Target &amp; Team Lists'!$N$5:$N$60&lt;&gt;"")*ISNUMBER(SEARCH('Target &amp; Team Lists'!$N$5:$N$60,(E579&amp;" "&amp;F579))))&gt;0,SUMPRODUCT(('Target &amp; Team Lists'!$O$5:$O$60&lt;&gt;"")*ISNUMBER(SEARCH('Target &amp; Team Lists'!$O$5:$O$60,(E579&amp;" "&amp;F579))))=0),"Yes","No"))))</f>
        <v/>
      </c>
      <c r="Q579" s="32"/>
    </row>
    <row r="580" customFormat="false" ht="15" hidden="false" customHeight="false" outlineLevel="0" collapsed="false">
      <c r="A580" s="30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3" t="str">
        <f aca="false">IF(D580="","",IF(SUM(I580:L580)&gt;0,1,0))</f>
        <v/>
      </c>
      <c r="O580" s="34" t="str">
        <f aca="false">IF(D580="","",IF(OR(COUNTIF('Target &amp; Team Lists'!$J$5:$J$204,D580)&gt;0,AND(H580&lt;&gt;"",COUNTIF('Target &amp; Team Lists'!$L$5:$L$204,H580)&gt;0),ISNUMBER(SEARCH("alpha nodus",(E580&amp;" "&amp;F580))),ISNUMBER(SEARCH("alphanodus",(E580&amp;" "&amp;F580)))),"Yes","No"))</f>
        <v/>
      </c>
      <c r="P580" s="34" t="str">
        <f aca="false">IF(D580="","",IF(O580="Yes","No",IF(OR(AND(F580&lt;&gt;"",COUNTIF('Target &amp; Team Lists'!$A$5:$A$504,F580)&gt;0),COUNTIF('Target &amp; Team Lists'!$E$5:$E$504,D580)&gt;0),"Yes",IF(AND(SUMPRODUCT(('Target &amp; Team Lists'!$N$5:$N$60&lt;&gt;"")*ISNUMBER(SEARCH('Target &amp; Team Lists'!$N$5:$N$60,(E580&amp;" "&amp;F580))))&gt;0,SUMPRODUCT(('Target &amp; Team Lists'!$O$5:$O$60&lt;&gt;"")*ISNUMBER(SEARCH('Target &amp; Team Lists'!$O$5:$O$60,(E580&amp;" "&amp;F580))))=0),"Yes","No"))))</f>
        <v/>
      </c>
      <c r="Q580" s="32"/>
    </row>
    <row r="581" customFormat="false" ht="15" hidden="false" customHeight="false" outlineLevel="0" collapsed="false">
      <c r="A581" s="30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3" t="str">
        <f aca="false">IF(D581="","",IF(SUM(I581:L581)&gt;0,1,0))</f>
        <v/>
      </c>
      <c r="O581" s="34" t="str">
        <f aca="false">IF(D581="","",IF(OR(COUNTIF('Target &amp; Team Lists'!$J$5:$J$204,D581)&gt;0,AND(H581&lt;&gt;"",COUNTIF('Target &amp; Team Lists'!$L$5:$L$204,H581)&gt;0),ISNUMBER(SEARCH("alpha nodus",(E581&amp;" "&amp;F581))),ISNUMBER(SEARCH("alphanodus",(E581&amp;" "&amp;F581)))),"Yes","No"))</f>
        <v/>
      </c>
      <c r="P581" s="34" t="str">
        <f aca="false">IF(D581="","",IF(O581="Yes","No",IF(OR(AND(F581&lt;&gt;"",COUNTIF('Target &amp; Team Lists'!$A$5:$A$504,F581)&gt;0),COUNTIF('Target &amp; Team Lists'!$E$5:$E$504,D581)&gt;0),"Yes",IF(AND(SUMPRODUCT(('Target &amp; Team Lists'!$N$5:$N$60&lt;&gt;"")*ISNUMBER(SEARCH('Target &amp; Team Lists'!$N$5:$N$60,(E581&amp;" "&amp;F581))))&gt;0,SUMPRODUCT(('Target &amp; Team Lists'!$O$5:$O$60&lt;&gt;"")*ISNUMBER(SEARCH('Target &amp; Team Lists'!$O$5:$O$60,(E581&amp;" "&amp;F581))))=0),"Yes","No"))))</f>
        <v/>
      </c>
      <c r="Q581" s="32"/>
    </row>
    <row r="582" customFormat="false" ht="15" hidden="false" customHeight="false" outlineLevel="0" collapsed="false">
      <c r="A582" s="30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3" t="str">
        <f aca="false">IF(D582="","",IF(SUM(I582:L582)&gt;0,1,0))</f>
        <v/>
      </c>
      <c r="O582" s="34" t="str">
        <f aca="false">IF(D582="","",IF(OR(COUNTIF('Target &amp; Team Lists'!$J$5:$J$204,D582)&gt;0,AND(H582&lt;&gt;"",COUNTIF('Target &amp; Team Lists'!$L$5:$L$204,H582)&gt;0),ISNUMBER(SEARCH("alpha nodus",(E582&amp;" "&amp;F582))),ISNUMBER(SEARCH("alphanodus",(E582&amp;" "&amp;F582)))),"Yes","No"))</f>
        <v/>
      </c>
      <c r="P582" s="34" t="str">
        <f aca="false">IF(D582="","",IF(O582="Yes","No",IF(OR(AND(F582&lt;&gt;"",COUNTIF('Target &amp; Team Lists'!$A$5:$A$504,F582)&gt;0),COUNTIF('Target &amp; Team Lists'!$E$5:$E$504,D582)&gt;0),"Yes",IF(AND(SUMPRODUCT(('Target &amp; Team Lists'!$N$5:$N$60&lt;&gt;"")*ISNUMBER(SEARCH('Target &amp; Team Lists'!$N$5:$N$60,(E582&amp;" "&amp;F582))))&gt;0,SUMPRODUCT(('Target &amp; Team Lists'!$O$5:$O$60&lt;&gt;"")*ISNUMBER(SEARCH('Target &amp; Team Lists'!$O$5:$O$60,(E582&amp;" "&amp;F582))))=0),"Yes","No"))))</f>
        <v/>
      </c>
      <c r="Q582" s="32"/>
    </row>
    <row r="583" customFormat="false" ht="15" hidden="false" customHeight="false" outlineLevel="0" collapsed="false">
      <c r="A583" s="30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3" t="str">
        <f aca="false">IF(D583="","",IF(SUM(I583:L583)&gt;0,1,0))</f>
        <v/>
      </c>
      <c r="O583" s="34" t="str">
        <f aca="false">IF(D583="","",IF(OR(COUNTIF('Target &amp; Team Lists'!$J$5:$J$204,D583)&gt;0,AND(H583&lt;&gt;"",COUNTIF('Target &amp; Team Lists'!$L$5:$L$204,H583)&gt;0),ISNUMBER(SEARCH("alpha nodus",(E583&amp;" "&amp;F583))),ISNUMBER(SEARCH("alphanodus",(E583&amp;" "&amp;F583)))),"Yes","No"))</f>
        <v/>
      </c>
      <c r="P583" s="34" t="str">
        <f aca="false">IF(D583="","",IF(O583="Yes","No",IF(OR(AND(F583&lt;&gt;"",COUNTIF('Target &amp; Team Lists'!$A$5:$A$504,F583)&gt;0),COUNTIF('Target &amp; Team Lists'!$E$5:$E$504,D583)&gt;0),"Yes",IF(AND(SUMPRODUCT(('Target &amp; Team Lists'!$N$5:$N$60&lt;&gt;"")*ISNUMBER(SEARCH('Target &amp; Team Lists'!$N$5:$N$60,(E583&amp;" "&amp;F583))))&gt;0,SUMPRODUCT(('Target &amp; Team Lists'!$O$5:$O$60&lt;&gt;"")*ISNUMBER(SEARCH('Target &amp; Team Lists'!$O$5:$O$60,(E583&amp;" "&amp;F583))))=0),"Yes","No"))))</f>
        <v/>
      </c>
      <c r="Q583" s="32"/>
    </row>
    <row r="584" customFormat="false" ht="15" hidden="false" customHeight="false" outlineLevel="0" collapsed="false">
      <c r="A584" s="30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3" t="str">
        <f aca="false">IF(D584="","",IF(SUM(I584:L584)&gt;0,1,0))</f>
        <v/>
      </c>
      <c r="O584" s="34" t="str">
        <f aca="false">IF(D584="","",IF(OR(COUNTIF('Target &amp; Team Lists'!$J$5:$J$204,D584)&gt;0,AND(H584&lt;&gt;"",COUNTIF('Target &amp; Team Lists'!$L$5:$L$204,H584)&gt;0),ISNUMBER(SEARCH("alpha nodus",(E584&amp;" "&amp;F584))),ISNUMBER(SEARCH("alphanodus",(E584&amp;" "&amp;F584)))),"Yes","No"))</f>
        <v/>
      </c>
      <c r="P584" s="34" t="str">
        <f aca="false">IF(D584="","",IF(O584="Yes","No",IF(OR(AND(F584&lt;&gt;"",COUNTIF('Target &amp; Team Lists'!$A$5:$A$504,F584)&gt;0),COUNTIF('Target &amp; Team Lists'!$E$5:$E$504,D584)&gt;0),"Yes",IF(AND(SUMPRODUCT(('Target &amp; Team Lists'!$N$5:$N$60&lt;&gt;"")*ISNUMBER(SEARCH('Target &amp; Team Lists'!$N$5:$N$60,(E584&amp;" "&amp;F584))))&gt;0,SUMPRODUCT(('Target &amp; Team Lists'!$O$5:$O$60&lt;&gt;"")*ISNUMBER(SEARCH('Target &amp; Team Lists'!$O$5:$O$60,(E584&amp;" "&amp;F584))))=0),"Yes","No"))))</f>
        <v/>
      </c>
      <c r="Q584" s="32"/>
    </row>
    <row r="585" customFormat="false" ht="15" hidden="false" customHeight="false" outlineLevel="0" collapsed="false">
      <c r="A585" s="30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3" t="str">
        <f aca="false">IF(D585="","",IF(SUM(I585:L585)&gt;0,1,0))</f>
        <v/>
      </c>
      <c r="O585" s="34" t="str">
        <f aca="false">IF(D585="","",IF(OR(COUNTIF('Target &amp; Team Lists'!$J$5:$J$204,D585)&gt;0,AND(H585&lt;&gt;"",COUNTIF('Target &amp; Team Lists'!$L$5:$L$204,H585)&gt;0),ISNUMBER(SEARCH("alpha nodus",(E585&amp;" "&amp;F585))),ISNUMBER(SEARCH("alphanodus",(E585&amp;" "&amp;F585)))),"Yes","No"))</f>
        <v/>
      </c>
      <c r="P585" s="34" t="str">
        <f aca="false">IF(D585="","",IF(O585="Yes","No",IF(OR(AND(F585&lt;&gt;"",COUNTIF('Target &amp; Team Lists'!$A$5:$A$504,F585)&gt;0),COUNTIF('Target &amp; Team Lists'!$E$5:$E$504,D585)&gt;0),"Yes",IF(AND(SUMPRODUCT(('Target &amp; Team Lists'!$N$5:$N$60&lt;&gt;"")*ISNUMBER(SEARCH('Target &amp; Team Lists'!$N$5:$N$60,(E585&amp;" "&amp;F585))))&gt;0,SUMPRODUCT(('Target &amp; Team Lists'!$O$5:$O$60&lt;&gt;"")*ISNUMBER(SEARCH('Target &amp; Team Lists'!$O$5:$O$60,(E585&amp;" "&amp;F585))))=0),"Yes","No"))))</f>
        <v/>
      </c>
      <c r="Q585" s="32"/>
    </row>
    <row r="586" customFormat="false" ht="15" hidden="false" customHeight="false" outlineLevel="0" collapsed="false">
      <c r="A586" s="30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3" t="str">
        <f aca="false">IF(D586="","",IF(SUM(I586:L586)&gt;0,1,0))</f>
        <v/>
      </c>
      <c r="O586" s="34" t="str">
        <f aca="false">IF(D586="","",IF(OR(COUNTIF('Target &amp; Team Lists'!$J$5:$J$204,D586)&gt;0,AND(H586&lt;&gt;"",COUNTIF('Target &amp; Team Lists'!$L$5:$L$204,H586)&gt;0),ISNUMBER(SEARCH("alpha nodus",(E586&amp;" "&amp;F586))),ISNUMBER(SEARCH("alphanodus",(E586&amp;" "&amp;F586)))),"Yes","No"))</f>
        <v/>
      </c>
      <c r="P586" s="34" t="str">
        <f aca="false">IF(D586="","",IF(O586="Yes","No",IF(OR(AND(F586&lt;&gt;"",COUNTIF('Target &amp; Team Lists'!$A$5:$A$504,F586)&gt;0),COUNTIF('Target &amp; Team Lists'!$E$5:$E$504,D586)&gt;0),"Yes",IF(AND(SUMPRODUCT(('Target &amp; Team Lists'!$N$5:$N$60&lt;&gt;"")*ISNUMBER(SEARCH('Target &amp; Team Lists'!$N$5:$N$60,(E586&amp;" "&amp;F586))))&gt;0,SUMPRODUCT(('Target &amp; Team Lists'!$O$5:$O$60&lt;&gt;"")*ISNUMBER(SEARCH('Target &amp; Team Lists'!$O$5:$O$60,(E586&amp;" "&amp;F586))))=0),"Yes","No"))))</f>
        <v/>
      </c>
      <c r="Q586" s="32"/>
    </row>
    <row r="587" customFormat="false" ht="15" hidden="false" customHeight="false" outlineLevel="0" collapsed="false">
      <c r="A587" s="30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3" t="str">
        <f aca="false">IF(D587="","",IF(SUM(I587:L587)&gt;0,1,0))</f>
        <v/>
      </c>
      <c r="O587" s="34" t="str">
        <f aca="false">IF(D587="","",IF(OR(COUNTIF('Target &amp; Team Lists'!$J$5:$J$204,D587)&gt;0,AND(H587&lt;&gt;"",COUNTIF('Target &amp; Team Lists'!$L$5:$L$204,H587)&gt;0),ISNUMBER(SEARCH("alpha nodus",(E587&amp;" "&amp;F587))),ISNUMBER(SEARCH("alphanodus",(E587&amp;" "&amp;F587)))),"Yes","No"))</f>
        <v/>
      </c>
      <c r="P587" s="34" t="str">
        <f aca="false">IF(D587="","",IF(O587="Yes","No",IF(OR(AND(F587&lt;&gt;"",COUNTIF('Target &amp; Team Lists'!$A$5:$A$504,F587)&gt;0),COUNTIF('Target &amp; Team Lists'!$E$5:$E$504,D587)&gt;0),"Yes",IF(AND(SUMPRODUCT(('Target &amp; Team Lists'!$N$5:$N$60&lt;&gt;"")*ISNUMBER(SEARCH('Target &amp; Team Lists'!$N$5:$N$60,(E587&amp;" "&amp;F587))))&gt;0,SUMPRODUCT(('Target &amp; Team Lists'!$O$5:$O$60&lt;&gt;"")*ISNUMBER(SEARCH('Target &amp; Team Lists'!$O$5:$O$60,(E587&amp;" "&amp;F587))))=0),"Yes","No"))))</f>
        <v/>
      </c>
      <c r="Q587" s="32"/>
    </row>
    <row r="588" customFormat="false" ht="15" hidden="false" customHeight="false" outlineLevel="0" collapsed="false">
      <c r="A588" s="30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3" t="str">
        <f aca="false">IF(D588="","",IF(SUM(I588:L588)&gt;0,1,0))</f>
        <v/>
      </c>
      <c r="O588" s="34" t="str">
        <f aca="false">IF(D588="","",IF(OR(COUNTIF('Target &amp; Team Lists'!$J$5:$J$204,D588)&gt;0,AND(H588&lt;&gt;"",COUNTIF('Target &amp; Team Lists'!$L$5:$L$204,H588)&gt;0),ISNUMBER(SEARCH("alpha nodus",(E588&amp;" "&amp;F588))),ISNUMBER(SEARCH("alphanodus",(E588&amp;" "&amp;F588)))),"Yes","No"))</f>
        <v/>
      </c>
      <c r="P588" s="34" t="str">
        <f aca="false">IF(D588="","",IF(O588="Yes","No",IF(OR(AND(F588&lt;&gt;"",COUNTIF('Target &amp; Team Lists'!$A$5:$A$504,F588)&gt;0),COUNTIF('Target &amp; Team Lists'!$E$5:$E$504,D588)&gt;0),"Yes",IF(AND(SUMPRODUCT(('Target &amp; Team Lists'!$N$5:$N$60&lt;&gt;"")*ISNUMBER(SEARCH('Target &amp; Team Lists'!$N$5:$N$60,(E588&amp;" "&amp;F588))))&gt;0,SUMPRODUCT(('Target &amp; Team Lists'!$O$5:$O$60&lt;&gt;"")*ISNUMBER(SEARCH('Target &amp; Team Lists'!$O$5:$O$60,(E588&amp;" "&amp;F588))))=0),"Yes","No"))))</f>
        <v/>
      </c>
      <c r="Q588" s="32"/>
    </row>
    <row r="589" customFormat="false" ht="15" hidden="false" customHeight="false" outlineLevel="0" collapsed="false">
      <c r="A589" s="30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3" t="str">
        <f aca="false">IF(D589="","",IF(SUM(I589:L589)&gt;0,1,0))</f>
        <v/>
      </c>
      <c r="O589" s="34" t="str">
        <f aca="false">IF(D589="","",IF(OR(COUNTIF('Target &amp; Team Lists'!$J$5:$J$204,D589)&gt;0,AND(H589&lt;&gt;"",COUNTIF('Target &amp; Team Lists'!$L$5:$L$204,H589)&gt;0),ISNUMBER(SEARCH("alpha nodus",(E589&amp;" "&amp;F589))),ISNUMBER(SEARCH("alphanodus",(E589&amp;" "&amp;F589)))),"Yes","No"))</f>
        <v/>
      </c>
      <c r="P589" s="34" t="str">
        <f aca="false">IF(D589="","",IF(O589="Yes","No",IF(OR(AND(F589&lt;&gt;"",COUNTIF('Target &amp; Team Lists'!$A$5:$A$504,F589)&gt;0),COUNTIF('Target &amp; Team Lists'!$E$5:$E$504,D589)&gt;0),"Yes",IF(AND(SUMPRODUCT(('Target &amp; Team Lists'!$N$5:$N$60&lt;&gt;"")*ISNUMBER(SEARCH('Target &amp; Team Lists'!$N$5:$N$60,(E589&amp;" "&amp;F589))))&gt;0,SUMPRODUCT(('Target &amp; Team Lists'!$O$5:$O$60&lt;&gt;"")*ISNUMBER(SEARCH('Target &amp; Team Lists'!$O$5:$O$60,(E589&amp;" "&amp;F589))))=0),"Yes","No"))))</f>
        <v/>
      </c>
      <c r="Q589" s="32"/>
    </row>
    <row r="590" customFormat="false" ht="15" hidden="false" customHeight="false" outlineLevel="0" collapsed="false">
      <c r="A590" s="30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3" t="str">
        <f aca="false">IF(D590="","",IF(SUM(I590:L590)&gt;0,1,0))</f>
        <v/>
      </c>
      <c r="O590" s="34" t="str">
        <f aca="false">IF(D590="","",IF(OR(COUNTIF('Target &amp; Team Lists'!$J$5:$J$204,D590)&gt;0,AND(H590&lt;&gt;"",COUNTIF('Target &amp; Team Lists'!$L$5:$L$204,H590)&gt;0),ISNUMBER(SEARCH("alpha nodus",(E590&amp;" "&amp;F590))),ISNUMBER(SEARCH("alphanodus",(E590&amp;" "&amp;F590)))),"Yes","No"))</f>
        <v/>
      </c>
      <c r="P590" s="34" t="str">
        <f aca="false">IF(D590="","",IF(O590="Yes","No",IF(OR(AND(F590&lt;&gt;"",COUNTIF('Target &amp; Team Lists'!$A$5:$A$504,F590)&gt;0),COUNTIF('Target &amp; Team Lists'!$E$5:$E$504,D590)&gt;0),"Yes",IF(AND(SUMPRODUCT(('Target &amp; Team Lists'!$N$5:$N$60&lt;&gt;"")*ISNUMBER(SEARCH('Target &amp; Team Lists'!$N$5:$N$60,(E590&amp;" "&amp;F590))))&gt;0,SUMPRODUCT(('Target &amp; Team Lists'!$O$5:$O$60&lt;&gt;"")*ISNUMBER(SEARCH('Target &amp; Team Lists'!$O$5:$O$60,(E590&amp;" "&amp;F590))))=0),"Yes","No"))))</f>
        <v/>
      </c>
      <c r="Q590" s="32"/>
    </row>
    <row r="591" customFormat="false" ht="15" hidden="false" customHeight="false" outlineLevel="0" collapsed="false">
      <c r="A591" s="30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3" t="str">
        <f aca="false">IF(D591="","",IF(SUM(I591:L591)&gt;0,1,0))</f>
        <v/>
      </c>
      <c r="O591" s="34" t="str">
        <f aca="false">IF(D591="","",IF(OR(COUNTIF('Target &amp; Team Lists'!$J$5:$J$204,D591)&gt;0,AND(H591&lt;&gt;"",COUNTIF('Target &amp; Team Lists'!$L$5:$L$204,H591)&gt;0),ISNUMBER(SEARCH("alpha nodus",(E591&amp;" "&amp;F591))),ISNUMBER(SEARCH("alphanodus",(E591&amp;" "&amp;F591)))),"Yes","No"))</f>
        <v/>
      </c>
      <c r="P591" s="34" t="str">
        <f aca="false">IF(D591="","",IF(O591="Yes","No",IF(OR(AND(F591&lt;&gt;"",COUNTIF('Target &amp; Team Lists'!$A$5:$A$504,F591)&gt;0),COUNTIF('Target &amp; Team Lists'!$E$5:$E$504,D591)&gt;0),"Yes",IF(AND(SUMPRODUCT(('Target &amp; Team Lists'!$N$5:$N$60&lt;&gt;"")*ISNUMBER(SEARCH('Target &amp; Team Lists'!$N$5:$N$60,(E591&amp;" "&amp;F591))))&gt;0,SUMPRODUCT(('Target &amp; Team Lists'!$O$5:$O$60&lt;&gt;"")*ISNUMBER(SEARCH('Target &amp; Team Lists'!$O$5:$O$60,(E591&amp;" "&amp;F591))))=0),"Yes","No"))))</f>
        <v/>
      </c>
      <c r="Q591" s="32"/>
    </row>
    <row r="592" customFormat="false" ht="15" hidden="false" customHeight="false" outlineLevel="0" collapsed="false">
      <c r="A592" s="30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3" t="str">
        <f aca="false">IF(D592="","",IF(SUM(I592:L592)&gt;0,1,0))</f>
        <v/>
      </c>
      <c r="O592" s="34" t="str">
        <f aca="false">IF(D592="","",IF(OR(COUNTIF('Target &amp; Team Lists'!$J$5:$J$204,D592)&gt;0,AND(H592&lt;&gt;"",COUNTIF('Target &amp; Team Lists'!$L$5:$L$204,H592)&gt;0),ISNUMBER(SEARCH("alpha nodus",(E592&amp;" "&amp;F592))),ISNUMBER(SEARCH("alphanodus",(E592&amp;" "&amp;F592)))),"Yes","No"))</f>
        <v/>
      </c>
      <c r="P592" s="34" t="str">
        <f aca="false">IF(D592="","",IF(O592="Yes","No",IF(OR(AND(F592&lt;&gt;"",COUNTIF('Target &amp; Team Lists'!$A$5:$A$504,F592)&gt;0),COUNTIF('Target &amp; Team Lists'!$E$5:$E$504,D592)&gt;0),"Yes",IF(AND(SUMPRODUCT(('Target &amp; Team Lists'!$N$5:$N$60&lt;&gt;"")*ISNUMBER(SEARCH('Target &amp; Team Lists'!$N$5:$N$60,(E592&amp;" "&amp;F592))))&gt;0,SUMPRODUCT(('Target &amp; Team Lists'!$O$5:$O$60&lt;&gt;"")*ISNUMBER(SEARCH('Target &amp; Team Lists'!$O$5:$O$60,(E592&amp;" "&amp;F592))))=0),"Yes","No"))))</f>
        <v/>
      </c>
      <c r="Q592" s="32"/>
    </row>
    <row r="593" customFormat="false" ht="15" hidden="false" customHeight="false" outlineLevel="0" collapsed="false">
      <c r="A593" s="30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3" t="str">
        <f aca="false">IF(D593="","",IF(SUM(I593:L593)&gt;0,1,0))</f>
        <v/>
      </c>
      <c r="O593" s="34" t="str">
        <f aca="false">IF(D593="","",IF(OR(COUNTIF('Target &amp; Team Lists'!$J$5:$J$204,D593)&gt;0,AND(H593&lt;&gt;"",COUNTIF('Target &amp; Team Lists'!$L$5:$L$204,H593)&gt;0),ISNUMBER(SEARCH("alpha nodus",(E593&amp;" "&amp;F593))),ISNUMBER(SEARCH("alphanodus",(E593&amp;" "&amp;F593)))),"Yes","No"))</f>
        <v/>
      </c>
      <c r="P593" s="34" t="str">
        <f aca="false">IF(D593="","",IF(O593="Yes","No",IF(OR(AND(F593&lt;&gt;"",COUNTIF('Target &amp; Team Lists'!$A$5:$A$504,F593)&gt;0),COUNTIF('Target &amp; Team Lists'!$E$5:$E$504,D593)&gt;0),"Yes",IF(AND(SUMPRODUCT(('Target &amp; Team Lists'!$N$5:$N$60&lt;&gt;"")*ISNUMBER(SEARCH('Target &amp; Team Lists'!$N$5:$N$60,(E593&amp;" "&amp;F593))))&gt;0,SUMPRODUCT(('Target &amp; Team Lists'!$O$5:$O$60&lt;&gt;"")*ISNUMBER(SEARCH('Target &amp; Team Lists'!$O$5:$O$60,(E593&amp;" "&amp;F593))))=0),"Yes","No"))))</f>
        <v/>
      </c>
      <c r="Q593" s="32"/>
    </row>
    <row r="594" customFormat="false" ht="15" hidden="false" customHeight="false" outlineLevel="0" collapsed="false">
      <c r="A594" s="30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3" t="str">
        <f aca="false">IF(D594="","",IF(SUM(I594:L594)&gt;0,1,0))</f>
        <v/>
      </c>
      <c r="O594" s="34" t="str">
        <f aca="false">IF(D594="","",IF(OR(COUNTIF('Target &amp; Team Lists'!$J$5:$J$204,D594)&gt;0,AND(H594&lt;&gt;"",COUNTIF('Target &amp; Team Lists'!$L$5:$L$204,H594)&gt;0),ISNUMBER(SEARCH("alpha nodus",(E594&amp;" "&amp;F594))),ISNUMBER(SEARCH("alphanodus",(E594&amp;" "&amp;F594)))),"Yes","No"))</f>
        <v/>
      </c>
      <c r="P594" s="34" t="str">
        <f aca="false">IF(D594="","",IF(O594="Yes","No",IF(OR(AND(F594&lt;&gt;"",COUNTIF('Target &amp; Team Lists'!$A$5:$A$504,F594)&gt;0),COUNTIF('Target &amp; Team Lists'!$E$5:$E$504,D594)&gt;0),"Yes",IF(AND(SUMPRODUCT(('Target &amp; Team Lists'!$N$5:$N$60&lt;&gt;"")*ISNUMBER(SEARCH('Target &amp; Team Lists'!$N$5:$N$60,(E594&amp;" "&amp;F594))))&gt;0,SUMPRODUCT(('Target &amp; Team Lists'!$O$5:$O$60&lt;&gt;"")*ISNUMBER(SEARCH('Target &amp; Team Lists'!$O$5:$O$60,(E594&amp;" "&amp;F594))))=0),"Yes","No"))))</f>
        <v/>
      </c>
      <c r="Q594" s="32"/>
    </row>
    <row r="595" customFormat="false" ht="15" hidden="false" customHeight="false" outlineLevel="0" collapsed="false">
      <c r="A595" s="30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3" t="str">
        <f aca="false">IF(D595="","",IF(SUM(I595:L595)&gt;0,1,0))</f>
        <v/>
      </c>
      <c r="O595" s="34" t="str">
        <f aca="false">IF(D595="","",IF(OR(COUNTIF('Target &amp; Team Lists'!$J$5:$J$204,D595)&gt;0,AND(H595&lt;&gt;"",COUNTIF('Target &amp; Team Lists'!$L$5:$L$204,H595)&gt;0),ISNUMBER(SEARCH("alpha nodus",(E595&amp;" "&amp;F595))),ISNUMBER(SEARCH("alphanodus",(E595&amp;" "&amp;F595)))),"Yes","No"))</f>
        <v/>
      </c>
      <c r="P595" s="34" t="str">
        <f aca="false">IF(D595="","",IF(O595="Yes","No",IF(OR(AND(F595&lt;&gt;"",COUNTIF('Target &amp; Team Lists'!$A$5:$A$504,F595)&gt;0),COUNTIF('Target &amp; Team Lists'!$E$5:$E$504,D595)&gt;0),"Yes",IF(AND(SUMPRODUCT(('Target &amp; Team Lists'!$N$5:$N$60&lt;&gt;"")*ISNUMBER(SEARCH('Target &amp; Team Lists'!$N$5:$N$60,(E595&amp;" "&amp;F595))))&gt;0,SUMPRODUCT(('Target &amp; Team Lists'!$O$5:$O$60&lt;&gt;"")*ISNUMBER(SEARCH('Target &amp; Team Lists'!$O$5:$O$60,(E595&amp;" "&amp;F595))))=0),"Yes","No"))))</f>
        <v/>
      </c>
      <c r="Q595" s="32"/>
    </row>
    <row r="596" customFormat="false" ht="15" hidden="false" customHeight="false" outlineLevel="0" collapsed="false">
      <c r="A596" s="30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3" t="str">
        <f aca="false">IF(D596="","",IF(SUM(I596:L596)&gt;0,1,0))</f>
        <v/>
      </c>
      <c r="O596" s="34" t="str">
        <f aca="false">IF(D596="","",IF(OR(COUNTIF('Target &amp; Team Lists'!$J$5:$J$204,D596)&gt;0,AND(H596&lt;&gt;"",COUNTIF('Target &amp; Team Lists'!$L$5:$L$204,H596)&gt;0),ISNUMBER(SEARCH("alpha nodus",(E596&amp;" "&amp;F596))),ISNUMBER(SEARCH("alphanodus",(E596&amp;" "&amp;F596)))),"Yes","No"))</f>
        <v/>
      </c>
      <c r="P596" s="34" t="str">
        <f aca="false">IF(D596="","",IF(O596="Yes","No",IF(OR(AND(F596&lt;&gt;"",COUNTIF('Target &amp; Team Lists'!$A$5:$A$504,F596)&gt;0),COUNTIF('Target &amp; Team Lists'!$E$5:$E$504,D596)&gt;0),"Yes",IF(AND(SUMPRODUCT(('Target &amp; Team Lists'!$N$5:$N$60&lt;&gt;"")*ISNUMBER(SEARCH('Target &amp; Team Lists'!$N$5:$N$60,(E596&amp;" "&amp;F596))))&gt;0,SUMPRODUCT(('Target &amp; Team Lists'!$O$5:$O$60&lt;&gt;"")*ISNUMBER(SEARCH('Target &amp; Team Lists'!$O$5:$O$60,(E596&amp;" "&amp;F596))))=0),"Yes","No"))))</f>
        <v/>
      </c>
      <c r="Q596" s="32"/>
    </row>
    <row r="597" customFormat="false" ht="15" hidden="false" customHeight="false" outlineLevel="0" collapsed="false">
      <c r="A597" s="30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3" t="str">
        <f aca="false">IF(D597="","",IF(SUM(I597:L597)&gt;0,1,0))</f>
        <v/>
      </c>
      <c r="O597" s="34" t="str">
        <f aca="false">IF(D597="","",IF(OR(COUNTIF('Target &amp; Team Lists'!$J$5:$J$204,D597)&gt;0,AND(H597&lt;&gt;"",COUNTIF('Target &amp; Team Lists'!$L$5:$L$204,H597)&gt;0),ISNUMBER(SEARCH("alpha nodus",(E597&amp;" "&amp;F597))),ISNUMBER(SEARCH("alphanodus",(E597&amp;" "&amp;F597)))),"Yes","No"))</f>
        <v/>
      </c>
      <c r="P597" s="34" t="str">
        <f aca="false">IF(D597="","",IF(O597="Yes","No",IF(OR(AND(F597&lt;&gt;"",COUNTIF('Target &amp; Team Lists'!$A$5:$A$504,F597)&gt;0),COUNTIF('Target &amp; Team Lists'!$E$5:$E$504,D597)&gt;0),"Yes",IF(AND(SUMPRODUCT(('Target &amp; Team Lists'!$N$5:$N$60&lt;&gt;"")*ISNUMBER(SEARCH('Target &amp; Team Lists'!$N$5:$N$60,(E597&amp;" "&amp;F597))))&gt;0,SUMPRODUCT(('Target &amp; Team Lists'!$O$5:$O$60&lt;&gt;"")*ISNUMBER(SEARCH('Target &amp; Team Lists'!$O$5:$O$60,(E597&amp;" "&amp;F597))))=0),"Yes","No"))))</f>
        <v/>
      </c>
      <c r="Q597" s="32"/>
    </row>
    <row r="598" customFormat="false" ht="15" hidden="false" customHeight="false" outlineLevel="0" collapsed="false">
      <c r="A598" s="30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3" t="str">
        <f aca="false">IF(D598="","",IF(SUM(I598:L598)&gt;0,1,0))</f>
        <v/>
      </c>
      <c r="O598" s="34" t="str">
        <f aca="false">IF(D598="","",IF(OR(COUNTIF('Target &amp; Team Lists'!$J$5:$J$204,D598)&gt;0,AND(H598&lt;&gt;"",COUNTIF('Target &amp; Team Lists'!$L$5:$L$204,H598)&gt;0),ISNUMBER(SEARCH("alpha nodus",(E598&amp;" "&amp;F598))),ISNUMBER(SEARCH("alphanodus",(E598&amp;" "&amp;F598)))),"Yes","No"))</f>
        <v/>
      </c>
      <c r="P598" s="34" t="str">
        <f aca="false">IF(D598="","",IF(O598="Yes","No",IF(OR(AND(F598&lt;&gt;"",COUNTIF('Target &amp; Team Lists'!$A$5:$A$504,F598)&gt;0),COUNTIF('Target &amp; Team Lists'!$E$5:$E$504,D598)&gt;0),"Yes",IF(AND(SUMPRODUCT(('Target &amp; Team Lists'!$N$5:$N$60&lt;&gt;"")*ISNUMBER(SEARCH('Target &amp; Team Lists'!$N$5:$N$60,(E598&amp;" "&amp;F598))))&gt;0,SUMPRODUCT(('Target &amp; Team Lists'!$O$5:$O$60&lt;&gt;"")*ISNUMBER(SEARCH('Target &amp; Team Lists'!$O$5:$O$60,(E598&amp;" "&amp;F598))))=0),"Yes","No"))))</f>
        <v/>
      </c>
      <c r="Q598" s="32"/>
    </row>
    <row r="599" customFormat="false" ht="15" hidden="false" customHeight="false" outlineLevel="0" collapsed="false">
      <c r="A599" s="30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3" t="str">
        <f aca="false">IF(D599="","",IF(SUM(I599:L599)&gt;0,1,0))</f>
        <v/>
      </c>
      <c r="O599" s="34" t="str">
        <f aca="false">IF(D599="","",IF(OR(COUNTIF('Target &amp; Team Lists'!$J$5:$J$204,D599)&gt;0,AND(H599&lt;&gt;"",COUNTIF('Target &amp; Team Lists'!$L$5:$L$204,H599)&gt;0),ISNUMBER(SEARCH("alpha nodus",(E599&amp;" "&amp;F599))),ISNUMBER(SEARCH("alphanodus",(E599&amp;" "&amp;F599)))),"Yes","No"))</f>
        <v/>
      </c>
      <c r="P599" s="34" t="str">
        <f aca="false">IF(D599="","",IF(O599="Yes","No",IF(OR(AND(F599&lt;&gt;"",COUNTIF('Target &amp; Team Lists'!$A$5:$A$504,F599)&gt;0),COUNTIF('Target &amp; Team Lists'!$E$5:$E$504,D599)&gt;0),"Yes",IF(AND(SUMPRODUCT(('Target &amp; Team Lists'!$N$5:$N$60&lt;&gt;"")*ISNUMBER(SEARCH('Target &amp; Team Lists'!$N$5:$N$60,(E599&amp;" "&amp;F599))))&gt;0,SUMPRODUCT(('Target &amp; Team Lists'!$O$5:$O$60&lt;&gt;"")*ISNUMBER(SEARCH('Target &amp; Team Lists'!$O$5:$O$60,(E599&amp;" "&amp;F599))))=0),"Yes","No"))))</f>
        <v/>
      </c>
      <c r="Q599" s="32"/>
    </row>
    <row r="600" customFormat="false" ht="15" hidden="false" customHeight="false" outlineLevel="0" collapsed="false">
      <c r="A600" s="30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3" t="str">
        <f aca="false">IF(D600="","",IF(SUM(I600:L600)&gt;0,1,0))</f>
        <v/>
      </c>
      <c r="O600" s="34" t="str">
        <f aca="false">IF(D600="","",IF(OR(COUNTIF('Target &amp; Team Lists'!$J$5:$J$204,D600)&gt;0,AND(H600&lt;&gt;"",COUNTIF('Target &amp; Team Lists'!$L$5:$L$204,H600)&gt;0),ISNUMBER(SEARCH("alpha nodus",(E600&amp;" "&amp;F600))),ISNUMBER(SEARCH("alphanodus",(E600&amp;" "&amp;F600)))),"Yes","No"))</f>
        <v/>
      </c>
      <c r="P600" s="34" t="str">
        <f aca="false">IF(D600="","",IF(O600="Yes","No",IF(OR(AND(F600&lt;&gt;"",COUNTIF('Target &amp; Team Lists'!$A$5:$A$504,F600)&gt;0),COUNTIF('Target &amp; Team Lists'!$E$5:$E$504,D600)&gt;0),"Yes",IF(AND(SUMPRODUCT(('Target &amp; Team Lists'!$N$5:$N$60&lt;&gt;"")*ISNUMBER(SEARCH('Target &amp; Team Lists'!$N$5:$N$60,(E600&amp;" "&amp;F600))))&gt;0,SUMPRODUCT(('Target &amp; Team Lists'!$O$5:$O$60&lt;&gt;"")*ISNUMBER(SEARCH('Target &amp; Team Lists'!$O$5:$O$60,(E600&amp;" "&amp;F600))))=0),"Yes","No"))))</f>
        <v/>
      </c>
      <c r="Q600" s="32"/>
    </row>
    <row r="601" customFormat="false" ht="15" hidden="false" customHeight="false" outlineLevel="0" collapsed="false">
      <c r="A601" s="30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3" t="str">
        <f aca="false">IF(D601="","",IF(SUM(I601:L601)&gt;0,1,0))</f>
        <v/>
      </c>
      <c r="O601" s="34" t="str">
        <f aca="false">IF(D601="","",IF(OR(COUNTIF('Target &amp; Team Lists'!$J$5:$J$204,D601)&gt;0,AND(H601&lt;&gt;"",COUNTIF('Target &amp; Team Lists'!$L$5:$L$204,H601)&gt;0),ISNUMBER(SEARCH("alpha nodus",(E601&amp;" "&amp;F601))),ISNUMBER(SEARCH("alphanodus",(E601&amp;" "&amp;F601)))),"Yes","No"))</f>
        <v/>
      </c>
      <c r="P601" s="34" t="str">
        <f aca="false">IF(D601="","",IF(O601="Yes","No",IF(OR(AND(F601&lt;&gt;"",COUNTIF('Target &amp; Team Lists'!$A$5:$A$504,F601)&gt;0),COUNTIF('Target &amp; Team Lists'!$E$5:$E$504,D601)&gt;0),"Yes",IF(AND(SUMPRODUCT(('Target &amp; Team Lists'!$N$5:$N$60&lt;&gt;"")*ISNUMBER(SEARCH('Target &amp; Team Lists'!$N$5:$N$60,(E601&amp;" "&amp;F601))))&gt;0,SUMPRODUCT(('Target &amp; Team Lists'!$O$5:$O$60&lt;&gt;"")*ISNUMBER(SEARCH('Target &amp; Team Lists'!$O$5:$O$60,(E601&amp;" "&amp;F601))))=0),"Yes","No"))))</f>
        <v/>
      </c>
      <c r="Q601" s="32"/>
    </row>
    <row r="602" customFormat="false" ht="15" hidden="false" customHeight="false" outlineLevel="0" collapsed="false">
      <c r="A602" s="30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3" t="str">
        <f aca="false">IF(D602="","",IF(SUM(I602:L602)&gt;0,1,0))</f>
        <v/>
      </c>
      <c r="O602" s="34" t="str">
        <f aca="false">IF(D602="","",IF(OR(COUNTIF('Target &amp; Team Lists'!$J$5:$J$204,D602)&gt;0,AND(H602&lt;&gt;"",COUNTIF('Target &amp; Team Lists'!$L$5:$L$204,H602)&gt;0),ISNUMBER(SEARCH("alpha nodus",(E602&amp;" "&amp;F602))),ISNUMBER(SEARCH("alphanodus",(E602&amp;" "&amp;F602)))),"Yes","No"))</f>
        <v/>
      </c>
      <c r="P602" s="34" t="str">
        <f aca="false">IF(D602="","",IF(O602="Yes","No",IF(OR(AND(F602&lt;&gt;"",COUNTIF('Target &amp; Team Lists'!$A$5:$A$504,F602)&gt;0),COUNTIF('Target &amp; Team Lists'!$E$5:$E$504,D602)&gt;0),"Yes",IF(AND(SUMPRODUCT(('Target &amp; Team Lists'!$N$5:$N$60&lt;&gt;"")*ISNUMBER(SEARCH('Target &amp; Team Lists'!$N$5:$N$60,(E602&amp;" "&amp;F602))))&gt;0,SUMPRODUCT(('Target &amp; Team Lists'!$O$5:$O$60&lt;&gt;"")*ISNUMBER(SEARCH('Target &amp; Team Lists'!$O$5:$O$60,(E602&amp;" "&amp;F602))))=0),"Yes","No"))))</f>
        <v/>
      </c>
      <c r="Q602" s="32"/>
    </row>
    <row r="603" customFormat="false" ht="15" hidden="false" customHeight="false" outlineLevel="0" collapsed="false">
      <c r="A603" s="30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3" t="str">
        <f aca="false">IF(D603="","",IF(SUM(I603:L603)&gt;0,1,0))</f>
        <v/>
      </c>
      <c r="O603" s="34" t="str">
        <f aca="false">IF(D603="","",IF(OR(COUNTIF('Target &amp; Team Lists'!$J$5:$J$204,D603)&gt;0,AND(H603&lt;&gt;"",COUNTIF('Target &amp; Team Lists'!$L$5:$L$204,H603)&gt;0),ISNUMBER(SEARCH("alpha nodus",(E603&amp;" "&amp;F603))),ISNUMBER(SEARCH("alphanodus",(E603&amp;" "&amp;F603)))),"Yes","No"))</f>
        <v/>
      </c>
      <c r="P603" s="34" t="str">
        <f aca="false">IF(D603="","",IF(O603="Yes","No",IF(OR(AND(F603&lt;&gt;"",COUNTIF('Target &amp; Team Lists'!$A$5:$A$504,F603)&gt;0),COUNTIF('Target &amp; Team Lists'!$E$5:$E$504,D603)&gt;0),"Yes",IF(AND(SUMPRODUCT(('Target &amp; Team Lists'!$N$5:$N$60&lt;&gt;"")*ISNUMBER(SEARCH('Target &amp; Team Lists'!$N$5:$N$60,(E603&amp;" "&amp;F603))))&gt;0,SUMPRODUCT(('Target &amp; Team Lists'!$O$5:$O$60&lt;&gt;"")*ISNUMBER(SEARCH('Target &amp; Team Lists'!$O$5:$O$60,(E603&amp;" "&amp;F603))))=0),"Yes","No"))))</f>
        <v/>
      </c>
      <c r="Q603" s="32"/>
    </row>
    <row r="604" customFormat="false" ht="15" hidden="false" customHeight="false" outlineLevel="0" collapsed="false">
      <c r="A604" s="30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3" t="str">
        <f aca="false">IF(D604="","",IF(SUM(I604:L604)&gt;0,1,0))</f>
        <v/>
      </c>
      <c r="O604" s="34" t="str">
        <f aca="false">IF(D604="","",IF(OR(COUNTIF('Target &amp; Team Lists'!$J$5:$J$204,D604)&gt;0,AND(H604&lt;&gt;"",COUNTIF('Target &amp; Team Lists'!$L$5:$L$204,H604)&gt;0),ISNUMBER(SEARCH("alpha nodus",(E604&amp;" "&amp;F604))),ISNUMBER(SEARCH("alphanodus",(E604&amp;" "&amp;F604)))),"Yes","No"))</f>
        <v/>
      </c>
      <c r="P604" s="34" t="str">
        <f aca="false">IF(D604="","",IF(O604="Yes","No",IF(OR(AND(F604&lt;&gt;"",COUNTIF('Target &amp; Team Lists'!$A$5:$A$504,F604)&gt;0),COUNTIF('Target &amp; Team Lists'!$E$5:$E$504,D604)&gt;0),"Yes",IF(AND(SUMPRODUCT(('Target &amp; Team Lists'!$N$5:$N$60&lt;&gt;"")*ISNUMBER(SEARCH('Target &amp; Team Lists'!$N$5:$N$60,(E604&amp;" "&amp;F604))))&gt;0,SUMPRODUCT(('Target &amp; Team Lists'!$O$5:$O$60&lt;&gt;"")*ISNUMBER(SEARCH('Target &amp; Team Lists'!$O$5:$O$60,(E604&amp;" "&amp;F604))))=0),"Yes","No"))))</f>
        <v/>
      </c>
      <c r="Q604" s="32"/>
    </row>
    <row r="605" customFormat="false" ht="15" hidden="false" customHeight="false" outlineLevel="0" collapsed="false">
      <c r="A605" s="30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3" t="str">
        <f aca="false">IF(D605="","",IF(SUM(I605:L605)&gt;0,1,0))</f>
        <v/>
      </c>
      <c r="O605" s="34" t="str">
        <f aca="false">IF(D605="","",IF(OR(COUNTIF('Target &amp; Team Lists'!$J$5:$J$204,D605)&gt;0,AND(H605&lt;&gt;"",COUNTIF('Target &amp; Team Lists'!$L$5:$L$204,H605)&gt;0),ISNUMBER(SEARCH("alpha nodus",(E605&amp;" "&amp;F605))),ISNUMBER(SEARCH("alphanodus",(E605&amp;" "&amp;F605)))),"Yes","No"))</f>
        <v/>
      </c>
      <c r="P605" s="34" t="str">
        <f aca="false">IF(D605="","",IF(O605="Yes","No",IF(OR(AND(F605&lt;&gt;"",COUNTIF('Target &amp; Team Lists'!$A$5:$A$504,F605)&gt;0),COUNTIF('Target &amp; Team Lists'!$E$5:$E$504,D605)&gt;0),"Yes",IF(AND(SUMPRODUCT(('Target &amp; Team Lists'!$N$5:$N$60&lt;&gt;"")*ISNUMBER(SEARCH('Target &amp; Team Lists'!$N$5:$N$60,(E605&amp;" "&amp;F605))))&gt;0,SUMPRODUCT(('Target &amp; Team Lists'!$O$5:$O$60&lt;&gt;"")*ISNUMBER(SEARCH('Target &amp; Team Lists'!$O$5:$O$60,(E605&amp;" "&amp;F605))))=0),"Yes","No"))))</f>
        <v/>
      </c>
      <c r="Q605" s="32"/>
    </row>
    <row r="606" customFormat="false" ht="15" hidden="false" customHeight="false" outlineLevel="0" collapsed="false">
      <c r="A606" s="30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3" t="str">
        <f aca="false">IF(D606="","",IF(SUM(I606:L606)&gt;0,1,0))</f>
        <v/>
      </c>
      <c r="O606" s="34" t="str">
        <f aca="false">IF(D606="","",IF(OR(COUNTIF('Target &amp; Team Lists'!$J$5:$J$204,D606)&gt;0,AND(H606&lt;&gt;"",COUNTIF('Target &amp; Team Lists'!$L$5:$L$204,H606)&gt;0),ISNUMBER(SEARCH("alpha nodus",(E606&amp;" "&amp;F606))),ISNUMBER(SEARCH("alphanodus",(E606&amp;" "&amp;F606)))),"Yes","No"))</f>
        <v/>
      </c>
      <c r="P606" s="34" t="str">
        <f aca="false">IF(D606="","",IF(O606="Yes","No",IF(OR(AND(F606&lt;&gt;"",COUNTIF('Target &amp; Team Lists'!$A$5:$A$504,F606)&gt;0),COUNTIF('Target &amp; Team Lists'!$E$5:$E$504,D606)&gt;0),"Yes",IF(AND(SUMPRODUCT(('Target &amp; Team Lists'!$N$5:$N$60&lt;&gt;"")*ISNUMBER(SEARCH('Target &amp; Team Lists'!$N$5:$N$60,(E606&amp;" "&amp;F606))))&gt;0,SUMPRODUCT(('Target &amp; Team Lists'!$O$5:$O$60&lt;&gt;"")*ISNUMBER(SEARCH('Target &amp; Team Lists'!$O$5:$O$60,(E606&amp;" "&amp;F606))))=0),"Yes","No"))))</f>
        <v/>
      </c>
      <c r="Q606" s="32"/>
    </row>
    <row r="607" customFormat="false" ht="15" hidden="false" customHeight="false" outlineLevel="0" collapsed="false">
      <c r="A607" s="30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3" t="str">
        <f aca="false">IF(D607="","",IF(SUM(I607:L607)&gt;0,1,0))</f>
        <v/>
      </c>
      <c r="O607" s="34" t="str">
        <f aca="false">IF(D607="","",IF(OR(COUNTIF('Target &amp; Team Lists'!$J$5:$J$204,D607)&gt;0,AND(H607&lt;&gt;"",COUNTIF('Target &amp; Team Lists'!$L$5:$L$204,H607)&gt;0),ISNUMBER(SEARCH("alpha nodus",(E607&amp;" "&amp;F607))),ISNUMBER(SEARCH("alphanodus",(E607&amp;" "&amp;F607)))),"Yes","No"))</f>
        <v/>
      </c>
      <c r="P607" s="34" t="str">
        <f aca="false">IF(D607="","",IF(O607="Yes","No",IF(OR(AND(F607&lt;&gt;"",COUNTIF('Target &amp; Team Lists'!$A$5:$A$504,F607)&gt;0),COUNTIF('Target &amp; Team Lists'!$E$5:$E$504,D607)&gt;0),"Yes",IF(AND(SUMPRODUCT(('Target &amp; Team Lists'!$N$5:$N$60&lt;&gt;"")*ISNUMBER(SEARCH('Target &amp; Team Lists'!$N$5:$N$60,(E607&amp;" "&amp;F607))))&gt;0,SUMPRODUCT(('Target &amp; Team Lists'!$O$5:$O$60&lt;&gt;"")*ISNUMBER(SEARCH('Target &amp; Team Lists'!$O$5:$O$60,(E607&amp;" "&amp;F607))))=0),"Yes","No"))))</f>
        <v/>
      </c>
      <c r="Q607" s="32"/>
    </row>
    <row r="608" customFormat="false" ht="15" hidden="false" customHeight="false" outlineLevel="0" collapsed="false">
      <c r="A608" s="30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3" t="str">
        <f aca="false">IF(D608="","",IF(SUM(I608:L608)&gt;0,1,0))</f>
        <v/>
      </c>
      <c r="O608" s="34" t="str">
        <f aca="false">IF(D608="","",IF(OR(COUNTIF('Target &amp; Team Lists'!$J$5:$J$204,D608)&gt;0,AND(H608&lt;&gt;"",COUNTIF('Target &amp; Team Lists'!$L$5:$L$204,H608)&gt;0),ISNUMBER(SEARCH("alpha nodus",(E608&amp;" "&amp;F608))),ISNUMBER(SEARCH("alphanodus",(E608&amp;" "&amp;F608)))),"Yes","No"))</f>
        <v/>
      </c>
      <c r="P608" s="34" t="str">
        <f aca="false">IF(D608="","",IF(O608="Yes","No",IF(OR(AND(F608&lt;&gt;"",COUNTIF('Target &amp; Team Lists'!$A$5:$A$504,F608)&gt;0),COUNTIF('Target &amp; Team Lists'!$E$5:$E$504,D608)&gt;0),"Yes",IF(AND(SUMPRODUCT(('Target &amp; Team Lists'!$N$5:$N$60&lt;&gt;"")*ISNUMBER(SEARCH('Target &amp; Team Lists'!$N$5:$N$60,(E608&amp;" "&amp;F608))))&gt;0,SUMPRODUCT(('Target &amp; Team Lists'!$O$5:$O$60&lt;&gt;"")*ISNUMBER(SEARCH('Target &amp; Team Lists'!$O$5:$O$60,(E608&amp;" "&amp;F608))))=0),"Yes","No"))))</f>
        <v/>
      </c>
      <c r="Q608" s="32"/>
    </row>
    <row r="609" customFormat="false" ht="15" hidden="false" customHeight="false" outlineLevel="0" collapsed="false">
      <c r="A609" s="30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3" t="str">
        <f aca="false">IF(D609="","",IF(SUM(I609:L609)&gt;0,1,0))</f>
        <v/>
      </c>
      <c r="O609" s="34" t="str">
        <f aca="false">IF(D609="","",IF(OR(COUNTIF('Target &amp; Team Lists'!$J$5:$J$204,D609)&gt;0,AND(H609&lt;&gt;"",COUNTIF('Target &amp; Team Lists'!$L$5:$L$204,H609)&gt;0),ISNUMBER(SEARCH("alpha nodus",(E609&amp;" "&amp;F609))),ISNUMBER(SEARCH("alphanodus",(E609&amp;" "&amp;F609)))),"Yes","No"))</f>
        <v/>
      </c>
      <c r="P609" s="34" t="str">
        <f aca="false">IF(D609="","",IF(O609="Yes","No",IF(OR(AND(F609&lt;&gt;"",COUNTIF('Target &amp; Team Lists'!$A$5:$A$504,F609)&gt;0),COUNTIF('Target &amp; Team Lists'!$E$5:$E$504,D609)&gt;0),"Yes",IF(AND(SUMPRODUCT(('Target &amp; Team Lists'!$N$5:$N$60&lt;&gt;"")*ISNUMBER(SEARCH('Target &amp; Team Lists'!$N$5:$N$60,(E609&amp;" "&amp;F609))))&gt;0,SUMPRODUCT(('Target &amp; Team Lists'!$O$5:$O$60&lt;&gt;"")*ISNUMBER(SEARCH('Target &amp; Team Lists'!$O$5:$O$60,(E609&amp;" "&amp;F609))))=0),"Yes","No"))))</f>
        <v/>
      </c>
      <c r="Q609" s="32"/>
    </row>
    <row r="610" customFormat="false" ht="15" hidden="false" customHeight="false" outlineLevel="0" collapsed="false">
      <c r="A610" s="30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3" t="str">
        <f aca="false">IF(D610="","",IF(SUM(I610:L610)&gt;0,1,0))</f>
        <v/>
      </c>
      <c r="O610" s="34" t="str">
        <f aca="false">IF(D610="","",IF(OR(COUNTIF('Target &amp; Team Lists'!$J$5:$J$204,D610)&gt;0,AND(H610&lt;&gt;"",COUNTIF('Target &amp; Team Lists'!$L$5:$L$204,H610)&gt;0),ISNUMBER(SEARCH("alpha nodus",(E610&amp;" "&amp;F610))),ISNUMBER(SEARCH("alphanodus",(E610&amp;" "&amp;F610)))),"Yes","No"))</f>
        <v/>
      </c>
      <c r="P610" s="34" t="str">
        <f aca="false">IF(D610="","",IF(O610="Yes","No",IF(OR(AND(F610&lt;&gt;"",COUNTIF('Target &amp; Team Lists'!$A$5:$A$504,F610)&gt;0),COUNTIF('Target &amp; Team Lists'!$E$5:$E$504,D610)&gt;0),"Yes",IF(AND(SUMPRODUCT(('Target &amp; Team Lists'!$N$5:$N$60&lt;&gt;"")*ISNUMBER(SEARCH('Target &amp; Team Lists'!$N$5:$N$60,(E610&amp;" "&amp;F610))))&gt;0,SUMPRODUCT(('Target &amp; Team Lists'!$O$5:$O$60&lt;&gt;"")*ISNUMBER(SEARCH('Target &amp; Team Lists'!$O$5:$O$60,(E610&amp;" "&amp;F610))))=0),"Yes","No"))))</f>
        <v/>
      </c>
      <c r="Q610" s="32"/>
    </row>
    <row r="611" customFormat="false" ht="15" hidden="false" customHeight="false" outlineLevel="0" collapsed="false">
      <c r="A611" s="30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3" t="str">
        <f aca="false">IF(D611="","",IF(SUM(I611:L611)&gt;0,1,0))</f>
        <v/>
      </c>
      <c r="O611" s="34" t="str">
        <f aca="false">IF(D611="","",IF(OR(COUNTIF('Target &amp; Team Lists'!$J$5:$J$204,D611)&gt;0,AND(H611&lt;&gt;"",COUNTIF('Target &amp; Team Lists'!$L$5:$L$204,H611)&gt;0),ISNUMBER(SEARCH("alpha nodus",(E611&amp;" "&amp;F611))),ISNUMBER(SEARCH("alphanodus",(E611&amp;" "&amp;F611)))),"Yes","No"))</f>
        <v/>
      </c>
      <c r="P611" s="34" t="str">
        <f aca="false">IF(D611="","",IF(O611="Yes","No",IF(OR(AND(F611&lt;&gt;"",COUNTIF('Target &amp; Team Lists'!$A$5:$A$504,F611)&gt;0),COUNTIF('Target &amp; Team Lists'!$E$5:$E$504,D611)&gt;0),"Yes",IF(AND(SUMPRODUCT(('Target &amp; Team Lists'!$N$5:$N$60&lt;&gt;"")*ISNUMBER(SEARCH('Target &amp; Team Lists'!$N$5:$N$60,(E611&amp;" "&amp;F611))))&gt;0,SUMPRODUCT(('Target &amp; Team Lists'!$O$5:$O$60&lt;&gt;"")*ISNUMBER(SEARCH('Target &amp; Team Lists'!$O$5:$O$60,(E611&amp;" "&amp;F611))))=0),"Yes","No"))))</f>
        <v/>
      </c>
      <c r="Q611" s="32"/>
    </row>
    <row r="612" customFormat="false" ht="15" hidden="false" customHeight="false" outlineLevel="0" collapsed="false">
      <c r="A612" s="30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3" t="str">
        <f aca="false">IF(D612="","",IF(SUM(I612:L612)&gt;0,1,0))</f>
        <v/>
      </c>
      <c r="O612" s="34" t="str">
        <f aca="false">IF(D612="","",IF(OR(COUNTIF('Target &amp; Team Lists'!$J$5:$J$204,D612)&gt;0,AND(H612&lt;&gt;"",COUNTIF('Target &amp; Team Lists'!$L$5:$L$204,H612)&gt;0),ISNUMBER(SEARCH("alpha nodus",(E612&amp;" "&amp;F612))),ISNUMBER(SEARCH("alphanodus",(E612&amp;" "&amp;F612)))),"Yes","No"))</f>
        <v/>
      </c>
      <c r="P612" s="34" t="str">
        <f aca="false">IF(D612="","",IF(O612="Yes","No",IF(OR(AND(F612&lt;&gt;"",COUNTIF('Target &amp; Team Lists'!$A$5:$A$504,F612)&gt;0),COUNTIF('Target &amp; Team Lists'!$E$5:$E$504,D612)&gt;0),"Yes",IF(AND(SUMPRODUCT(('Target &amp; Team Lists'!$N$5:$N$60&lt;&gt;"")*ISNUMBER(SEARCH('Target &amp; Team Lists'!$N$5:$N$60,(E612&amp;" "&amp;F612))))&gt;0,SUMPRODUCT(('Target &amp; Team Lists'!$O$5:$O$60&lt;&gt;"")*ISNUMBER(SEARCH('Target &amp; Team Lists'!$O$5:$O$60,(E612&amp;" "&amp;F612))))=0),"Yes","No"))))</f>
        <v/>
      </c>
      <c r="Q612" s="32"/>
    </row>
    <row r="613" customFormat="false" ht="15" hidden="false" customHeight="false" outlineLevel="0" collapsed="false">
      <c r="A613" s="30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3" t="str">
        <f aca="false">IF(D613="","",IF(SUM(I613:L613)&gt;0,1,0))</f>
        <v/>
      </c>
      <c r="O613" s="34" t="str">
        <f aca="false">IF(D613="","",IF(OR(COUNTIF('Target &amp; Team Lists'!$J$5:$J$204,D613)&gt;0,AND(H613&lt;&gt;"",COUNTIF('Target &amp; Team Lists'!$L$5:$L$204,H613)&gt;0),ISNUMBER(SEARCH("alpha nodus",(E613&amp;" "&amp;F613))),ISNUMBER(SEARCH("alphanodus",(E613&amp;" "&amp;F613)))),"Yes","No"))</f>
        <v/>
      </c>
      <c r="P613" s="34" t="str">
        <f aca="false">IF(D613="","",IF(O613="Yes","No",IF(OR(AND(F613&lt;&gt;"",COUNTIF('Target &amp; Team Lists'!$A$5:$A$504,F613)&gt;0),COUNTIF('Target &amp; Team Lists'!$E$5:$E$504,D613)&gt;0),"Yes",IF(AND(SUMPRODUCT(('Target &amp; Team Lists'!$N$5:$N$60&lt;&gt;"")*ISNUMBER(SEARCH('Target &amp; Team Lists'!$N$5:$N$60,(E613&amp;" "&amp;F613))))&gt;0,SUMPRODUCT(('Target &amp; Team Lists'!$O$5:$O$60&lt;&gt;"")*ISNUMBER(SEARCH('Target &amp; Team Lists'!$O$5:$O$60,(E613&amp;" "&amp;F613))))=0),"Yes","No"))))</f>
        <v/>
      </c>
      <c r="Q613" s="32"/>
    </row>
    <row r="614" customFormat="false" ht="15" hidden="false" customHeight="false" outlineLevel="0" collapsed="false">
      <c r="A614" s="30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3" t="str">
        <f aca="false">IF(D614="","",IF(SUM(I614:L614)&gt;0,1,0))</f>
        <v/>
      </c>
      <c r="O614" s="34" t="str">
        <f aca="false">IF(D614="","",IF(OR(COUNTIF('Target &amp; Team Lists'!$J$5:$J$204,D614)&gt;0,AND(H614&lt;&gt;"",COUNTIF('Target &amp; Team Lists'!$L$5:$L$204,H614)&gt;0),ISNUMBER(SEARCH("alpha nodus",(E614&amp;" "&amp;F614))),ISNUMBER(SEARCH("alphanodus",(E614&amp;" "&amp;F614)))),"Yes","No"))</f>
        <v/>
      </c>
      <c r="P614" s="34" t="str">
        <f aca="false">IF(D614="","",IF(O614="Yes","No",IF(OR(AND(F614&lt;&gt;"",COUNTIF('Target &amp; Team Lists'!$A$5:$A$504,F614)&gt;0),COUNTIF('Target &amp; Team Lists'!$E$5:$E$504,D614)&gt;0),"Yes",IF(AND(SUMPRODUCT(('Target &amp; Team Lists'!$N$5:$N$60&lt;&gt;"")*ISNUMBER(SEARCH('Target &amp; Team Lists'!$N$5:$N$60,(E614&amp;" "&amp;F614))))&gt;0,SUMPRODUCT(('Target &amp; Team Lists'!$O$5:$O$60&lt;&gt;"")*ISNUMBER(SEARCH('Target &amp; Team Lists'!$O$5:$O$60,(E614&amp;" "&amp;F614))))=0),"Yes","No"))))</f>
        <v/>
      </c>
      <c r="Q614" s="32"/>
    </row>
    <row r="615" customFormat="false" ht="15" hidden="false" customHeight="false" outlineLevel="0" collapsed="false">
      <c r="A615" s="30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3" t="str">
        <f aca="false">IF(D615="","",IF(SUM(I615:L615)&gt;0,1,0))</f>
        <v/>
      </c>
      <c r="O615" s="34" t="str">
        <f aca="false">IF(D615="","",IF(OR(COUNTIF('Target &amp; Team Lists'!$J$5:$J$204,D615)&gt;0,AND(H615&lt;&gt;"",COUNTIF('Target &amp; Team Lists'!$L$5:$L$204,H615)&gt;0),ISNUMBER(SEARCH("alpha nodus",(E615&amp;" "&amp;F615))),ISNUMBER(SEARCH("alphanodus",(E615&amp;" "&amp;F615)))),"Yes","No"))</f>
        <v/>
      </c>
      <c r="P615" s="34" t="str">
        <f aca="false">IF(D615="","",IF(O615="Yes","No",IF(OR(AND(F615&lt;&gt;"",COUNTIF('Target &amp; Team Lists'!$A$5:$A$504,F615)&gt;0),COUNTIF('Target &amp; Team Lists'!$E$5:$E$504,D615)&gt;0),"Yes",IF(AND(SUMPRODUCT(('Target &amp; Team Lists'!$N$5:$N$60&lt;&gt;"")*ISNUMBER(SEARCH('Target &amp; Team Lists'!$N$5:$N$60,(E615&amp;" "&amp;F615))))&gt;0,SUMPRODUCT(('Target &amp; Team Lists'!$O$5:$O$60&lt;&gt;"")*ISNUMBER(SEARCH('Target &amp; Team Lists'!$O$5:$O$60,(E615&amp;" "&amp;F615))))=0),"Yes","No"))))</f>
        <v/>
      </c>
      <c r="Q615" s="32"/>
    </row>
    <row r="616" customFormat="false" ht="15" hidden="false" customHeight="false" outlineLevel="0" collapsed="false">
      <c r="A616" s="30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3" t="str">
        <f aca="false">IF(D616="","",IF(SUM(I616:L616)&gt;0,1,0))</f>
        <v/>
      </c>
      <c r="O616" s="34" t="str">
        <f aca="false">IF(D616="","",IF(OR(COUNTIF('Target &amp; Team Lists'!$J$5:$J$204,D616)&gt;0,AND(H616&lt;&gt;"",COUNTIF('Target &amp; Team Lists'!$L$5:$L$204,H616)&gt;0),ISNUMBER(SEARCH("alpha nodus",(E616&amp;" "&amp;F616))),ISNUMBER(SEARCH("alphanodus",(E616&amp;" "&amp;F616)))),"Yes","No"))</f>
        <v/>
      </c>
      <c r="P616" s="34" t="str">
        <f aca="false">IF(D616="","",IF(O616="Yes","No",IF(OR(AND(F616&lt;&gt;"",COUNTIF('Target &amp; Team Lists'!$A$5:$A$504,F616)&gt;0),COUNTIF('Target &amp; Team Lists'!$E$5:$E$504,D616)&gt;0),"Yes",IF(AND(SUMPRODUCT(('Target &amp; Team Lists'!$N$5:$N$60&lt;&gt;"")*ISNUMBER(SEARCH('Target &amp; Team Lists'!$N$5:$N$60,(E616&amp;" "&amp;F616))))&gt;0,SUMPRODUCT(('Target &amp; Team Lists'!$O$5:$O$60&lt;&gt;"")*ISNUMBER(SEARCH('Target &amp; Team Lists'!$O$5:$O$60,(E616&amp;" "&amp;F616))))=0),"Yes","No"))))</f>
        <v/>
      </c>
      <c r="Q616" s="32"/>
    </row>
    <row r="617" customFormat="false" ht="15" hidden="false" customHeight="false" outlineLevel="0" collapsed="false">
      <c r="A617" s="30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3" t="str">
        <f aca="false">IF(D617="","",IF(SUM(I617:L617)&gt;0,1,0))</f>
        <v/>
      </c>
      <c r="O617" s="34" t="str">
        <f aca="false">IF(D617="","",IF(OR(COUNTIF('Target &amp; Team Lists'!$J$5:$J$204,D617)&gt;0,AND(H617&lt;&gt;"",COUNTIF('Target &amp; Team Lists'!$L$5:$L$204,H617)&gt;0),ISNUMBER(SEARCH("alpha nodus",(E617&amp;" "&amp;F617))),ISNUMBER(SEARCH("alphanodus",(E617&amp;" "&amp;F617)))),"Yes","No"))</f>
        <v/>
      </c>
      <c r="P617" s="34" t="str">
        <f aca="false">IF(D617="","",IF(O617="Yes","No",IF(OR(AND(F617&lt;&gt;"",COUNTIF('Target &amp; Team Lists'!$A$5:$A$504,F617)&gt;0),COUNTIF('Target &amp; Team Lists'!$E$5:$E$504,D617)&gt;0),"Yes",IF(AND(SUMPRODUCT(('Target &amp; Team Lists'!$N$5:$N$60&lt;&gt;"")*ISNUMBER(SEARCH('Target &amp; Team Lists'!$N$5:$N$60,(E617&amp;" "&amp;F617))))&gt;0,SUMPRODUCT(('Target &amp; Team Lists'!$O$5:$O$60&lt;&gt;"")*ISNUMBER(SEARCH('Target &amp; Team Lists'!$O$5:$O$60,(E617&amp;" "&amp;F617))))=0),"Yes","No"))))</f>
        <v/>
      </c>
      <c r="Q617" s="32"/>
    </row>
    <row r="618" customFormat="false" ht="15" hidden="false" customHeight="false" outlineLevel="0" collapsed="false">
      <c r="A618" s="30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3" t="str">
        <f aca="false">IF(D618="","",IF(SUM(I618:L618)&gt;0,1,0))</f>
        <v/>
      </c>
      <c r="O618" s="34" t="str">
        <f aca="false">IF(D618="","",IF(OR(COUNTIF('Target &amp; Team Lists'!$J$5:$J$204,D618)&gt;0,AND(H618&lt;&gt;"",COUNTIF('Target &amp; Team Lists'!$L$5:$L$204,H618)&gt;0),ISNUMBER(SEARCH("alpha nodus",(E618&amp;" "&amp;F618))),ISNUMBER(SEARCH("alphanodus",(E618&amp;" "&amp;F618)))),"Yes","No"))</f>
        <v/>
      </c>
      <c r="P618" s="34" t="str">
        <f aca="false">IF(D618="","",IF(O618="Yes","No",IF(OR(AND(F618&lt;&gt;"",COUNTIF('Target &amp; Team Lists'!$A$5:$A$504,F618)&gt;0),COUNTIF('Target &amp; Team Lists'!$E$5:$E$504,D618)&gt;0),"Yes",IF(AND(SUMPRODUCT(('Target &amp; Team Lists'!$N$5:$N$60&lt;&gt;"")*ISNUMBER(SEARCH('Target &amp; Team Lists'!$N$5:$N$60,(E618&amp;" "&amp;F618))))&gt;0,SUMPRODUCT(('Target &amp; Team Lists'!$O$5:$O$60&lt;&gt;"")*ISNUMBER(SEARCH('Target &amp; Team Lists'!$O$5:$O$60,(E618&amp;" "&amp;F618))))=0),"Yes","No"))))</f>
        <v/>
      </c>
      <c r="Q618" s="32"/>
    </row>
    <row r="619" customFormat="false" ht="15" hidden="false" customHeight="false" outlineLevel="0" collapsed="false">
      <c r="A619" s="30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3" t="str">
        <f aca="false">IF(D619="","",IF(SUM(I619:L619)&gt;0,1,0))</f>
        <v/>
      </c>
      <c r="O619" s="34" t="str">
        <f aca="false">IF(D619="","",IF(OR(COUNTIF('Target &amp; Team Lists'!$J$5:$J$204,D619)&gt;0,AND(H619&lt;&gt;"",COUNTIF('Target &amp; Team Lists'!$L$5:$L$204,H619)&gt;0),ISNUMBER(SEARCH("alpha nodus",(E619&amp;" "&amp;F619))),ISNUMBER(SEARCH("alphanodus",(E619&amp;" "&amp;F619)))),"Yes","No"))</f>
        <v/>
      </c>
      <c r="P619" s="34" t="str">
        <f aca="false">IF(D619="","",IF(O619="Yes","No",IF(OR(AND(F619&lt;&gt;"",COUNTIF('Target &amp; Team Lists'!$A$5:$A$504,F619)&gt;0),COUNTIF('Target &amp; Team Lists'!$E$5:$E$504,D619)&gt;0),"Yes",IF(AND(SUMPRODUCT(('Target &amp; Team Lists'!$N$5:$N$60&lt;&gt;"")*ISNUMBER(SEARCH('Target &amp; Team Lists'!$N$5:$N$60,(E619&amp;" "&amp;F619))))&gt;0,SUMPRODUCT(('Target &amp; Team Lists'!$O$5:$O$60&lt;&gt;"")*ISNUMBER(SEARCH('Target &amp; Team Lists'!$O$5:$O$60,(E619&amp;" "&amp;F619))))=0),"Yes","No"))))</f>
        <v/>
      </c>
      <c r="Q619" s="32"/>
    </row>
    <row r="620" customFormat="false" ht="15" hidden="false" customHeight="false" outlineLevel="0" collapsed="false">
      <c r="A620" s="30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3" t="str">
        <f aca="false">IF(D620="","",IF(SUM(I620:L620)&gt;0,1,0))</f>
        <v/>
      </c>
      <c r="O620" s="34" t="str">
        <f aca="false">IF(D620="","",IF(OR(COUNTIF('Target &amp; Team Lists'!$J$5:$J$204,D620)&gt;0,AND(H620&lt;&gt;"",COUNTIF('Target &amp; Team Lists'!$L$5:$L$204,H620)&gt;0),ISNUMBER(SEARCH("alpha nodus",(E620&amp;" "&amp;F620))),ISNUMBER(SEARCH("alphanodus",(E620&amp;" "&amp;F620)))),"Yes","No"))</f>
        <v/>
      </c>
      <c r="P620" s="34" t="str">
        <f aca="false">IF(D620="","",IF(O620="Yes","No",IF(OR(AND(F620&lt;&gt;"",COUNTIF('Target &amp; Team Lists'!$A$5:$A$504,F620)&gt;0),COUNTIF('Target &amp; Team Lists'!$E$5:$E$504,D620)&gt;0),"Yes",IF(AND(SUMPRODUCT(('Target &amp; Team Lists'!$N$5:$N$60&lt;&gt;"")*ISNUMBER(SEARCH('Target &amp; Team Lists'!$N$5:$N$60,(E620&amp;" "&amp;F620))))&gt;0,SUMPRODUCT(('Target &amp; Team Lists'!$O$5:$O$60&lt;&gt;"")*ISNUMBER(SEARCH('Target &amp; Team Lists'!$O$5:$O$60,(E620&amp;" "&amp;F620))))=0),"Yes","No"))))</f>
        <v/>
      </c>
      <c r="Q620" s="32"/>
    </row>
    <row r="621" customFormat="false" ht="15" hidden="false" customHeight="false" outlineLevel="0" collapsed="false">
      <c r="A621" s="30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3" t="str">
        <f aca="false">IF(D621="","",IF(SUM(I621:L621)&gt;0,1,0))</f>
        <v/>
      </c>
      <c r="O621" s="34" t="str">
        <f aca="false">IF(D621="","",IF(OR(COUNTIF('Target &amp; Team Lists'!$J$5:$J$204,D621)&gt;0,AND(H621&lt;&gt;"",COUNTIF('Target &amp; Team Lists'!$L$5:$L$204,H621)&gt;0),ISNUMBER(SEARCH("alpha nodus",(E621&amp;" "&amp;F621))),ISNUMBER(SEARCH("alphanodus",(E621&amp;" "&amp;F621)))),"Yes","No"))</f>
        <v/>
      </c>
      <c r="P621" s="34" t="str">
        <f aca="false">IF(D621="","",IF(O621="Yes","No",IF(OR(AND(F621&lt;&gt;"",COUNTIF('Target &amp; Team Lists'!$A$5:$A$504,F621)&gt;0),COUNTIF('Target &amp; Team Lists'!$E$5:$E$504,D621)&gt;0),"Yes",IF(AND(SUMPRODUCT(('Target &amp; Team Lists'!$N$5:$N$60&lt;&gt;"")*ISNUMBER(SEARCH('Target &amp; Team Lists'!$N$5:$N$60,(E621&amp;" "&amp;F621))))&gt;0,SUMPRODUCT(('Target &amp; Team Lists'!$O$5:$O$60&lt;&gt;"")*ISNUMBER(SEARCH('Target &amp; Team Lists'!$O$5:$O$60,(E621&amp;" "&amp;F621))))=0),"Yes","No"))))</f>
        <v/>
      </c>
      <c r="Q621" s="32"/>
    </row>
    <row r="622" customFormat="false" ht="15" hidden="false" customHeight="false" outlineLevel="0" collapsed="false">
      <c r="A622" s="30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3" t="str">
        <f aca="false">IF(D622="","",IF(SUM(I622:L622)&gt;0,1,0))</f>
        <v/>
      </c>
      <c r="O622" s="34" t="str">
        <f aca="false">IF(D622="","",IF(OR(COUNTIF('Target &amp; Team Lists'!$J$5:$J$204,D622)&gt;0,AND(H622&lt;&gt;"",COUNTIF('Target &amp; Team Lists'!$L$5:$L$204,H622)&gt;0),ISNUMBER(SEARCH("alpha nodus",(E622&amp;" "&amp;F622))),ISNUMBER(SEARCH("alphanodus",(E622&amp;" "&amp;F622)))),"Yes","No"))</f>
        <v/>
      </c>
      <c r="P622" s="34" t="str">
        <f aca="false">IF(D622="","",IF(O622="Yes","No",IF(OR(AND(F622&lt;&gt;"",COUNTIF('Target &amp; Team Lists'!$A$5:$A$504,F622)&gt;0),COUNTIF('Target &amp; Team Lists'!$E$5:$E$504,D622)&gt;0),"Yes",IF(AND(SUMPRODUCT(('Target &amp; Team Lists'!$N$5:$N$60&lt;&gt;"")*ISNUMBER(SEARCH('Target &amp; Team Lists'!$N$5:$N$60,(E622&amp;" "&amp;F622))))&gt;0,SUMPRODUCT(('Target &amp; Team Lists'!$O$5:$O$60&lt;&gt;"")*ISNUMBER(SEARCH('Target &amp; Team Lists'!$O$5:$O$60,(E622&amp;" "&amp;F622))))=0),"Yes","No"))))</f>
        <v/>
      </c>
      <c r="Q622" s="32"/>
    </row>
    <row r="623" customFormat="false" ht="15" hidden="false" customHeight="false" outlineLevel="0" collapsed="false">
      <c r="A623" s="30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3" t="str">
        <f aca="false">IF(D623="","",IF(SUM(I623:L623)&gt;0,1,0))</f>
        <v/>
      </c>
      <c r="O623" s="34" t="str">
        <f aca="false">IF(D623="","",IF(OR(COUNTIF('Target &amp; Team Lists'!$J$5:$J$204,D623)&gt;0,AND(H623&lt;&gt;"",COUNTIF('Target &amp; Team Lists'!$L$5:$L$204,H623)&gt;0),ISNUMBER(SEARCH("alpha nodus",(E623&amp;" "&amp;F623))),ISNUMBER(SEARCH("alphanodus",(E623&amp;" "&amp;F623)))),"Yes","No"))</f>
        <v/>
      </c>
      <c r="P623" s="34" t="str">
        <f aca="false">IF(D623="","",IF(O623="Yes","No",IF(OR(AND(F623&lt;&gt;"",COUNTIF('Target &amp; Team Lists'!$A$5:$A$504,F623)&gt;0),COUNTIF('Target &amp; Team Lists'!$E$5:$E$504,D623)&gt;0),"Yes",IF(AND(SUMPRODUCT(('Target &amp; Team Lists'!$N$5:$N$60&lt;&gt;"")*ISNUMBER(SEARCH('Target &amp; Team Lists'!$N$5:$N$60,(E623&amp;" "&amp;F623))))&gt;0,SUMPRODUCT(('Target &amp; Team Lists'!$O$5:$O$60&lt;&gt;"")*ISNUMBER(SEARCH('Target &amp; Team Lists'!$O$5:$O$60,(E623&amp;" "&amp;F623))))=0),"Yes","No"))))</f>
        <v/>
      </c>
      <c r="Q623" s="32"/>
    </row>
    <row r="624" customFormat="false" ht="15" hidden="false" customHeight="false" outlineLevel="0" collapsed="false">
      <c r="A624" s="30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3" t="str">
        <f aca="false">IF(D624="","",IF(SUM(I624:L624)&gt;0,1,0))</f>
        <v/>
      </c>
      <c r="O624" s="34" t="str">
        <f aca="false">IF(D624="","",IF(OR(COUNTIF('Target &amp; Team Lists'!$J$5:$J$204,D624)&gt;0,AND(H624&lt;&gt;"",COUNTIF('Target &amp; Team Lists'!$L$5:$L$204,H624)&gt;0),ISNUMBER(SEARCH("alpha nodus",(E624&amp;" "&amp;F624))),ISNUMBER(SEARCH("alphanodus",(E624&amp;" "&amp;F624)))),"Yes","No"))</f>
        <v/>
      </c>
      <c r="P624" s="34" t="str">
        <f aca="false">IF(D624="","",IF(O624="Yes","No",IF(OR(AND(F624&lt;&gt;"",COUNTIF('Target &amp; Team Lists'!$A$5:$A$504,F624)&gt;0),COUNTIF('Target &amp; Team Lists'!$E$5:$E$504,D624)&gt;0),"Yes",IF(AND(SUMPRODUCT(('Target &amp; Team Lists'!$N$5:$N$60&lt;&gt;"")*ISNUMBER(SEARCH('Target &amp; Team Lists'!$N$5:$N$60,(E624&amp;" "&amp;F624))))&gt;0,SUMPRODUCT(('Target &amp; Team Lists'!$O$5:$O$60&lt;&gt;"")*ISNUMBER(SEARCH('Target &amp; Team Lists'!$O$5:$O$60,(E624&amp;" "&amp;F624))))=0),"Yes","No"))))</f>
        <v/>
      </c>
      <c r="Q624" s="32"/>
    </row>
    <row r="625" customFormat="false" ht="15" hidden="false" customHeight="false" outlineLevel="0" collapsed="false">
      <c r="A625" s="30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3" t="str">
        <f aca="false">IF(D625="","",IF(SUM(I625:L625)&gt;0,1,0))</f>
        <v/>
      </c>
      <c r="O625" s="34" t="str">
        <f aca="false">IF(D625="","",IF(OR(COUNTIF('Target &amp; Team Lists'!$J$5:$J$204,D625)&gt;0,AND(H625&lt;&gt;"",COUNTIF('Target &amp; Team Lists'!$L$5:$L$204,H625)&gt;0),ISNUMBER(SEARCH("alpha nodus",(E625&amp;" "&amp;F625))),ISNUMBER(SEARCH("alphanodus",(E625&amp;" "&amp;F625)))),"Yes","No"))</f>
        <v/>
      </c>
      <c r="P625" s="34" t="str">
        <f aca="false">IF(D625="","",IF(O625="Yes","No",IF(OR(AND(F625&lt;&gt;"",COUNTIF('Target &amp; Team Lists'!$A$5:$A$504,F625)&gt;0),COUNTIF('Target &amp; Team Lists'!$E$5:$E$504,D625)&gt;0),"Yes",IF(AND(SUMPRODUCT(('Target &amp; Team Lists'!$N$5:$N$60&lt;&gt;"")*ISNUMBER(SEARCH('Target &amp; Team Lists'!$N$5:$N$60,(E625&amp;" "&amp;F625))))&gt;0,SUMPRODUCT(('Target &amp; Team Lists'!$O$5:$O$60&lt;&gt;"")*ISNUMBER(SEARCH('Target &amp; Team Lists'!$O$5:$O$60,(E625&amp;" "&amp;F625))))=0),"Yes","No"))))</f>
        <v/>
      </c>
      <c r="Q625" s="32"/>
    </row>
    <row r="626" customFormat="false" ht="15" hidden="false" customHeight="false" outlineLevel="0" collapsed="false">
      <c r="A626" s="30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3" t="str">
        <f aca="false">IF(D626="","",IF(SUM(I626:L626)&gt;0,1,0))</f>
        <v/>
      </c>
      <c r="O626" s="34" t="str">
        <f aca="false">IF(D626="","",IF(OR(COUNTIF('Target &amp; Team Lists'!$J$5:$J$204,D626)&gt;0,AND(H626&lt;&gt;"",COUNTIF('Target &amp; Team Lists'!$L$5:$L$204,H626)&gt;0),ISNUMBER(SEARCH("alpha nodus",(E626&amp;" "&amp;F626))),ISNUMBER(SEARCH("alphanodus",(E626&amp;" "&amp;F626)))),"Yes","No"))</f>
        <v/>
      </c>
      <c r="P626" s="34" t="str">
        <f aca="false">IF(D626="","",IF(O626="Yes","No",IF(OR(AND(F626&lt;&gt;"",COUNTIF('Target &amp; Team Lists'!$A$5:$A$504,F626)&gt;0),COUNTIF('Target &amp; Team Lists'!$E$5:$E$504,D626)&gt;0),"Yes",IF(AND(SUMPRODUCT(('Target &amp; Team Lists'!$N$5:$N$60&lt;&gt;"")*ISNUMBER(SEARCH('Target &amp; Team Lists'!$N$5:$N$60,(E626&amp;" "&amp;F626))))&gt;0,SUMPRODUCT(('Target &amp; Team Lists'!$O$5:$O$60&lt;&gt;"")*ISNUMBER(SEARCH('Target &amp; Team Lists'!$O$5:$O$60,(E626&amp;" "&amp;F626))))=0),"Yes","No"))))</f>
        <v/>
      </c>
      <c r="Q626" s="32"/>
    </row>
    <row r="627" customFormat="false" ht="15" hidden="false" customHeight="false" outlineLevel="0" collapsed="false">
      <c r="A627" s="30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3" t="str">
        <f aca="false">IF(D627="","",IF(SUM(I627:L627)&gt;0,1,0))</f>
        <v/>
      </c>
      <c r="O627" s="34" t="str">
        <f aca="false">IF(D627="","",IF(OR(COUNTIF('Target &amp; Team Lists'!$J$5:$J$204,D627)&gt;0,AND(H627&lt;&gt;"",COUNTIF('Target &amp; Team Lists'!$L$5:$L$204,H627)&gt;0),ISNUMBER(SEARCH("alpha nodus",(E627&amp;" "&amp;F627))),ISNUMBER(SEARCH("alphanodus",(E627&amp;" "&amp;F627)))),"Yes","No"))</f>
        <v/>
      </c>
      <c r="P627" s="34" t="str">
        <f aca="false">IF(D627="","",IF(O627="Yes","No",IF(OR(AND(F627&lt;&gt;"",COUNTIF('Target &amp; Team Lists'!$A$5:$A$504,F627)&gt;0),COUNTIF('Target &amp; Team Lists'!$E$5:$E$504,D627)&gt;0),"Yes",IF(AND(SUMPRODUCT(('Target &amp; Team Lists'!$N$5:$N$60&lt;&gt;"")*ISNUMBER(SEARCH('Target &amp; Team Lists'!$N$5:$N$60,(E627&amp;" "&amp;F627))))&gt;0,SUMPRODUCT(('Target &amp; Team Lists'!$O$5:$O$60&lt;&gt;"")*ISNUMBER(SEARCH('Target &amp; Team Lists'!$O$5:$O$60,(E627&amp;" "&amp;F627))))=0),"Yes","No"))))</f>
        <v/>
      </c>
      <c r="Q627" s="32"/>
    </row>
    <row r="628" customFormat="false" ht="15" hidden="false" customHeight="false" outlineLevel="0" collapsed="false">
      <c r="A628" s="30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3" t="str">
        <f aca="false">IF(D628="","",IF(SUM(I628:L628)&gt;0,1,0))</f>
        <v/>
      </c>
      <c r="O628" s="34" t="str">
        <f aca="false">IF(D628="","",IF(OR(COUNTIF('Target &amp; Team Lists'!$J$5:$J$204,D628)&gt;0,AND(H628&lt;&gt;"",COUNTIF('Target &amp; Team Lists'!$L$5:$L$204,H628)&gt;0),ISNUMBER(SEARCH("alpha nodus",(E628&amp;" "&amp;F628))),ISNUMBER(SEARCH("alphanodus",(E628&amp;" "&amp;F628)))),"Yes","No"))</f>
        <v/>
      </c>
      <c r="P628" s="34" t="str">
        <f aca="false">IF(D628="","",IF(O628="Yes","No",IF(OR(AND(F628&lt;&gt;"",COUNTIF('Target &amp; Team Lists'!$A$5:$A$504,F628)&gt;0),COUNTIF('Target &amp; Team Lists'!$E$5:$E$504,D628)&gt;0),"Yes",IF(AND(SUMPRODUCT(('Target &amp; Team Lists'!$N$5:$N$60&lt;&gt;"")*ISNUMBER(SEARCH('Target &amp; Team Lists'!$N$5:$N$60,(E628&amp;" "&amp;F628))))&gt;0,SUMPRODUCT(('Target &amp; Team Lists'!$O$5:$O$60&lt;&gt;"")*ISNUMBER(SEARCH('Target &amp; Team Lists'!$O$5:$O$60,(E628&amp;" "&amp;F628))))=0),"Yes","No"))))</f>
        <v/>
      </c>
      <c r="Q628" s="32"/>
    </row>
    <row r="629" customFormat="false" ht="15" hidden="false" customHeight="false" outlineLevel="0" collapsed="false">
      <c r="A629" s="30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3" t="str">
        <f aca="false">IF(D629="","",IF(SUM(I629:L629)&gt;0,1,0))</f>
        <v/>
      </c>
      <c r="O629" s="34" t="str">
        <f aca="false">IF(D629="","",IF(OR(COUNTIF('Target &amp; Team Lists'!$J$5:$J$204,D629)&gt;0,AND(H629&lt;&gt;"",COUNTIF('Target &amp; Team Lists'!$L$5:$L$204,H629)&gt;0),ISNUMBER(SEARCH("alpha nodus",(E629&amp;" "&amp;F629))),ISNUMBER(SEARCH("alphanodus",(E629&amp;" "&amp;F629)))),"Yes","No"))</f>
        <v/>
      </c>
      <c r="P629" s="34" t="str">
        <f aca="false">IF(D629="","",IF(O629="Yes","No",IF(OR(AND(F629&lt;&gt;"",COUNTIF('Target &amp; Team Lists'!$A$5:$A$504,F629)&gt;0),COUNTIF('Target &amp; Team Lists'!$E$5:$E$504,D629)&gt;0),"Yes",IF(AND(SUMPRODUCT(('Target &amp; Team Lists'!$N$5:$N$60&lt;&gt;"")*ISNUMBER(SEARCH('Target &amp; Team Lists'!$N$5:$N$60,(E629&amp;" "&amp;F629))))&gt;0,SUMPRODUCT(('Target &amp; Team Lists'!$O$5:$O$60&lt;&gt;"")*ISNUMBER(SEARCH('Target &amp; Team Lists'!$O$5:$O$60,(E629&amp;" "&amp;F629))))=0),"Yes","No"))))</f>
        <v/>
      </c>
      <c r="Q629" s="32"/>
    </row>
    <row r="630" customFormat="false" ht="15" hidden="false" customHeight="false" outlineLevel="0" collapsed="false">
      <c r="A630" s="30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3" t="str">
        <f aca="false">IF(D630="","",IF(SUM(I630:L630)&gt;0,1,0))</f>
        <v/>
      </c>
      <c r="O630" s="34" t="str">
        <f aca="false">IF(D630="","",IF(OR(COUNTIF('Target &amp; Team Lists'!$J$5:$J$204,D630)&gt;0,AND(H630&lt;&gt;"",COUNTIF('Target &amp; Team Lists'!$L$5:$L$204,H630)&gt;0),ISNUMBER(SEARCH("alpha nodus",(E630&amp;" "&amp;F630))),ISNUMBER(SEARCH("alphanodus",(E630&amp;" "&amp;F630)))),"Yes","No"))</f>
        <v/>
      </c>
      <c r="P630" s="34" t="str">
        <f aca="false">IF(D630="","",IF(O630="Yes","No",IF(OR(AND(F630&lt;&gt;"",COUNTIF('Target &amp; Team Lists'!$A$5:$A$504,F630)&gt;0),COUNTIF('Target &amp; Team Lists'!$E$5:$E$504,D630)&gt;0),"Yes",IF(AND(SUMPRODUCT(('Target &amp; Team Lists'!$N$5:$N$60&lt;&gt;"")*ISNUMBER(SEARCH('Target &amp; Team Lists'!$N$5:$N$60,(E630&amp;" "&amp;F630))))&gt;0,SUMPRODUCT(('Target &amp; Team Lists'!$O$5:$O$60&lt;&gt;"")*ISNUMBER(SEARCH('Target &amp; Team Lists'!$O$5:$O$60,(E630&amp;" "&amp;F630))))=0),"Yes","No"))))</f>
        <v/>
      </c>
      <c r="Q630" s="32"/>
    </row>
    <row r="631" customFormat="false" ht="15" hidden="false" customHeight="false" outlineLevel="0" collapsed="false">
      <c r="A631" s="30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3" t="str">
        <f aca="false">IF(D631="","",IF(SUM(I631:L631)&gt;0,1,0))</f>
        <v/>
      </c>
      <c r="O631" s="34" t="str">
        <f aca="false">IF(D631="","",IF(OR(COUNTIF('Target &amp; Team Lists'!$J$5:$J$204,D631)&gt;0,AND(H631&lt;&gt;"",COUNTIF('Target &amp; Team Lists'!$L$5:$L$204,H631)&gt;0),ISNUMBER(SEARCH("alpha nodus",(E631&amp;" "&amp;F631))),ISNUMBER(SEARCH("alphanodus",(E631&amp;" "&amp;F631)))),"Yes","No"))</f>
        <v/>
      </c>
      <c r="P631" s="34" t="str">
        <f aca="false">IF(D631="","",IF(O631="Yes","No",IF(OR(AND(F631&lt;&gt;"",COUNTIF('Target &amp; Team Lists'!$A$5:$A$504,F631)&gt;0),COUNTIF('Target &amp; Team Lists'!$E$5:$E$504,D631)&gt;0),"Yes",IF(AND(SUMPRODUCT(('Target &amp; Team Lists'!$N$5:$N$60&lt;&gt;"")*ISNUMBER(SEARCH('Target &amp; Team Lists'!$N$5:$N$60,(E631&amp;" "&amp;F631))))&gt;0,SUMPRODUCT(('Target &amp; Team Lists'!$O$5:$O$60&lt;&gt;"")*ISNUMBER(SEARCH('Target &amp; Team Lists'!$O$5:$O$60,(E631&amp;" "&amp;F631))))=0),"Yes","No"))))</f>
        <v/>
      </c>
      <c r="Q631" s="32"/>
    </row>
    <row r="632" customFormat="false" ht="15" hidden="false" customHeight="false" outlineLevel="0" collapsed="false">
      <c r="A632" s="30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3" t="str">
        <f aca="false">IF(D632="","",IF(SUM(I632:L632)&gt;0,1,0))</f>
        <v/>
      </c>
      <c r="O632" s="34" t="str">
        <f aca="false">IF(D632="","",IF(OR(COUNTIF('Target &amp; Team Lists'!$J$5:$J$204,D632)&gt;0,AND(H632&lt;&gt;"",COUNTIF('Target &amp; Team Lists'!$L$5:$L$204,H632)&gt;0),ISNUMBER(SEARCH("alpha nodus",(E632&amp;" "&amp;F632))),ISNUMBER(SEARCH("alphanodus",(E632&amp;" "&amp;F632)))),"Yes","No"))</f>
        <v/>
      </c>
      <c r="P632" s="34" t="str">
        <f aca="false">IF(D632="","",IF(O632="Yes","No",IF(OR(AND(F632&lt;&gt;"",COUNTIF('Target &amp; Team Lists'!$A$5:$A$504,F632)&gt;0),COUNTIF('Target &amp; Team Lists'!$E$5:$E$504,D632)&gt;0),"Yes",IF(AND(SUMPRODUCT(('Target &amp; Team Lists'!$N$5:$N$60&lt;&gt;"")*ISNUMBER(SEARCH('Target &amp; Team Lists'!$N$5:$N$60,(E632&amp;" "&amp;F632))))&gt;0,SUMPRODUCT(('Target &amp; Team Lists'!$O$5:$O$60&lt;&gt;"")*ISNUMBER(SEARCH('Target &amp; Team Lists'!$O$5:$O$60,(E632&amp;" "&amp;F632))))=0),"Yes","No"))))</f>
        <v/>
      </c>
      <c r="Q632" s="32"/>
    </row>
    <row r="633" customFormat="false" ht="15" hidden="false" customHeight="false" outlineLevel="0" collapsed="false">
      <c r="A633" s="30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3" t="str">
        <f aca="false">IF(D633="","",IF(SUM(I633:L633)&gt;0,1,0))</f>
        <v/>
      </c>
      <c r="O633" s="34" t="str">
        <f aca="false">IF(D633="","",IF(OR(COUNTIF('Target &amp; Team Lists'!$J$5:$J$204,D633)&gt;0,AND(H633&lt;&gt;"",COUNTIF('Target &amp; Team Lists'!$L$5:$L$204,H633)&gt;0),ISNUMBER(SEARCH("alpha nodus",(E633&amp;" "&amp;F633))),ISNUMBER(SEARCH("alphanodus",(E633&amp;" "&amp;F633)))),"Yes","No"))</f>
        <v/>
      </c>
      <c r="P633" s="34" t="str">
        <f aca="false">IF(D633="","",IF(O633="Yes","No",IF(OR(AND(F633&lt;&gt;"",COUNTIF('Target &amp; Team Lists'!$A$5:$A$504,F633)&gt;0),COUNTIF('Target &amp; Team Lists'!$E$5:$E$504,D633)&gt;0),"Yes",IF(AND(SUMPRODUCT(('Target &amp; Team Lists'!$N$5:$N$60&lt;&gt;"")*ISNUMBER(SEARCH('Target &amp; Team Lists'!$N$5:$N$60,(E633&amp;" "&amp;F633))))&gt;0,SUMPRODUCT(('Target &amp; Team Lists'!$O$5:$O$60&lt;&gt;"")*ISNUMBER(SEARCH('Target &amp; Team Lists'!$O$5:$O$60,(E633&amp;" "&amp;F633))))=0),"Yes","No"))))</f>
        <v/>
      </c>
      <c r="Q633" s="32"/>
    </row>
    <row r="634" customFormat="false" ht="15" hidden="false" customHeight="false" outlineLevel="0" collapsed="false">
      <c r="A634" s="30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3" t="str">
        <f aca="false">IF(D634="","",IF(SUM(I634:L634)&gt;0,1,0))</f>
        <v/>
      </c>
      <c r="O634" s="34" t="str">
        <f aca="false">IF(D634="","",IF(OR(COUNTIF('Target &amp; Team Lists'!$J$5:$J$204,D634)&gt;0,AND(H634&lt;&gt;"",COUNTIF('Target &amp; Team Lists'!$L$5:$L$204,H634)&gt;0),ISNUMBER(SEARCH("alpha nodus",(E634&amp;" "&amp;F634))),ISNUMBER(SEARCH("alphanodus",(E634&amp;" "&amp;F634)))),"Yes","No"))</f>
        <v/>
      </c>
      <c r="P634" s="34" t="str">
        <f aca="false">IF(D634="","",IF(O634="Yes","No",IF(OR(AND(F634&lt;&gt;"",COUNTIF('Target &amp; Team Lists'!$A$5:$A$504,F634)&gt;0),COUNTIF('Target &amp; Team Lists'!$E$5:$E$504,D634)&gt;0),"Yes",IF(AND(SUMPRODUCT(('Target &amp; Team Lists'!$N$5:$N$60&lt;&gt;"")*ISNUMBER(SEARCH('Target &amp; Team Lists'!$N$5:$N$60,(E634&amp;" "&amp;F634))))&gt;0,SUMPRODUCT(('Target &amp; Team Lists'!$O$5:$O$60&lt;&gt;"")*ISNUMBER(SEARCH('Target &amp; Team Lists'!$O$5:$O$60,(E634&amp;" "&amp;F634))))=0),"Yes","No"))))</f>
        <v/>
      </c>
      <c r="Q634" s="32"/>
    </row>
    <row r="635" customFormat="false" ht="15" hidden="false" customHeight="false" outlineLevel="0" collapsed="false">
      <c r="A635" s="30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3" t="str">
        <f aca="false">IF(D635="","",IF(SUM(I635:L635)&gt;0,1,0))</f>
        <v/>
      </c>
      <c r="O635" s="34" t="str">
        <f aca="false">IF(D635="","",IF(OR(COUNTIF('Target &amp; Team Lists'!$J$5:$J$204,D635)&gt;0,AND(H635&lt;&gt;"",COUNTIF('Target &amp; Team Lists'!$L$5:$L$204,H635)&gt;0),ISNUMBER(SEARCH("alpha nodus",(E635&amp;" "&amp;F635))),ISNUMBER(SEARCH("alphanodus",(E635&amp;" "&amp;F635)))),"Yes","No"))</f>
        <v/>
      </c>
      <c r="P635" s="34" t="str">
        <f aca="false">IF(D635="","",IF(O635="Yes","No",IF(OR(AND(F635&lt;&gt;"",COUNTIF('Target &amp; Team Lists'!$A$5:$A$504,F635)&gt;0),COUNTIF('Target &amp; Team Lists'!$E$5:$E$504,D635)&gt;0),"Yes",IF(AND(SUMPRODUCT(('Target &amp; Team Lists'!$N$5:$N$60&lt;&gt;"")*ISNUMBER(SEARCH('Target &amp; Team Lists'!$N$5:$N$60,(E635&amp;" "&amp;F635))))&gt;0,SUMPRODUCT(('Target &amp; Team Lists'!$O$5:$O$60&lt;&gt;"")*ISNUMBER(SEARCH('Target &amp; Team Lists'!$O$5:$O$60,(E635&amp;" "&amp;F635))))=0),"Yes","No"))))</f>
        <v/>
      </c>
      <c r="Q635" s="32"/>
    </row>
    <row r="636" customFormat="false" ht="15" hidden="false" customHeight="false" outlineLevel="0" collapsed="false">
      <c r="A636" s="30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3" t="str">
        <f aca="false">IF(D636="","",IF(SUM(I636:L636)&gt;0,1,0))</f>
        <v/>
      </c>
      <c r="O636" s="34" t="str">
        <f aca="false">IF(D636="","",IF(OR(COUNTIF('Target &amp; Team Lists'!$J$5:$J$204,D636)&gt;0,AND(H636&lt;&gt;"",COUNTIF('Target &amp; Team Lists'!$L$5:$L$204,H636)&gt;0),ISNUMBER(SEARCH("alpha nodus",(E636&amp;" "&amp;F636))),ISNUMBER(SEARCH("alphanodus",(E636&amp;" "&amp;F636)))),"Yes","No"))</f>
        <v/>
      </c>
      <c r="P636" s="34" t="str">
        <f aca="false">IF(D636="","",IF(O636="Yes","No",IF(OR(AND(F636&lt;&gt;"",COUNTIF('Target &amp; Team Lists'!$A$5:$A$504,F636)&gt;0),COUNTIF('Target &amp; Team Lists'!$E$5:$E$504,D636)&gt;0),"Yes",IF(AND(SUMPRODUCT(('Target &amp; Team Lists'!$N$5:$N$60&lt;&gt;"")*ISNUMBER(SEARCH('Target &amp; Team Lists'!$N$5:$N$60,(E636&amp;" "&amp;F636))))&gt;0,SUMPRODUCT(('Target &amp; Team Lists'!$O$5:$O$60&lt;&gt;"")*ISNUMBER(SEARCH('Target &amp; Team Lists'!$O$5:$O$60,(E636&amp;" "&amp;F636))))=0),"Yes","No"))))</f>
        <v/>
      </c>
      <c r="Q636" s="32"/>
    </row>
    <row r="637" customFormat="false" ht="15" hidden="false" customHeight="false" outlineLevel="0" collapsed="false">
      <c r="A637" s="30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3" t="str">
        <f aca="false">IF(D637="","",IF(SUM(I637:L637)&gt;0,1,0))</f>
        <v/>
      </c>
      <c r="O637" s="34" t="str">
        <f aca="false">IF(D637="","",IF(OR(COUNTIF('Target &amp; Team Lists'!$J$5:$J$204,D637)&gt;0,AND(H637&lt;&gt;"",COUNTIF('Target &amp; Team Lists'!$L$5:$L$204,H637)&gt;0),ISNUMBER(SEARCH("alpha nodus",(E637&amp;" "&amp;F637))),ISNUMBER(SEARCH("alphanodus",(E637&amp;" "&amp;F637)))),"Yes","No"))</f>
        <v/>
      </c>
      <c r="P637" s="34" t="str">
        <f aca="false">IF(D637="","",IF(O637="Yes","No",IF(OR(AND(F637&lt;&gt;"",COUNTIF('Target &amp; Team Lists'!$A$5:$A$504,F637)&gt;0),COUNTIF('Target &amp; Team Lists'!$E$5:$E$504,D637)&gt;0),"Yes",IF(AND(SUMPRODUCT(('Target &amp; Team Lists'!$N$5:$N$60&lt;&gt;"")*ISNUMBER(SEARCH('Target &amp; Team Lists'!$N$5:$N$60,(E637&amp;" "&amp;F637))))&gt;0,SUMPRODUCT(('Target &amp; Team Lists'!$O$5:$O$60&lt;&gt;"")*ISNUMBER(SEARCH('Target &amp; Team Lists'!$O$5:$O$60,(E637&amp;" "&amp;F637))))=0),"Yes","No"))))</f>
        <v/>
      </c>
      <c r="Q637" s="32"/>
    </row>
    <row r="638" customFormat="false" ht="15" hidden="false" customHeight="false" outlineLevel="0" collapsed="false">
      <c r="A638" s="30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3" t="str">
        <f aca="false">IF(D638="","",IF(SUM(I638:L638)&gt;0,1,0))</f>
        <v/>
      </c>
      <c r="O638" s="34" t="str">
        <f aca="false">IF(D638="","",IF(OR(COUNTIF('Target &amp; Team Lists'!$J$5:$J$204,D638)&gt;0,AND(H638&lt;&gt;"",COUNTIF('Target &amp; Team Lists'!$L$5:$L$204,H638)&gt;0),ISNUMBER(SEARCH("alpha nodus",(E638&amp;" "&amp;F638))),ISNUMBER(SEARCH("alphanodus",(E638&amp;" "&amp;F638)))),"Yes","No"))</f>
        <v/>
      </c>
      <c r="P638" s="34" t="str">
        <f aca="false">IF(D638="","",IF(O638="Yes","No",IF(OR(AND(F638&lt;&gt;"",COUNTIF('Target &amp; Team Lists'!$A$5:$A$504,F638)&gt;0),COUNTIF('Target &amp; Team Lists'!$E$5:$E$504,D638)&gt;0),"Yes",IF(AND(SUMPRODUCT(('Target &amp; Team Lists'!$N$5:$N$60&lt;&gt;"")*ISNUMBER(SEARCH('Target &amp; Team Lists'!$N$5:$N$60,(E638&amp;" "&amp;F638))))&gt;0,SUMPRODUCT(('Target &amp; Team Lists'!$O$5:$O$60&lt;&gt;"")*ISNUMBER(SEARCH('Target &amp; Team Lists'!$O$5:$O$60,(E638&amp;" "&amp;F638))))=0),"Yes","No"))))</f>
        <v/>
      </c>
      <c r="Q638" s="32"/>
    </row>
    <row r="639" customFormat="false" ht="15" hidden="false" customHeight="false" outlineLevel="0" collapsed="false">
      <c r="A639" s="30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3" t="str">
        <f aca="false">IF(D639="","",IF(SUM(I639:L639)&gt;0,1,0))</f>
        <v/>
      </c>
      <c r="O639" s="34" t="str">
        <f aca="false">IF(D639="","",IF(OR(COUNTIF('Target &amp; Team Lists'!$J$5:$J$204,D639)&gt;0,AND(H639&lt;&gt;"",COUNTIF('Target &amp; Team Lists'!$L$5:$L$204,H639)&gt;0),ISNUMBER(SEARCH("alpha nodus",(E639&amp;" "&amp;F639))),ISNUMBER(SEARCH("alphanodus",(E639&amp;" "&amp;F639)))),"Yes","No"))</f>
        <v/>
      </c>
      <c r="P639" s="34" t="str">
        <f aca="false">IF(D639="","",IF(O639="Yes","No",IF(OR(AND(F639&lt;&gt;"",COUNTIF('Target &amp; Team Lists'!$A$5:$A$504,F639)&gt;0),COUNTIF('Target &amp; Team Lists'!$E$5:$E$504,D639)&gt;0),"Yes",IF(AND(SUMPRODUCT(('Target &amp; Team Lists'!$N$5:$N$60&lt;&gt;"")*ISNUMBER(SEARCH('Target &amp; Team Lists'!$N$5:$N$60,(E639&amp;" "&amp;F639))))&gt;0,SUMPRODUCT(('Target &amp; Team Lists'!$O$5:$O$60&lt;&gt;"")*ISNUMBER(SEARCH('Target &amp; Team Lists'!$O$5:$O$60,(E639&amp;" "&amp;F639))))=0),"Yes","No"))))</f>
        <v/>
      </c>
      <c r="Q639" s="32"/>
    </row>
    <row r="640" customFormat="false" ht="15" hidden="false" customHeight="false" outlineLevel="0" collapsed="false">
      <c r="A640" s="30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3" t="str">
        <f aca="false">IF(D640="","",IF(SUM(I640:L640)&gt;0,1,0))</f>
        <v/>
      </c>
      <c r="O640" s="34" t="str">
        <f aca="false">IF(D640="","",IF(OR(COUNTIF('Target &amp; Team Lists'!$J$5:$J$204,D640)&gt;0,AND(H640&lt;&gt;"",COUNTIF('Target &amp; Team Lists'!$L$5:$L$204,H640)&gt;0),ISNUMBER(SEARCH("alpha nodus",(E640&amp;" "&amp;F640))),ISNUMBER(SEARCH("alphanodus",(E640&amp;" "&amp;F640)))),"Yes","No"))</f>
        <v/>
      </c>
      <c r="P640" s="34" t="str">
        <f aca="false">IF(D640="","",IF(O640="Yes","No",IF(OR(AND(F640&lt;&gt;"",COUNTIF('Target &amp; Team Lists'!$A$5:$A$504,F640)&gt;0),COUNTIF('Target &amp; Team Lists'!$E$5:$E$504,D640)&gt;0),"Yes",IF(AND(SUMPRODUCT(('Target &amp; Team Lists'!$N$5:$N$60&lt;&gt;"")*ISNUMBER(SEARCH('Target &amp; Team Lists'!$N$5:$N$60,(E640&amp;" "&amp;F640))))&gt;0,SUMPRODUCT(('Target &amp; Team Lists'!$O$5:$O$60&lt;&gt;"")*ISNUMBER(SEARCH('Target &amp; Team Lists'!$O$5:$O$60,(E640&amp;" "&amp;F640))))=0),"Yes","No"))))</f>
        <v/>
      </c>
      <c r="Q640" s="32"/>
    </row>
    <row r="641" customFormat="false" ht="15" hidden="false" customHeight="false" outlineLevel="0" collapsed="false">
      <c r="A641" s="30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3" t="str">
        <f aca="false">IF(D641="","",IF(SUM(I641:L641)&gt;0,1,0))</f>
        <v/>
      </c>
      <c r="O641" s="34" t="str">
        <f aca="false">IF(D641="","",IF(OR(COUNTIF('Target &amp; Team Lists'!$J$5:$J$204,D641)&gt;0,AND(H641&lt;&gt;"",COUNTIF('Target &amp; Team Lists'!$L$5:$L$204,H641)&gt;0),ISNUMBER(SEARCH("alpha nodus",(E641&amp;" "&amp;F641))),ISNUMBER(SEARCH("alphanodus",(E641&amp;" "&amp;F641)))),"Yes","No"))</f>
        <v/>
      </c>
      <c r="P641" s="34" t="str">
        <f aca="false">IF(D641="","",IF(O641="Yes","No",IF(OR(AND(F641&lt;&gt;"",COUNTIF('Target &amp; Team Lists'!$A$5:$A$504,F641)&gt;0),COUNTIF('Target &amp; Team Lists'!$E$5:$E$504,D641)&gt;0),"Yes",IF(AND(SUMPRODUCT(('Target &amp; Team Lists'!$N$5:$N$60&lt;&gt;"")*ISNUMBER(SEARCH('Target &amp; Team Lists'!$N$5:$N$60,(E641&amp;" "&amp;F641))))&gt;0,SUMPRODUCT(('Target &amp; Team Lists'!$O$5:$O$60&lt;&gt;"")*ISNUMBER(SEARCH('Target &amp; Team Lists'!$O$5:$O$60,(E641&amp;" "&amp;F641))))=0),"Yes","No"))))</f>
        <v/>
      </c>
      <c r="Q641" s="32"/>
    </row>
    <row r="642" customFormat="false" ht="15" hidden="false" customHeight="false" outlineLevel="0" collapsed="false">
      <c r="A642" s="30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3" t="str">
        <f aca="false">IF(D642="","",IF(SUM(I642:L642)&gt;0,1,0))</f>
        <v/>
      </c>
      <c r="O642" s="34" t="str">
        <f aca="false">IF(D642="","",IF(OR(COUNTIF('Target &amp; Team Lists'!$J$5:$J$204,D642)&gt;0,AND(H642&lt;&gt;"",COUNTIF('Target &amp; Team Lists'!$L$5:$L$204,H642)&gt;0),ISNUMBER(SEARCH("alpha nodus",(E642&amp;" "&amp;F642))),ISNUMBER(SEARCH("alphanodus",(E642&amp;" "&amp;F642)))),"Yes","No"))</f>
        <v/>
      </c>
      <c r="P642" s="34" t="str">
        <f aca="false">IF(D642="","",IF(O642="Yes","No",IF(OR(AND(F642&lt;&gt;"",COUNTIF('Target &amp; Team Lists'!$A$5:$A$504,F642)&gt;0),COUNTIF('Target &amp; Team Lists'!$E$5:$E$504,D642)&gt;0),"Yes",IF(AND(SUMPRODUCT(('Target &amp; Team Lists'!$N$5:$N$60&lt;&gt;"")*ISNUMBER(SEARCH('Target &amp; Team Lists'!$N$5:$N$60,(E642&amp;" "&amp;F642))))&gt;0,SUMPRODUCT(('Target &amp; Team Lists'!$O$5:$O$60&lt;&gt;"")*ISNUMBER(SEARCH('Target &amp; Team Lists'!$O$5:$O$60,(E642&amp;" "&amp;F642))))=0),"Yes","No"))))</f>
        <v/>
      </c>
      <c r="Q642" s="32"/>
    </row>
    <row r="643" customFormat="false" ht="15" hidden="false" customHeight="false" outlineLevel="0" collapsed="false">
      <c r="A643" s="30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3" t="str">
        <f aca="false">IF(D643="","",IF(SUM(I643:L643)&gt;0,1,0))</f>
        <v/>
      </c>
      <c r="O643" s="34" t="str">
        <f aca="false">IF(D643="","",IF(OR(COUNTIF('Target &amp; Team Lists'!$J$5:$J$204,D643)&gt;0,AND(H643&lt;&gt;"",COUNTIF('Target &amp; Team Lists'!$L$5:$L$204,H643)&gt;0),ISNUMBER(SEARCH("alpha nodus",(E643&amp;" "&amp;F643))),ISNUMBER(SEARCH("alphanodus",(E643&amp;" "&amp;F643)))),"Yes","No"))</f>
        <v/>
      </c>
      <c r="P643" s="34" t="str">
        <f aca="false">IF(D643="","",IF(O643="Yes","No",IF(OR(AND(F643&lt;&gt;"",COUNTIF('Target &amp; Team Lists'!$A$5:$A$504,F643)&gt;0),COUNTIF('Target &amp; Team Lists'!$E$5:$E$504,D643)&gt;0),"Yes",IF(AND(SUMPRODUCT(('Target &amp; Team Lists'!$N$5:$N$60&lt;&gt;"")*ISNUMBER(SEARCH('Target &amp; Team Lists'!$N$5:$N$60,(E643&amp;" "&amp;F643))))&gt;0,SUMPRODUCT(('Target &amp; Team Lists'!$O$5:$O$60&lt;&gt;"")*ISNUMBER(SEARCH('Target &amp; Team Lists'!$O$5:$O$60,(E643&amp;" "&amp;F643))))=0),"Yes","No"))))</f>
        <v/>
      </c>
      <c r="Q643" s="32"/>
    </row>
    <row r="644" customFormat="false" ht="15" hidden="false" customHeight="false" outlineLevel="0" collapsed="false">
      <c r="A644" s="30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3" t="str">
        <f aca="false">IF(D644="","",IF(SUM(I644:L644)&gt;0,1,0))</f>
        <v/>
      </c>
      <c r="O644" s="34" t="str">
        <f aca="false">IF(D644="","",IF(OR(COUNTIF('Target &amp; Team Lists'!$J$5:$J$204,D644)&gt;0,AND(H644&lt;&gt;"",COUNTIF('Target &amp; Team Lists'!$L$5:$L$204,H644)&gt;0),ISNUMBER(SEARCH("alpha nodus",(E644&amp;" "&amp;F644))),ISNUMBER(SEARCH("alphanodus",(E644&amp;" "&amp;F644)))),"Yes","No"))</f>
        <v/>
      </c>
      <c r="P644" s="34" t="str">
        <f aca="false">IF(D644="","",IF(O644="Yes","No",IF(OR(AND(F644&lt;&gt;"",COUNTIF('Target &amp; Team Lists'!$A$5:$A$504,F644)&gt;0),COUNTIF('Target &amp; Team Lists'!$E$5:$E$504,D644)&gt;0),"Yes",IF(AND(SUMPRODUCT(('Target &amp; Team Lists'!$N$5:$N$60&lt;&gt;"")*ISNUMBER(SEARCH('Target &amp; Team Lists'!$N$5:$N$60,(E644&amp;" "&amp;F644))))&gt;0,SUMPRODUCT(('Target &amp; Team Lists'!$O$5:$O$60&lt;&gt;"")*ISNUMBER(SEARCH('Target &amp; Team Lists'!$O$5:$O$60,(E644&amp;" "&amp;F644))))=0),"Yes","No"))))</f>
        <v/>
      </c>
      <c r="Q644" s="32"/>
    </row>
    <row r="645" customFormat="false" ht="15" hidden="false" customHeight="false" outlineLevel="0" collapsed="false">
      <c r="A645" s="30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3" t="str">
        <f aca="false">IF(D645="","",IF(SUM(I645:L645)&gt;0,1,0))</f>
        <v/>
      </c>
      <c r="O645" s="34" t="str">
        <f aca="false">IF(D645="","",IF(OR(COUNTIF('Target &amp; Team Lists'!$J$5:$J$204,D645)&gt;0,AND(H645&lt;&gt;"",COUNTIF('Target &amp; Team Lists'!$L$5:$L$204,H645)&gt;0),ISNUMBER(SEARCH("alpha nodus",(E645&amp;" "&amp;F645))),ISNUMBER(SEARCH("alphanodus",(E645&amp;" "&amp;F645)))),"Yes","No"))</f>
        <v/>
      </c>
      <c r="P645" s="34" t="str">
        <f aca="false">IF(D645="","",IF(O645="Yes","No",IF(OR(AND(F645&lt;&gt;"",COUNTIF('Target &amp; Team Lists'!$A$5:$A$504,F645)&gt;0),COUNTIF('Target &amp; Team Lists'!$E$5:$E$504,D645)&gt;0),"Yes",IF(AND(SUMPRODUCT(('Target &amp; Team Lists'!$N$5:$N$60&lt;&gt;"")*ISNUMBER(SEARCH('Target &amp; Team Lists'!$N$5:$N$60,(E645&amp;" "&amp;F645))))&gt;0,SUMPRODUCT(('Target &amp; Team Lists'!$O$5:$O$60&lt;&gt;"")*ISNUMBER(SEARCH('Target &amp; Team Lists'!$O$5:$O$60,(E645&amp;" "&amp;F645))))=0),"Yes","No"))))</f>
        <v/>
      </c>
      <c r="Q645" s="32"/>
    </row>
    <row r="646" customFormat="false" ht="15" hidden="false" customHeight="false" outlineLevel="0" collapsed="false">
      <c r="A646" s="30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3" t="str">
        <f aca="false">IF(D646="","",IF(SUM(I646:L646)&gt;0,1,0))</f>
        <v/>
      </c>
      <c r="O646" s="34" t="str">
        <f aca="false">IF(D646="","",IF(OR(COUNTIF('Target &amp; Team Lists'!$J$5:$J$204,D646)&gt;0,AND(H646&lt;&gt;"",COUNTIF('Target &amp; Team Lists'!$L$5:$L$204,H646)&gt;0),ISNUMBER(SEARCH("alpha nodus",(E646&amp;" "&amp;F646))),ISNUMBER(SEARCH("alphanodus",(E646&amp;" "&amp;F646)))),"Yes","No"))</f>
        <v/>
      </c>
      <c r="P646" s="34" t="str">
        <f aca="false">IF(D646="","",IF(O646="Yes","No",IF(OR(AND(F646&lt;&gt;"",COUNTIF('Target &amp; Team Lists'!$A$5:$A$504,F646)&gt;0),COUNTIF('Target &amp; Team Lists'!$E$5:$E$504,D646)&gt;0),"Yes",IF(AND(SUMPRODUCT(('Target &amp; Team Lists'!$N$5:$N$60&lt;&gt;"")*ISNUMBER(SEARCH('Target &amp; Team Lists'!$N$5:$N$60,(E646&amp;" "&amp;F646))))&gt;0,SUMPRODUCT(('Target &amp; Team Lists'!$O$5:$O$60&lt;&gt;"")*ISNUMBER(SEARCH('Target &amp; Team Lists'!$O$5:$O$60,(E646&amp;" "&amp;F646))))=0),"Yes","No"))))</f>
        <v/>
      </c>
      <c r="Q646" s="32"/>
    </row>
    <row r="647" customFormat="false" ht="15" hidden="false" customHeight="false" outlineLevel="0" collapsed="false">
      <c r="A647" s="30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3" t="str">
        <f aca="false">IF(D647="","",IF(SUM(I647:L647)&gt;0,1,0))</f>
        <v/>
      </c>
      <c r="O647" s="34" t="str">
        <f aca="false">IF(D647="","",IF(OR(COUNTIF('Target &amp; Team Lists'!$J$5:$J$204,D647)&gt;0,AND(H647&lt;&gt;"",COUNTIF('Target &amp; Team Lists'!$L$5:$L$204,H647)&gt;0),ISNUMBER(SEARCH("alpha nodus",(E647&amp;" "&amp;F647))),ISNUMBER(SEARCH("alphanodus",(E647&amp;" "&amp;F647)))),"Yes","No"))</f>
        <v/>
      </c>
      <c r="P647" s="34" t="str">
        <f aca="false">IF(D647="","",IF(O647="Yes","No",IF(OR(AND(F647&lt;&gt;"",COUNTIF('Target &amp; Team Lists'!$A$5:$A$504,F647)&gt;0),COUNTIF('Target &amp; Team Lists'!$E$5:$E$504,D647)&gt;0),"Yes",IF(AND(SUMPRODUCT(('Target &amp; Team Lists'!$N$5:$N$60&lt;&gt;"")*ISNUMBER(SEARCH('Target &amp; Team Lists'!$N$5:$N$60,(E647&amp;" "&amp;F647))))&gt;0,SUMPRODUCT(('Target &amp; Team Lists'!$O$5:$O$60&lt;&gt;"")*ISNUMBER(SEARCH('Target &amp; Team Lists'!$O$5:$O$60,(E647&amp;" "&amp;F647))))=0),"Yes","No"))))</f>
        <v/>
      </c>
      <c r="Q647" s="32"/>
    </row>
    <row r="648" customFormat="false" ht="15" hidden="false" customHeight="false" outlineLevel="0" collapsed="false">
      <c r="A648" s="30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3" t="str">
        <f aca="false">IF(D648="","",IF(SUM(I648:L648)&gt;0,1,0))</f>
        <v/>
      </c>
      <c r="O648" s="34" t="str">
        <f aca="false">IF(D648="","",IF(OR(COUNTIF('Target &amp; Team Lists'!$J$5:$J$204,D648)&gt;0,AND(H648&lt;&gt;"",COUNTIF('Target &amp; Team Lists'!$L$5:$L$204,H648)&gt;0),ISNUMBER(SEARCH("alpha nodus",(E648&amp;" "&amp;F648))),ISNUMBER(SEARCH("alphanodus",(E648&amp;" "&amp;F648)))),"Yes","No"))</f>
        <v/>
      </c>
      <c r="P648" s="34" t="str">
        <f aca="false">IF(D648="","",IF(O648="Yes","No",IF(OR(AND(F648&lt;&gt;"",COUNTIF('Target &amp; Team Lists'!$A$5:$A$504,F648)&gt;0),COUNTIF('Target &amp; Team Lists'!$E$5:$E$504,D648)&gt;0),"Yes",IF(AND(SUMPRODUCT(('Target &amp; Team Lists'!$N$5:$N$60&lt;&gt;"")*ISNUMBER(SEARCH('Target &amp; Team Lists'!$N$5:$N$60,(E648&amp;" "&amp;F648))))&gt;0,SUMPRODUCT(('Target &amp; Team Lists'!$O$5:$O$60&lt;&gt;"")*ISNUMBER(SEARCH('Target &amp; Team Lists'!$O$5:$O$60,(E648&amp;" "&amp;F648))))=0),"Yes","No"))))</f>
        <v/>
      </c>
      <c r="Q648" s="32"/>
    </row>
    <row r="649" customFormat="false" ht="15" hidden="false" customHeight="false" outlineLevel="0" collapsed="false">
      <c r="A649" s="30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3" t="str">
        <f aca="false">IF(D649="","",IF(SUM(I649:L649)&gt;0,1,0))</f>
        <v/>
      </c>
      <c r="O649" s="34" t="str">
        <f aca="false">IF(D649="","",IF(OR(COUNTIF('Target &amp; Team Lists'!$J$5:$J$204,D649)&gt;0,AND(H649&lt;&gt;"",COUNTIF('Target &amp; Team Lists'!$L$5:$L$204,H649)&gt;0),ISNUMBER(SEARCH("alpha nodus",(E649&amp;" "&amp;F649))),ISNUMBER(SEARCH("alphanodus",(E649&amp;" "&amp;F649)))),"Yes","No"))</f>
        <v/>
      </c>
      <c r="P649" s="34" t="str">
        <f aca="false">IF(D649="","",IF(O649="Yes","No",IF(OR(AND(F649&lt;&gt;"",COUNTIF('Target &amp; Team Lists'!$A$5:$A$504,F649)&gt;0),COUNTIF('Target &amp; Team Lists'!$E$5:$E$504,D649)&gt;0),"Yes",IF(AND(SUMPRODUCT(('Target &amp; Team Lists'!$N$5:$N$60&lt;&gt;"")*ISNUMBER(SEARCH('Target &amp; Team Lists'!$N$5:$N$60,(E649&amp;" "&amp;F649))))&gt;0,SUMPRODUCT(('Target &amp; Team Lists'!$O$5:$O$60&lt;&gt;"")*ISNUMBER(SEARCH('Target &amp; Team Lists'!$O$5:$O$60,(E649&amp;" "&amp;F649))))=0),"Yes","No"))))</f>
        <v/>
      </c>
      <c r="Q649" s="32"/>
    </row>
    <row r="650" customFormat="false" ht="15" hidden="false" customHeight="false" outlineLevel="0" collapsed="false">
      <c r="A650" s="30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3" t="str">
        <f aca="false">IF(D650="","",IF(SUM(I650:L650)&gt;0,1,0))</f>
        <v/>
      </c>
      <c r="O650" s="34" t="str">
        <f aca="false">IF(D650="","",IF(OR(COUNTIF('Target &amp; Team Lists'!$J$5:$J$204,D650)&gt;0,AND(H650&lt;&gt;"",COUNTIF('Target &amp; Team Lists'!$L$5:$L$204,H650)&gt;0),ISNUMBER(SEARCH("alpha nodus",(E650&amp;" "&amp;F650))),ISNUMBER(SEARCH("alphanodus",(E650&amp;" "&amp;F650)))),"Yes","No"))</f>
        <v/>
      </c>
      <c r="P650" s="34" t="str">
        <f aca="false">IF(D650="","",IF(O650="Yes","No",IF(OR(AND(F650&lt;&gt;"",COUNTIF('Target &amp; Team Lists'!$A$5:$A$504,F650)&gt;0),COUNTIF('Target &amp; Team Lists'!$E$5:$E$504,D650)&gt;0),"Yes",IF(AND(SUMPRODUCT(('Target &amp; Team Lists'!$N$5:$N$60&lt;&gt;"")*ISNUMBER(SEARCH('Target &amp; Team Lists'!$N$5:$N$60,(E650&amp;" "&amp;F650))))&gt;0,SUMPRODUCT(('Target &amp; Team Lists'!$O$5:$O$60&lt;&gt;"")*ISNUMBER(SEARCH('Target &amp; Team Lists'!$O$5:$O$60,(E650&amp;" "&amp;F650))))=0),"Yes","No"))))</f>
        <v/>
      </c>
      <c r="Q650" s="32"/>
    </row>
    <row r="651" customFormat="false" ht="15" hidden="false" customHeight="false" outlineLevel="0" collapsed="false">
      <c r="A651" s="30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3" t="str">
        <f aca="false">IF(D651="","",IF(SUM(I651:L651)&gt;0,1,0))</f>
        <v/>
      </c>
      <c r="O651" s="34" t="str">
        <f aca="false">IF(D651="","",IF(OR(COUNTIF('Target &amp; Team Lists'!$J$5:$J$204,D651)&gt;0,AND(H651&lt;&gt;"",COUNTIF('Target &amp; Team Lists'!$L$5:$L$204,H651)&gt;0),ISNUMBER(SEARCH("alpha nodus",(E651&amp;" "&amp;F651))),ISNUMBER(SEARCH("alphanodus",(E651&amp;" "&amp;F651)))),"Yes","No"))</f>
        <v/>
      </c>
      <c r="P651" s="34" t="str">
        <f aca="false">IF(D651="","",IF(O651="Yes","No",IF(OR(AND(F651&lt;&gt;"",COUNTIF('Target &amp; Team Lists'!$A$5:$A$504,F651)&gt;0),COUNTIF('Target &amp; Team Lists'!$E$5:$E$504,D651)&gt;0),"Yes",IF(AND(SUMPRODUCT(('Target &amp; Team Lists'!$N$5:$N$60&lt;&gt;"")*ISNUMBER(SEARCH('Target &amp; Team Lists'!$N$5:$N$60,(E651&amp;" "&amp;F651))))&gt;0,SUMPRODUCT(('Target &amp; Team Lists'!$O$5:$O$60&lt;&gt;"")*ISNUMBER(SEARCH('Target &amp; Team Lists'!$O$5:$O$60,(E651&amp;" "&amp;F651))))=0),"Yes","No"))))</f>
        <v/>
      </c>
      <c r="Q651" s="32"/>
    </row>
    <row r="652" customFormat="false" ht="15" hidden="false" customHeight="false" outlineLevel="0" collapsed="false">
      <c r="A652" s="30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3" t="str">
        <f aca="false">IF(D652="","",IF(SUM(I652:L652)&gt;0,1,0))</f>
        <v/>
      </c>
      <c r="O652" s="34" t="str">
        <f aca="false">IF(D652="","",IF(OR(COUNTIF('Target &amp; Team Lists'!$J$5:$J$204,D652)&gt;0,AND(H652&lt;&gt;"",COUNTIF('Target &amp; Team Lists'!$L$5:$L$204,H652)&gt;0),ISNUMBER(SEARCH("alpha nodus",(E652&amp;" "&amp;F652))),ISNUMBER(SEARCH("alphanodus",(E652&amp;" "&amp;F652)))),"Yes","No"))</f>
        <v/>
      </c>
      <c r="P652" s="34" t="str">
        <f aca="false">IF(D652="","",IF(O652="Yes","No",IF(OR(AND(F652&lt;&gt;"",COUNTIF('Target &amp; Team Lists'!$A$5:$A$504,F652)&gt;0),COUNTIF('Target &amp; Team Lists'!$E$5:$E$504,D652)&gt;0),"Yes",IF(AND(SUMPRODUCT(('Target &amp; Team Lists'!$N$5:$N$60&lt;&gt;"")*ISNUMBER(SEARCH('Target &amp; Team Lists'!$N$5:$N$60,(E652&amp;" "&amp;F652))))&gt;0,SUMPRODUCT(('Target &amp; Team Lists'!$O$5:$O$60&lt;&gt;"")*ISNUMBER(SEARCH('Target &amp; Team Lists'!$O$5:$O$60,(E652&amp;" "&amp;F652))))=0),"Yes","No"))))</f>
        <v/>
      </c>
      <c r="Q652" s="32"/>
    </row>
    <row r="653" customFormat="false" ht="15" hidden="false" customHeight="false" outlineLevel="0" collapsed="false">
      <c r="A653" s="30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3" t="str">
        <f aca="false">IF(D653="","",IF(SUM(I653:L653)&gt;0,1,0))</f>
        <v/>
      </c>
      <c r="O653" s="34" t="str">
        <f aca="false">IF(D653="","",IF(OR(COUNTIF('Target &amp; Team Lists'!$J$5:$J$204,D653)&gt;0,AND(H653&lt;&gt;"",COUNTIF('Target &amp; Team Lists'!$L$5:$L$204,H653)&gt;0),ISNUMBER(SEARCH("alpha nodus",(E653&amp;" "&amp;F653))),ISNUMBER(SEARCH("alphanodus",(E653&amp;" "&amp;F653)))),"Yes","No"))</f>
        <v/>
      </c>
      <c r="P653" s="34" t="str">
        <f aca="false">IF(D653="","",IF(O653="Yes","No",IF(OR(AND(F653&lt;&gt;"",COUNTIF('Target &amp; Team Lists'!$A$5:$A$504,F653)&gt;0),COUNTIF('Target &amp; Team Lists'!$E$5:$E$504,D653)&gt;0),"Yes",IF(AND(SUMPRODUCT(('Target &amp; Team Lists'!$N$5:$N$60&lt;&gt;"")*ISNUMBER(SEARCH('Target &amp; Team Lists'!$N$5:$N$60,(E653&amp;" "&amp;F653))))&gt;0,SUMPRODUCT(('Target &amp; Team Lists'!$O$5:$O$60&lt;&gt;"")*ISNUMBER(SEARCH('Target &amp; Team Lists'!$O$5:$O$60,(E653&amp;" "&amp;F653))))=0),"Yes","No"))))</f>
        <v/>
      </c>
      <c r="Q653" s="32"/>
    </row>
    <row r="654" customFormat="false" ht="15" hidden="false" customHeight="false" outlineLevel="0" collapsed="false">
      <c r="A654" s="30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3" t="str">
        <f aca="false">IF(D654="","",IF(SUM(I654:L654)&gt;0,1,0))</f>
        <v/>
      </c>
      <c r="O654" s="34" t="str">
        <f aca="false">IF(D654="","",IF(OR(COUNTIF('Target &amp; Team Lists'!$J$5:$J$204,D654)&gt;0,AND(H654&lt;&gt;"",COUNTIF('Target &amp; Team Lists'!$L$5:$L$204,H654)&gt;0),ISNUMBER(SEARCH("alpha nodus",(E654&amp;" "&amp;F654))),ISNUMBER(SEARCH("alphanodus",(E654&amp;" "&amp;F654)))),"Yes","No"))</f>
        <v/>
      </c>
      <c r="P654" s="34" t="str">
        <f aca="false">IF(D654="","",IF(O654="Yes","No",IF(OR(AND(F654&lt;&gt;"",COUNTIF('Target &amp; Team Lists'!$A$5:$A$504,F654)&gt;0),COUNTIF('Target &amp; Team Lists'!$E$5:$E$504,D654)&gt;0),"Yes",IF(AND(SUMPRODUCT(('Target &amp; Team Lists'!$N$5:$N$60&lt;&gt;"")*ISNUMBER(SEARCH('Target &amp; Team Lists'!$N$5:$N$60,(E654&amp;" "&amp;F654))))&gt;0,SUMPRODUCT(('Target &amp; Team Lists'!$O$5:$O$60&lt;&gt;"")*ISNUMBER(SEARCH('Target &amp; Team Lists'!$O$5:$O$60,(E654&amp;" "&amp;F654))))=0),"Yes","No"))))</f>
        <v/>
      </c>
      <c r="Q654" s="32"/>
    </row>
    <row r="655" customFormat="false" ht="15" hidden="false" customHeight="false" outlineLevel="0" collapsed="false">
      <c r="A655" s="30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3" t="str">
        <f aca="false">IF(D655="","",IF(SUM(I655:L655)&gt;0,1,0))</f>
        <v/>
      </c>
      <c r="O655" s="34" t="str">
        <f aca="false">IF(D655="","",IF(OR(COUNTIF('Target &amp; Team Lists'!$J$5:$J$204,D655)&gt;0,AND(H655&lt;&gt;"",COUNTIF('Target &amp; Team Lists'!$L$5:$L$204,H655)&gt;0),ISNUMBER(SEARCH("alpha nodus",(E655&amp;" "&amp;F655))),ISNUMBER(SEARCH("alphanodus",(E655&amp;" "&amp;F655)))),"Yes","No"))</f>
        <v/>
      </c>
      <c r="P655" s="34" t="str">
        <f aca="false">IF(D655="","",IF(O655="Yes","No",IF(OR(AND(F655&lt;&gt;"",COUNTIF('Target &amp; Team Lists'!$A$5:$A$504,F655)&gt;0),COUNTIF('Target &amp; Team Lists'!$E$5:$E$504,D655)&gt;0),"Yes",IF(AND(SUMPRODUCT(('Target &amp; Team Lists'!$N$5:$N$60&lt;&gt;"")*ISNUMBER(SEARCH('Target &amp; Team Lists'!$N$5:$N$60,(E655&amp;" "&amp;F655))))&gt;0,SUMPRODUCT(('Target &amp; Team Lists'!$O$5:$O$60&lt;&gt;"")*ISNUMBER(SEARCH('Target &amp; Team Lists'!$O$5:$O$60,(E655&amp;" "&amp;F655))))=0),"Yes","No"))))</f>
        <v/>
      </c>
      <c r="Q655" s="32"/>
    </row>
    <row r="656" customFormat="false" ht="15" hidden="false" customHeight="false" outlineLevel="0" collapsed="false">
      <c r="A656" s="30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3" t="str">
        <f aca="false">IF(D656="","",IF(SUM(I656:L656)&gt;0,1,0))</f>
        <v/>
      </c>
      <c r="O656" s="34" t="str">
        <f aca="false">IF(D656="","",IF(OR(COUNTIF('Target &amp; Team Lists'!$J$5:$J$204,D656)&gt;0,AND(H656&lt;&gt;"",COUNTIF('Target &amp; Team Lists'!$L$5:$L$204,H656)&gt;0),ISNUMBER(SEARCH("alpha nodus",(E656&amp;" "&amp;F656))),ISNUMBER(SEARCH("alphanodus",(E656&amp;" "&amp;F656)))),"Yes","No"))</f>
        <v/>
      </c>
      <c r="P656" s="34" t="str">
        <f aca="false">IF(D656="","",IF(O656="Yes","No",IF(OR(AND(F656&lt;&gt;"",COUNTIF('Target &amp; Team Lists'!$A$5:$A$504,F656)&gt;0),COUNTIF('Target &amp; Team Lists'!$E$5:$E$504,D656)&gt;0),"Yes",IF(AND(SUMPRODUCT(('Target &amp; Team Lists'!$N$5:$N$60&lt;&gt;"")*ISNUMBER(SEARCH('Target &amp; Team Lists'!$N$5:$N$60,(E656&amp;" "&amp;F656))))&gt;0,SUMPRODUCT(('Target &amp; Team Lists'!$O$5:$O$60&lt;&gt;"")*ISNUMBER(SEARCH('Target &amp; Team Lists'!$O$5:$O$60,(E656&amp;" "&amp;F656))))=0),"Yes","No"))))</f>
        <v/>
      </c>
      <c r="Q656" s="32"/>
    </row>
    <row r="657" customFormat="false" ht="15" hidden="false" customHeight="false" outlineLevel="0" collapsed="false">
      <c r="A657" s="30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3" t="str">
        <f aca="false">IF(D657="","",IF(SUM(I657:L657)&gt;0,1,0))</f>
        <v/>
      </c>
      <c r="O657" s="34" t="str">
        <f aca="false">IF(D657="","",IF(OR(COUNTIF('Target &amp; Team Lists'!$J$5:$J$204,D657)&gt;0,AND(H657&lt;&gt;"",COUNTIF('Target &amp; Team Lists'!$L$5:$L$204,H657)&gt;0),ISNUMBER(SEARCH("alpha nodus",(E657&amp;" "&amp;F657))),ISNUMBER(SEARCH("alphanodus",(E657&amp;" "&amp;F657)))),"Yes","No"))</f>
        <v/>
      </c>
      <c r="P657" s="34" t="str">
        <f aca="false">IF(D657="","",IF(O657="Yes","No",IF(OR(AND(F657&lt;&gt;"",COUNTIF('Target &amp; Team Lists'!$A$5:$A$504,F657)&gt;0),COUNTIF('Target &amp; Team Lists'!$E$5:$E$504,D657)&gt;0),"Yes",IF(AND(SUMPRODUCT(('Target &amp; Team Lists'!$N$5:$N$60&lt;&gt;"")*ISNUMBER(SEARCH('Target &amp; Team Lists'!$N$5:$N$60,(E657&amp;" "&amp;F657))))&gt;0,SUMPRODUCT(('Target &amp; Team Lists'!$O$5:$O$60&lt;&gt;"")*ISNUMBER(SEARCH('Target &amp; Team Lists'!$O$5:$O$60,(E657&amp;" "&amp;F657))))=0),"Yes","No"))))</f>
        <v/>
      </c>
      <c r="Q657" s="32"/>
    </row>
    <row r="658" customFormat="false" ht="15" hidden="false" customHeight="false" outlineLevel="0" collapsed="false">
      <c r="A658" s="30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3" t="str">
        <f aca="false">IF(D658="","",IF(SUM(I658:L658)&gt;0,1,0))</f>
        <v/>
      </c>
      <c r="O658" s="34" t="str">
        <f aca="false">IF(D658="","",IF(OR(COUNTIF('Target &amp; Team Lists'!$J$5:$J$204,D658)&gt;0,AND(H658&lt;&gt;"",COUNTIF('Target &amp; Team Lists'!$L$5:$L$204,H658)&gt;0),ISNUMBER(SEARCH("alpha nodus",(E658&amp;" "&amp;F658))),ISNUMBER(SEARCH("alphanodus",(E658&amp;" "&amp;F658)))),"Yes","No"))</f>
        <v/>
      </c>
      <c r="P658" s="34" t="str">
        <f aca="false">IF(D658="","",IF(O658="Yes","No",IF(OR(AND(F658&lt;&gt;"",COUNTIF('Target &amp; Team Lists'!$A$5:$A$504,F658)&gt;0),COUNTIF('Target &amp; Team Lists'!$E$5:$E$504,D658)&gt;0),"Yes",IF(AND(SUMPRODUCT(('Target &amp; Team Lists'!$N$5:$N$60&lt;&gt;"")*ISNUMBER(SEARCH('Target &amp; Team Lists'!$N$5:$N$60,(E658&amp;" "&amp;F658))))&gt;0,SUMPRODUCT(('Target &amp; Team Lists'!$O$5:$O$60&lt;&gt;"")*ISNUMBER(SEARCH('Target &amp; Team Lists'!$O$5:$O$60,(E658&amp;" "&amp;F658))))=0),"Yes","No"))))</f>
        <v/>
      </c>
      <c r="Q658" s="32"/>
    </row>
    <row r="659" customFormat="false" ht="15" hidden="false" customHeight="false" outlineLevel="0" collapsed="false">
      <c r="A659" s="30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3" t="str">
        <f aca="false">IF(D659="","",IF(SUM(I659:L659)&gt;0,1,0))</f>
        <v/>
      </c>
      <c r="O659" s="34" t="str">
        <f aca="false">IF(D659="","",IF(OR(COUNTIF('Target &amp; Team Lists'!$J$5:$J$204,D659)&gt;0,AND(H659&lt;&gt;"",COUNTIF('Target &amp; Team Lists'!$L$5:$L$204,H659)&gt;0),ISNUMBER(SEARCH("alpha nodus",(E659&amp;" "&amp;F659))),ISNUMBER(SEARCH("alphanodus",(E659&amp;" "&amp;F659)))),"Yes","No"))</f>
        <v/>
      </c>
      <c r="P659" s="34" t="str">
        <f aca="false">IF(D659="","",IF(O659="Yes","No",IF(OR(AND(F659&lt;&gt;"",COUNTIF('Target &amp; Team Lists'!$A$5:$A$504,F659)&gt;0),COUNTIF('Target &amp; Team Lists'!$E$5:$E$504,D659)&gt;0),"Yes",IF(AND(SUMPRODUCT(('Target &amp; Team Lists'!$N$5:$N$60&lt;&gt;"")*ISNUMBER(SEARCH('Target &amp; Team Lists'!$N$5:$N$60,(E659&amp;" "&amp;F659))))&gt;0,SUMPRODUCT(('Target &amp; Team Lists'!$O$5:$O$60&lt;&gt;"")*ISNUMBER(SEARCH('Target &amp; Team Lists'!$O$5:$O$60,(E659&amp;" "&amp;F659))))=0),"Yes","No"))))</f>
        <v/>
      </c>
      <c r="Q659" s="32"/>
    </row>
    <row r="660" customFormat="false" ht="15" hidden="false" customHeight="false" outlineLevel="0" collapsed="false">
      <c r="A660" s="30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3" t="str">
        <f aca="false">IF(D660="","",IF(SUM(I660:L660)&gt;0,1,0))</f>
        <v/>
      </c>
      <c r="O660" s="34" t="str">
        <f aca="false">IF(D660="","",IF(OR(COUNTIF('Target &amp; Team Lists'!$J$5:$J$204,D660)&gt;0,AND(H660&lt;&gt;"",COUNTIF('Target &amp; Team Lists'!$L$5:$L$204,H660)&gt;0),ISNUMBER(SEARCH("alpha nodus",(E660&amp;" "&amp;F660))),ISNUMBER(SEARCH("alphanodus",(E660&amp;" "&amp;F660)))),"Yes","No"))</f>
        <v/>
      </c>
      <c r="P660" s="34" t="str">
        <f aca="false">IF(D660="","",IF(O660="Yes","No",IF(OR(AND(F660&lt;&gt;"",COUNTIF('Target &amp; Team Lists'!$A$5:$A$504,F660)&gt;0),COUNTIF('Target &amp; Team Lists'!$E$5:$E$504,D660)&gt;0),"Yes",IF(AND(SUMPRODUCT(('Target &amp; Team Lists'!$N$5:$N$60&lt;&gt;"")*ISNUMBER(SEARCH('Target &amp; Team Lists'!$N$5:$N$60,(E660&amp;" "&amp;F660))))&gt;0,SUMPRODUCT(('Target &amp; Team Lists'!$O$5:$O$60&lt;&gt;"")*ISNUMBER(SEARCH('Target &amp; Team Lists'!$O$5:$O$60,(E660&amp;" "&amp;F660))))=0),"Yes","No"))))</f>
        <v/>
      </c>
      <c r="Q660" s="32"/>
    </row>
    <row r="661" customFormat="false" ht="15" hidden="false" customHeight="false" outlineLevel="0" collapsed="false">
      <c r="A661" s="30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3" t="str">
        <f aca="false">IF(D661="","",IF(SUM(I661:L661)&gt;0,1,0))</f>
        <v/>
      </c>
      <c r="O661" s="34" t="str">
        <f aca="false">IF(D661="","",IF(OR(COUNTIF('Target &amp; Team Lists'!$J$5:$J$204,D661)&gt;0,AND(H661&lt;&gt;"",COUNTIF('Target &amp; Team Lists'!$L$5:$L$204,H661)&gt;0),ISNUMBER(SEARCH("alpha nodus",(E661&amp;" "&amp;F661))),ISNUMBER(SEARCH("alphanodus",(E661&amp;" "&amp;F661)))),"Yes","No"))</f>
        <v/>
      </c>
      <c r="P661" s="34" t="str">
        <f aca="false">IF(D661="","",IF(O661="Yes","No",IF(OR(AND(F661&lt;&gt;"",COUNTIF('Target &amp; Team Lists'!$A$5:$A$504,F661)&gt;0),COUNTIF('Target &amp; Team Lists'!$E$5:$E$504,D661)&gt;0),"Yes",IF(AND(SUMPRODUCT(('Target &amp; Team Lists'!$N$5:$N$60&lt;&gt;"")*ISNUMBER(SEARCH('Target &amp; Team Lists'!$N$5:$N$60,(E661&amp;" "&amp;F661))))&gt;0,SUMPRODUCT(('Target &amp; Team Lists'!$O$5:$O$60&lt;&gt;"")*ISNUMBER(SEARCH('Target &amp; Team Lists'!$O$5:$O$60,(E661&amp;" "&amp;F661))))=0),"Yes","No"))))</f>
        <v/>
      </c>
      <c r="Q661" s="32"/>
    </row>
    <row r="662" customFormat="false" ht="15" hidden="false" customHeight="false" outlineLevel="0" collapsed="false">
      <c r="A662" s="30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3" t="str">
        <f aca="false">IF(D662="","",IF(SUM(I662:L662)&gt;0,1,0))</f>
        <v/>
      </c>
      <c r="O662" s="34" t="str">
        <f aca="false">IF(D662="","",IF(OR(COUNTIF('Target &amp; Team Lists'!$J$5:$J$204,D662)&gt;0,AND(H662&lt;&gt;"",COUNTIF('Target &amp; Team Lists'!$L$5:$L$204,H662)&gt;0),ISNUMBER(SEARCH("alpha nodus",(E662&amp;" "&amp;F662))),ISNUMBER(SEARCH("alphanodus",(E662&amp;" "&amp;F662)))),"Yes","No"))</f>
        <v/>
      </c>
      <c r="P662" s="34" t="str">
        <f aca="false">IF(D662="","",IF(O662="Yes","No",IF(OR(AND(F662&lt;&gt;"",COUNTIF('Target &amp; Team Lists'!$A$5:$A$504,F662)&gt;0),COUNTIF('Target &amp; Team Lists'!$E$5:$E$504,D662)&gt;0),"Yes",IF(AND(SUMPRODUCT(('Target &amp; Team Lists'!$N$5:$N$60&lt;&gt;"")*ISNUMBER(SEARCH('Target &amp; Team Lists'!$N$5:$N$60,(E662&amp;" "&amp;F662))))&gt;0,SUMPRODUCT(('Target &amp; Team Lists'!$O$5:$O$60&lt;&gt;"")*ISNUMBER(SEARCH('Target &amp; Team Lists'!$O$5:$O$60,(E662&amp;" "&amp;F662))))=0),"Yes","No"))))</f>
        <v/>
      </c>
      <c r="Q662" s="32"/>
    </row>
    <row r="663" customFormat="false" ht="15" hidden="false" customHeight="false" outlineLevel="0" collapsed="false">
      <c r="A663" s="30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3" t="str">
        <f aca="false">IF(D663="","",IF(SUM(I663:L663)&gt;0,1,0))</f>
        <v/>
      </c>
      <c r="O663" s="34" t="str">
        <f aca="false">IF(D663="","",IF(OR(COUNTIF('Target &amp; Team Lists'!$J$5:$J$204,D663)&gt;0,AND(H663&lt;&gt;"",COUNTIF('Target &amp; Team Lists'!$L$5:$L$204,H663)&gt;0),ISNUMBER(SEARCH("alpha nodus",(E663&amp;" "&amp;F663))),ISNUMBER(SEARCH("alphanodus",(E663&amp;" "&amp;F663)))),"Yes","No"))</f>
        <v/>
      </c>
      <c r="P663" s="34" t="str">
        <f aca="false">IF(D663="","",IF(O663="Yes","No",IF(OR(AND(F663&lt;&gt;"",COUNTIF('Target &amp; Team Lists'!$A$5:$A$504,F663)&gt;0),COUNTIF('Target &amp; Team Lists'!$E$5:$E$504,D663)&gt;0),"Yes",IF(AND(SUMPRODUCT(('Target &amp; Team Lists'!$N$5:$N$60&lt;&gt;"")*ISNUMBER(SEARCH('Target &amp; Team Lists'!$N$5:$N$60,(E663&amp;" "&amp;F663))))&gt;0,SUMPRODUCT(('Target &amp; Team Lists'!$O$5:$O$60&lt;&gt;"")*ISNUMBER(SEARCH('Target &amp; Team Lists'!$O$5:$O$60,(E663&amp;" "&amp;F663))))=0),"Yes","No"))))</f>
        <v/>
      </c>
      <c r="Q663" s="32"/>
    </row>
    <row r="664" customFormat="false" ht="15" hidden="false" customHeight="false" outlineLevel="0" collapsed="false">
      <c r="A664" s="30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3" t="str">
        <f aca="false">IF(D664="","",IF(SUM(I664:L664)&gt;0,1,0))</f>
        <v/>
      </c>
      <c r="O664" s="34" t="str">
        <f aca="false">IF(D664="","",IF(OR(COUNTIF('Target &amp; Team Lists'!$J$5:$J$204,D664)&gt;0,AND(H664&lt;&gt;"",COUNTIF('Target &amp; Team Lists'!$L$5:$L$204,H664)&gt;0),ISNUMBER(SEARCH("alpha nodus",(E664&amp;" "&amp;F664))),ISNUMBER(SEARCH("alphanodus",(E664&amp;" "&amp;F664)))),"Yes","No"))</f>
        <v/>
      </c>
      <c r="P664" s="34" t="str">
        <f aca="false">IF(D664="","",IF(O664="Yes","No",IF(OR(AND(F664&lt;&gt;"",COUNTIF('Target &amp; Team Lists'!$A$5:$A$504,F664)&gt;0),COUNTIF('Target &amp; Team Lists'!$E$5:$E$504,D664)&gt;0),"Yes",IF(AND(SUMPRODUCT(('Target &amp; Team Lists'!$N$5:$N$60&lt;&gt;"")*ISNUMBER(SEARCH('Target &amp; Team Lists'!$N$5:$N$60,(E664&amp;" "&amp;F664))))&gt;0,SUMPRODUCT(('Target &amp; Team Lists'!$O$5:$O$60&lt;&gt;"")*ISNUMBER(SEARCH('Target &amp; Team Lists'!$O$5:$O$60,(E664&amp;" "&amp;F664))))=0),"Yes","No"))))</f>
        <v/>
      </c>
      <c r="Q664" s="32"/>
    </row>
    <row r="665" customFormat="false" ht="15" hidden="false" customHeight="false" outlineLevel="0" collapsed="false">
      <c r="A665" s="30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3" t="str">
        <f aca="false">IF(D665="","",IF(SUM(I665:L665)&gt;0,1,0))</f>
        <v/>
      </c>
      <c r="O665" s="34" t="str">
        <f aca="false">IF(D665="","",IF(OR(COUNTIF('Target &amp; Team Lists'!$J$5:$J$204,D665)&gt;0,AND(H665&lt;&gt;"",COUNTIF('Target &amp; Team Lists'!$L$5:$L$204,H665)&gt;0),ISNUMBER(SEARCH("alpha nodus",(E665&amp;" "&amp;F665))),ISNUMBER(SEARCH("alphanodus",(E665&amp;" "&amp;F665)))),"Yes","No"))</f>
        <v/>
      </c>
      <c r="P665" s="34" t="str">
        <f aca="false">IF(D665="","",IF(O665="Yes","No",IF(OR(AND(F665&lt;&gt;"",COUNTIF('Target &amp; Team Lists'!$A$5:$A$504,F665)&gt;0),COUNTIF('Target &amp; Team Lists'!$E$5:$E$504,D665)&gt;0),"Yes",IF(AND(SUMPRODUCT(('Target &amp; Team Lists'!$N$5:$N$60&lt;&gt;"")*ISNUMBER(SEARCH('Target &amp; Team Lists'!$N$5:$N$60,(E665&amp;" "&amp;F665))))&gt;0,SUMPRODUCT(('Target &amp; Team Lists'!$O$5:$O$60&lt;&gt;"")*ISNUMBER(SEARCH('Target &amp; Team Lists'!$O$5:$O$60,(E665&amp;" "&amp;F665))))=0),"Yes","No"))))</f>
        <v/>
      </c>
      <c r="Q665" s="32"/>
    </row>
    <row r="666" customFormat="false" ht="15" hidden="false" customHeight="false" outlineLevel="0" collapsed="false">
      <c r="A666" s="30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3" t="str">
        <f aca="false">IF(D666="","",IF(SUM(I666:L666)&gt;0,1,0))</f>
        <v/>
      </c>
      <c r="O666" s="34" t="str">
        <f aca="false">IF(D666="","",IF(OR(COUNTIF('Target &amp; Team Lists'!$J$5:$J$204,D666)&gt;0,AND(H666&lt;&gt;"",COUNTIF('Target &amp; Team Lists'!$L$5:$L$204,H666)&gt;0),ISNUMBER(SEARCH("alpha nodus",(E666&amp;" "&amp;F666))),ISNUMBER(SEARCH("alphanodus",(E666&amp;" "&amp;F666)))),"Yes","No"))</f>
        <v/>
      </c>
      <c r="P666" s="34" t="str">
        <f aca="false">IF(D666="","",IF(O666="Yes","No",IF(OR(AND(F666&lt;&gt;"",COUNTIF('Target &amp; Team Lists'!$A$5:$A$504,F666)&gt;0),COUNTIF('Target &amp; Team Lists'!$E$5:$E$504,D666)&gt;0),"Yes",IF(AND(SUMPRODUCT(('Target &amp; Team Lists'!$N$5:$N$60&lt;&gt;"")*ISNUMBER(SEARCH('Target &amp; Team Lists'!$N$5:$N$60,(E666&amp;" "&amp;F666))))&gt;0,SUMPRODUCT(('Target &amp; Team Lists'!$O$5:$O$60&lt;&gt;"")*ISNUMBER(SEARCH('Target &amp; Team Lists'!$O$5:$O$60,(E666&amp;" "&amp;F666))))=0),"Yes","No"))))</f>
        <v/>
      </c>
      <c r="Q666" s="32"/>
    </row>
    <row r="667" customFormat="false" ht="15" hidden="false" customHeight="false" outlineLevel="0" collapsed="false">
      <c r="A667" s="30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3" t="str">
        <f aca="false">IF(D667="","",IF(SUM(I667:L667)&gt;0,1,0))</f>
        <v/>
      </c>
      <c r="O667" s="34" t="str">
        <f aca="false">IF(D667="","",IF(OR(COUNTIF('Target &amp; Team Lists'!$J$5:$J$204,D667)&gt;0,AND(H667&lt;&gt;"",COUNTIF('Target &amp; Team Lists'!$L$5:$L$204,H667)&gt;0),ISNUMBER(SEARCH("alpha nodus",(E667&amp;" "&amp;F667))),ISNUMBER(SEARCH("alphanodus",(E667&amp;" "&amp;F667)))),"Yes","No"))</f>
        <v/>
      </c>
      <c r="P667" s="34" t="str">
        <f aca="false">IF(D667="","",IF(O667="Yes","No",IF(OR(AND(F667&lt;&gt;"",COUNTIF('Target &amp; Team Lists'!$A$5:$A$504,F667)&gt;0),COUNTIF('Target &amp; Team Lists'!$E$5:$E$504,D667)&gt;0),"Yes",IF(AND(SUMPRODUCT(('Target &amp; Team Lists'!$N$5:$N$60&lt;&gt;"")*ISNUMBER(SEARCH('Target &amp; Team Lists'!$N$5:$N$60,(E667&amp;" "&amp;F667))))&gt;0,SUMPRODUCT(('Target &amp; Team Lists'!$O$5:$O$60&lt;&gt;"")*ISNUMBER(SEARCH('Target &amp; Team Lists'!$O$5:$O$60,(E667&amp;" "&amp;F667))))=0),"Yes","No"))))</f>
        <v/>
      </c>
      <c r="Q667" s="32"/>
    </row>
    <row r="668" customFormat="false" ht="15" hidden="false" customHeight="false" outlineLevel="0" collapsed="false">
      <c r="A668" s="30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3" t="str">
        <f aca="false">IF(D668="","",IF(SUM(I668:L668)&gt;0,1,0))</f>
        <v/>
      </c>
      <c r="O668" s="34" t="str">
        <f aca="false">IF(D668="","",IF(OR(COUNTIF('Target &amp; Team Lists'!$J$5:$J$204,D668)&gt;0,AND(H668&lt;&gt;"",COUNTIF('Target &amp; Team Lists'!$L$5:$L$204,H668)&gt;0),ISNUMBER(SEARCH("alpha nodus",(E668&amp;" "&amp;F668))),ISNUMBER(SEARCH("alphanodus",(E668&amp;" "&amp;F668)))),"Yes","No"))</f>
        <v/>
      </c>
      <c r="P668" s="34" t="str">
        <f aca="false">IF(D668="","",IF(O668="Yes","No",IF(OR(AND(F668&lt;&gt;"",COUNTIF('Target &amp; Team Lists'!$A$5:$A$504,F668)&gt;0),COUNTIF('Target &amp; Team Lists'!$E$5:$E$504,D668)&gt;0),"Yes",IF(AND(SUMPRODUCT(('Target &amp; Team Lists'!$N$5:$N$60&lt;&gt;"")*ISNUMBER(SEARCH('Target &amp; Team Lists'!$N$5:$N$60,(E668&amp;" "&amp;F668))))&gt;0,SUMPRODUCT(('Target &amp; Team Lists'!$O$5:$O$60&lt;&gt;"")*ISNUMBER(SEARCH('Target &amp; Team Lists'!$O$5:$O$60,(E668&amp;" "&amp;F668))))=0),"Yes","No"))))</f>
        <v/>
      </c>
      <c r="Q668" s="32"/>
    </row>
    <row r="669" customFormat="false" ht="15" hidden="false" customHeight="false" outlineLevel="0" collapsed="false">
      <c r="A669" s="30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3" t="str">
        <f aca="false">IF(D669="","",IF(SUM(I669:L669)&gt;0,1,0))</f>
        <v/>
      </c>
      <c r="O669" s="34" t="str">
        <f aca="false">IF(D669="","",IF(OR(COUNTIF('Target &amp; Team Lists'!$J$5:$J$204,D669)&gt;0,AND(H669&lt;&gt;"",COUNTIF('Target &amp; Team Lists'!$L$5:$L$204,H669)&gt;0),ISNUMBER(SEARCH("alpha nodus",(E669&amp;" "&amp;F669))),ISNUMBER(SEARCH("alphanodus",(E669&amp;" "&amp;F669)))),"Yes","No"))</f>
        <v/>
      </c>
      <c r="P669" s="34" t="str">
        <f aca="false">IF(D669="","",IF(O669="Yes","No",IF(OR(AND(F669&lt;&gt;"",COUNTIF('Target &amp; Team Lists'!$A$5:$A$504,F669)&gt;0),COUNTIF('Target &amp; Team Lists'!$E$5:$E$504,D669)&gt;0),"Yes",IF(AND(SUMPRODUCT(('Target &amp; Team Lists'!$N$5:$N$60&lt;&gt;"")*ISNUMBER(SEARCH('Target &amp; Team Lists'!$N$5:$N$60,(E669&amp;" "&amp;F669))))&gt;0,SUMPRODUCT(('Target &amp; Team Lists'!$O$5:$O$60&lt;&gt;"")*ISNUMBER(SEARCH('Target &amp; Team Lists'!$O$5:$O$60,(E669&amp;" "&amp;F669))))=0),"Yes","No"))))</f>
        <v/>
      </c>
      <c r="Q669" s="32"/>
    </row>
    <row r="670" customFormat="false" ht="15" hidden="false" customHeight="false" outlineLevel="0" collapsed="false">
      <c r="A670" s="30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3" t="str">
        <f aca="false">IF(D670="","",IF(SUM(I670:L670)&gt;0,1,0))</f>
        <v/>
      </c>
      <c r="O670" s="34" t="str">
        <f aca="false">IF(D670="","",IF(OR(COUNTIF('Target &amp; Team Lists'!$J$5:$J$204,D670)&gt;0,AND(H670&lt;&gt;"",COUNTIF('Target &amp; Team Lists'!$L$5:$L$204,H670)&gt;0),ISNUMBER(SEARCH("alpha nodus",(E670&amp;" "&amp;F670))),ISNUMBER(SEARCH("alphanodus",(E670&amp;" "&amp;F670)))),"Yes","No"))</f>
        <v/>
      </c>
      <c r="P670" s="34" t="str">
        <f aca="false">IF(D670="","",IF(O670="Yes","No",IF(OR(AND(F670&lt;&gt;"",COUNTIF('Target &amp; Team Lists'!$A$5:$A$504,F670)&gt;0),COUNTIF('Target &amp; Team Lists'!$E$5:$E$504,D670)&gt;0),"Yes",IF(AND(SUMPRODUCT(('Target &amp; Team Lists'!$N$5:$N$60&lt;&gt;"")*ISNUMBER(SEARCH('Target &amp; Team Lists'!$N$5:$N$60,(E670&amp;" "&amp;F670))))&gt;0,SUMPRODUCT(('Target &amp; Team Lists'!$O$5:$O$60&lt;&gt;"")*ISNUMBER(SEARCH('Target &amp; Team Lists'!$O$5:$O$60,(E670&amp;" "&amp;F670))))=0),"Yes","No"))))</f>
        <v/>
      </c>
      <c r="Q670" s="32"/>
    </row>
    <row r="671" customFormat="false" ht="15" hidden="false" customHeight="false" outlineLevel="0" collapsed="false">
      <c r="A671" s="30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3" t="str">
        <f aca="false">IF(D671="","",IF(SUM(I671:L671)&gt;0,1,0))</f>
        <v/>
      </c>
      <c r="O671" s="34" t="str">
        <f aca="false">IF(D671="","",IF(OR(COUNTIF('Target &amp; Team Lists'!$J$5:$J$204,D671)&gt;0,AND(H671&lt;&gt;"",COUNTIF('Target &amp; Team Lists'!$L$5:$L$204,H671)&gt;0),ISNUMBER(SEARCH("alpha nodus",(E671&amp;" "&amp;F671))),ISNUMBER(SEARCH("alphanodus",(E671&amp;" "&amp;F671)))),"Yes","No"))</f>
        <v/>
      </c>
      <c r="P671" s="34" t="str">
        <f aca="false">IF(D671="","",IF(O671="Yes","No",IF(OR(AND(F671&lt;&gt;"",COUNTIF('Target &amp; Team Lists'!$A$5:$A$504,F671)&gt;0),COUNTIF('Target &amp; Team Lists'!$E$5:$E$504,D671)&gt;0),"Yes",IF(AND(SUMPRODUCT(('Target &amp; Team Lists'!$N$5:$N$60&lt;&gt;"")*ISNUMBER(SEARCH('Target &amp; Team Lists'!$N$5:$N$60,(E671&amp;" "&amp;F671))))&gt;0,SUMPRODUCT(('Target &amp; Team Lists'!$O$5:$O$60&lt;&gt;"")*ISNUMBER(SEARCH('Target &amp; Team Lists'!$O$5:$O$60,(E671&amp;" "&amp;F671))))=0),"Yes","No"))))</f>
        <v/>
      </c>
      <c r="Q671" s="32"/>
    </row>
    <row r="672" customFormat="false" ht="15" hidden="false" customHeight="false" outlineLevel="0" collapsed="false">
      <c r="A672" s="30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3" t="str">
        <f aca="false">IF(D672="","",IF(SUM(I672:L672)&gt;0,1,0))</f>
        <v/>
      </c>
      <c r="O672" s="34" t="str">
        <f aca="false">IF(D672="","",IF(OR(COUNTIF('Target &amp; Team Lists'!$J$5:$J$204,D672)&gt;0,AND(H672&lt;&gt;"",COUNTIF('Target &amp; Team Lists'!$L$5:$L$204,H672)&gt;0),ISNUMBER(SEARCH("alpha nodus",(E672&amp;" "&amp;F672))),ISNUMBER(SEARCH("alphanodus",(E672&amp;" "&amp;F672)))),"Yes","No"))</f>
        <v/>
      </c>
      <c r="P672" s="34" t="str">
        <f aca="false">IF(D672="","",IF(O672="Yes","No",IF(OR(AND(F672&lt;&gt;"",COUNTIF('Target &amp; Team Lists'!$A$5:$A$504,F672)&gt;0),COUNTIF('Target &amp; Team Lists'!$E$5:$E$504,D672)&gt;0),"Yes",IF(AND(SUMPRODUCT(('Target &amp; Team Lists'!$N$5:$N$60&lt;&gt;"")*ISNUMBER(SEARCH('Target &amp; Team Lists'!$N$5:$N$60,(E672&amp;" "&amp;F672))))&gt;0,SUMPRODUCT(('Target &amp; Team Lists'!$O$5:$O$60&lt;&gt;"")*ISNUMBER(SEARCH('Target &amp; Team Lists'!$O$5:$O$60,(E672&amp;" "&amp;F672))))=0),"Yes","No"))))</f>
        <v/>
      </c>
      <c r="Q672" s="32"/>
    </row>
    <row r="673" customFormat="false" ht="15" hidden="false" customHeight="false" outlineLevel="0" collapsed="false">
      <c r="A673" s="30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3" t="str">
        <f aca="false">IF(D673="","",IF(SUM(I673:L673)&gt;0,1,0))</f>
        <v/>
      </c>
      <c r="O673" s="34" t="str">
        <f aca="false">IF(D673="","",IF(OR(COUNTIF('Target &amp; Team Lists'!$J$5:$J$204,D673)&gt;0,AND(H673&lt;&gt;"",COUNTIF('Target &amp; Team Lists'!$L$5:$L$204,H673)&gt;0),ISNUMBER(SEARCH("alpha nodus",(E673&amp;" "&amp;F673))),ISNUMBER(SEARCH("alphanodus",(E673&amp;" "&amp;F673)))),"Yes","No"))</f>
        <v/>
      </c>
      <c r="P673" s="34" t="str">
        <f aca="false">IF(D673="","",IF(O673="Yes","No",IF(OR(AND(F673&lt;&gt;"",COUNTIF('Target &amp; Team Lists'!$A$5:$A$504,F673)&gt;0),COUNTIF('Target &amp; Team Lists'!$E$5:$E$504,D673)&gt;0),"Yes",IF(AND(SUMPRODUCT(('Target &amp; Team Lists'!$N$5:$N$60&lt;&gt;"")*ISNUMBER(SEARCH('Target &amp; Team Lists'!$N$5:$N$60,(E673&amp;" "&amp;F673))))&gt;0,SUMPRODUCT(('Target &amp; Team Lists'!$O$5:$O$60&lt;&gt;"")*ISNUMBER(SEARCH('Target &amp; Team Lists'!$O$5:$O$60,(E673&amp;" "&amp;F673))))=0),"Yes","No"))))</f>
        <v/>
      </c>
      <c r="Q673" s="32"/>
    </row>
    <row r="674" customFormat="false" ht="15" hidden="false" customHeight="false" outlineLevel="0" collapsed="false">
      <c r="A674" s="30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3" t="str">
        <f aca="false">IF(D674="","",IF(SUM(I674:L674)&gt;0,1,0))</f>
        <v/>
      </c>
      <c r="O674" s="34" t="str">
        <f aca="false">IF(D674="","",IF(OR(COUNTIF('Target &amp; Team Lists'!$J$5:$J$204,D674)&gt;0,AND(H674&lt;&gt;"",COUNTIF('Target &amp; Team Lists'!$L$5:$L$204,H674)&gt;0),ISNUMBER(SEARCH("alpha nodus",(E674&amp;" "&amp;F674))),ISNUMBER(SEARCH("alphanodus",(E674&amp;" "&amp;F674)))),"Yes","No"))</f>
        <v/>
      </c>
      <c r="P674" s="34" t="str">
        <f aca="false">IF(D674="","",IF(O674="Yes","No",IF(OR(AND(F674&lt;&gt;"",COUNTIF('Target &amp; Team Lists'!$A$5:$A$504,F674)&gt;0),COUNTIF('Target &amp; Team Lists'!$E$5:$E$504,D674)&gt;0),"Yes",IF(AND(SUMPRODUCT(('Target &amp; Team Lists'!$N$5:$N$60&lt;&gt;"")*ISNUMBER(SEARCH('Target &amp; Team Lists'!$N$5:$N$60,(E674&amp;" "&amp;F674))))&gt;0,SUMPRODUCT(('Target &amp; Team Lists'!$O$5:$O$60&lt;&gt;"")*ISNUMBER(SEARCH('Target &amp; Team Lists'!$O$5:$O$60,(E674&amp;" "&amp;F674))))=0),"Yes","No"))))</f>
        <v/>
      </c>
      <c r="Q674" s="32"/>
    </row>
    <row r="675" customFormat="false" ht="15" hidden="false" customHeight="false" outlineLevel="0" collapsed="false">
      <c r="A675" s="30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3" t="str">
        <f aca="false">IF(D675="","",IF(SUM(I675:L675)&gt;0,1,0))</f>
        <v/>
      </c>
      <c r="O675" s="34" t="str">
        <f aca="false">IF(D675="","",IF(OR(COUNTIF('Target &amp; Team Lists'!$J$5:$J$204,D675)&gt;0,AND(H675&lt;&gt;"",COUNTIF('Target &amp; Team Lists'!$L$5:$L$204,H675)&gt;0),ISNUMBER(SEARCH("alpha nodus",(E675&amp;" "&amp;F675))),ISNUMBER(SEARCH("alphanodus",(E675&amp;" "&amp;F675)))),"Yes","No"))</f>
        <v/>
      </c>
      <c r="P675" s="34" t="str">
        <f aca="false">IF(D675="","",IF(O675="Yes","No",IF(OR(AND(F675&lt;&gt;"",COUNTIF('Target &amp; Team Lists'!$A$5:$A$504,F675)&gt;0),COUNTIF('Target &amp; Team Lists'!$E$5:$E$504,D675)&gt;0),"Yes",IF(AND(SUMPRODUCT(('Target &amp; Team Lists'!$N$5:$N$60&lt;&gt;"")*ISNUMBER(SEARCH('Target &amp; Team Lists'!$N$5:$N$60,(E675&amp;" "&amp;F675))))&gt;0,SUMPRODUCT(('Target &amp; Team Lists'!$O$5:$O$60&lt;&gt;"")*ISNUMBER(SEARCH('Target &amp; Team Lists'!$O$5:$O$60,(E675&amp;" "&amp;F675))))=0),"Yes","No"))))</f>
        <v/>
      </c>
      <c r="Q675" s="32"/>
    </row>
    <row r="676" customFormat="false" ht="15" hidden="false" customHeight="false" outlineLevel="0" collapsed="false">
      <c r="A676" s="30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3" t="str">
        <f aca="false">IF(D676="","",IF(SUM(I676:L676)&gt;0,1,0))</f>
        <v/>
      </c>
      <c r="O676" s="34" t="str">
        <f aca="false">IF(D676="","",IF(OR(COUNTIF('Target &amp; Team Lists'!$J$5:$J$204,D676)&gt;0,AND(H676&lt;&gt;"",COUNTIF('Target &amp; Team Lists'!$L$5:$L$204,H676)&gt;0),ISNUMBER(SEARCH("alpha nodus",(E676&amp;" "&amp;F676))),ISNUMBER(SEARCH("alphanodus",(E676&amp;" "&amp;F676)))),"Yes","No"))</f>
        <v/>
      </c>
      <c r="P676" s="34" t="str">
        <f aca="false">IF(D676="","",IF(O676="Yes","No",IF(OR(AND(F676&lt;&gt;"",COUNTIF('Target &amp; Team Lists'!$A$5:$A$504,F676)&gt;0),COUNTIF('Target &amp; Team Lists'!$E$5:$E$504,D676)&gt;0),"Yes",IF(AND(SUMPRODUCT(('Target &amp; Team Lists'!$N$5:$N$60&lt;&gt;"")*ISNUMBER(SEARCH('Target &amp; Team Lists'!$N$5:$N$60,(E676&amp;" "&amp;F676))))&gt;0,SUMPRODUCT(('Target &amp; Team Lists'!$O$5:$O$60&lt;&gt;"")*ISNUMBER(SEARCH('Target &amp; Team Lists'!$O$5:$O$60,(E676&amp;" "&amp;F676))))=0),"Yes","No"))))</f>
        <v/>
      </c>
      <c r="Q676" s="32"/>
    </row>
    <row r="677" customFormat="false" ht="15" hidden="false" customHeight="false" outlineLevel="0" collapsed="false">
      <c r="A677" s="30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3" t="str">
        <f aca="false">IF(D677="","",IF(SUM(I677:L677)&gt;0,1,0))</f>
        <v/>
      </c>
      <c r="O677" s="34" t="str">
        <f aca="false">IF(D677="","",IF(OR(COUNTIF('Target &amp; Team Lists'!$J$5:$J$204,D677)&gt;0,AND(H677&lt;&gt;"",COUNTIF('Target &amp; Team Lists'!$L$5:$L$204,H677)&gt;0),ISNUMBER(SEARCH("alpha nodus",(E677&amp;" "&amp;F677))),ISNUMBER(SEARCH("alphanodus",(E677&amp;" "&amp;F677)))),"Yes","No"))</f>
        <v/>
      </c>
      <c r="P677" s="34" t="str">
        <f aca="false">IF(D677="","",IF(O677="Yes","No",IF(OR(AND(F677&lt;&gt;"",COUNTIF('Target &amp; Team Lists'!$A$5:$A$504,F677)&gt;0),COUNTIF('Target &amp; Team Lists'!$E$5:$E$504,D677)&gt;0),"Yes",IF(AND(SUMPRODUCT(('Target &amp; Team Lists'!$N$5:$N$60&lt;&gt;"")*ISNUMBER(SEARCH('Target &amp; Team Lists'!$N$5:$N$60,(E677&amp;" "&amp;F677))))&gt;0,SUMPRODUCT(('Target &amp; Team Lists'!$O$5:$O$60&lt;&gt;"")*ISNUMBER(SEARCH('Target &amp; Team Lists'!$O$5:$O$60,(E677&amp;" "&amp;F677))))=0),"Yes","No"))))</f>
        <v/>
      </c>
      <c r="Q677" s="32"/>
    </row>
    <row r="678" customFormat="false" ht="15" hidden="false" customHeight="false" outlineLevel="0" collapsed="false">
      <c r="A678" s="30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3" t="str">
        <f aca="false">IF(D678="","",IF(SUM(I678:L678)&gt;0,1,0))</f>
        <v/>
      </c>
      <c r="O678" s="34" t="str">
        <f aca="false">IF(D678="","",IF(OR(COUNTIF('Target &amp; Team Lists'!$J$5:$J$204,D678)&gt;0,AND(H678&lt;&gt;"",COUNTIF('Target &amp; Team Lists'!$L$5:$L$204,H678)&gt;0),ISNUMBER(SEARCH("alpha nodus",(E678&amp;" "&amp;F678))),ISNUMBER(SEARCH("alphanodus",(E678&amp;" "&amp;F678)))),"Yes","No"))</f>
        <v/>
      </c>
      <c r="P678" s="34" t="str">
        <f aca="false">IF(D678="","",IF(O678="Yes","No",IF(OR(AND(F678&lt;&gt;"",COUNTIF('Target &amp; Team Lists'!$A$5:$A$504,F678)&gt;0),COUNTIF('Target &amp; Team Lists'!$E$5:$E$504,D678)&gt;0),"Yes",IF(AND(SUMPRODUCT(('Target &amp; Team Lists'!$N$5:$N$60&lt;&gt;"")*ISNUMBER(SEARCH('Target &amp; Team Lists'!$N$5:$N$60,(E678&amp;" "&amp;F678))))&gt;0,SUMPRODUCT(('Target &amp; Team Lists'!$O$5:$O$60&lt;&gt;"")*ISNUMBER(SEARCH('Target &amp; Team Lists'!$O$5:$O$60,(E678&amp;" "&amp;F678))))=0),"Yes","No"))))</f>
        <v/>
      </c>
      <c r="Q678" s="32"/>
    </row>
    <row r="679" customFormat="false" ht="15" hidden="false" customHeight="false" outlineLevel="0" collapsed="false">
      <c r="A679" s="30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3" t="str">
        <f aca="false">IF(D679="","",IF(SUM(I679:L679)&gt;0,1,0))</f>
        <v/>
      </c>
      <c r="O679" s="34" t="str">
        <f aca="false">IF(D679="","",IF(OR(COUNTIF('Target &amp; Team Lists'!$J$5:$J$204,D679)&gt;0,AND(H679&lt;&gt;"",COUNTIF('Target &amp; Team Lists'!$L$5:$L$204,H679)&gt;0),ISNUMBER(SEARCH("alpha nodus",(E679&amp;" "&amp;F679))),ISNUMBER(SEARCH("alphanodus",(E679&amp;" "&amp;F679)))),"Yes","No"))</f>
        <v/>
      </c>
      <c r="P679" s="34" t="str">
        <f aca="false">IF(D679="","",IF(O679="Yes","No",IF(OR(AND(F679&lt;&gt;"",COUNTIF('Target &amp; Team Lists'!$A$5:$A$504,F679)&gt;0),COUNTIF('Target &amp; Team Lists'!$E$5:$E$504,D679)&gt;0),"Yes",IF(AND(SUMPRODUCT(('Target &amp; Team Lists'!$N$5:$N$60&lt;&gt;"")*ISNUMBER(SEARCH('Target &amp; Team Lists'!$N$5:$N$60,(E679&amp;" "&amp;F679))))&gt;0,SUMPRODUCT(('Target &amp; Team Lists'!$O$5:$O$60&lt;&gt;"")*ISNUMBER(SEARCH('Target &amp; Team Lists'!$O$5:$O$60,(E679&amp;" "&amp;F679))))=0),"Yes","No"))))</f>
        <v/>
      </c>
      <c r="Q679" s="32"/>
    </row>
    <row r="680" customFormat="false" ht="15" hidden="false" customHeight="false" outlineLevel="0" collapsed="false">
      <c r="A680" s="30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3" t="str">
        <f aca="false">IF(D680="","",IF(SUM(I680:L680)&gt;0,1,0))</f>
        <v/>
      </c>
      <c r="O680" s="34" t="str">
        <f aca="false">IF(D680="","",IF(OR(COUNTIF('Target &amp; Team Lists'!$J$5:$J$204,D680)&gt;0,AND(H680&lt;&gt;"",COUNTIF('Target &amp; Team Lists'!$L$5:$L$204,H680)&gt;0),ISNUMBER(SEARCH("alpha nodus",(E680&amp;" "&amp;F680))),ISNUMBER(SEARCH("alphanodus",(E680&amp;" "&amp;F680)))),"Yes","No"))</f>
        <v/>
      </c>
      <c r="P680" s="34" t="str">
        <f aca="false">IF(D680="","",IF(O680="Yes","No",IF(OR(AND(F680&lt;&gt;"",COUNTIF('Target &amp; Team Lists'!$A$5:$A$504,F680)&gt;0),COUNTIF('Target &amp; Team Lists'!$E$5:$E$504,D680)&gt;0),"Yes",IF(AND(SUMPRODUCT(('Target &amp; Team Lists'!$N$5:$N$60&lt;&gt;"")*ISNUMBER(SEARCH('Target &amp; Team Lists'!$N$5:$N$60,(E680&amp;" "&amp;F680))))&gt;0,SUMPRODUCT(('Target &amp; Team Lists'!$O$5:$O$60&lt;&gt;"")*ISNUMBER(SEARCH('Target &amp; Team Lists'!$O$5:$O$60,(E680&amp;" "&amp;F680))))=0),"Yes","No"))))</f>
        <v/>
      </c>
      <c r="Q680" s="32"/>
    </row>
    <row r="681" customFormat="false" ht="15" hidden="false" customHeight="false" outlineLevel="0" collapsed="false">
      <c r="A681" s="30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3" t="str">
        <f aca="false">IF(D681="","",IF(SUM(I681:L681)&gt;0,1,0))</f>
        <v/>
      </c>
      <c r="O681" s="34" t="str">
        <f aca="false">IF(D681="","",IF(OR(COUNTIF('Target &amp; Team Lists'!$J$5:$J$204,D681)&gt;0,AND(H681&lt;&gt;"",COUNTIF('Target &amp; Team Lists'!$L$5:$L$204,H681)&gt;0),ISNUMBER(SEARCH("alpha nodus",(E681&amp;" "&amp;F681))),ISNUMBER(SEARCH("alphanodus",(E681&amp;" "&amp;F681)))),"Yes","No"))</f>
        <v/>
      </c>
      <c r="P681" s="34" t="str">
        <f aca="false">IF(D681="","",IF(O681="Yes","No",IF(OR(AND(F681&lt;&gt;"",COUNTIF('Target &amp; Team Lists'!$A$5:$A$504,F681)&gt;0),COUNTIF('Target &amp; Team Lists'!$E$5:$E$504,D681)&gt;0),"Yes",IF(AND(SUMPRODUCT(('Target &amp; Team Lists'!$N$5:$N$60&lt;&gt;"")*ISNUMBER(SEARCH('Target &amp; Team Lists'!$N$5:$N$60,(E681&amp;" "&amp;F681))))&gt;0,SUMPRODUCT(('Target &amp; Team Lists'!$O$5:$O$60&lt;&gt;"")*ISNUMBER(SEARCH('Target &amp; Team Lists'!$O$5:$O$60,(E681&amp;" "&amp;F681))))=0),"Yes","No"))))</f>
        <v/>
      </c>
      <c r="Q681" s="32"/>
    </row>
    <row r="682" customFormat="false" ht="15" hidden="false" customHeight="false" outlineLevel="0" collapsed="false">
      <c r="A682" s="30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3" t="str">
        <f aca="false">IF(D682="","",IF(SUM(I682:L682)&gt;0,1,0))</f>
        <v/>
      </c>
      <c r="O682" s="34" t="str">
        <f aca="false">IF(D682="","",IF(OR(COUNTIF('Target &amp; Team Lists'!$J$5:$J$204,D682)&gt;0,AND(H682&lt;&gt;"",COUNTIF('Target &amp; Team Lists'!$L$5:$L$204,H682)&gt;0),ISNUMBER(SEARCH("alpha nodus",(E682&amp;" "&amp;F682))),ISNUMBER(SEARCH("alphanodus",(E682&amp;" "&amp;F682)))),"Yes","No"))</f>
        <v/>
      </c>
      <c r="P682" s="34" t="str">
        <f aca="false">IF(D682="","",IF(O682="Yes","No",IF(OR(AND(F682&lt;&gt;"",COUNTIF('Target &amp; Team Lists'!$A$5:$A$504,F682)&gt;0),COUNTIF('Target &amp; Team Lists'!$E$5:$E$504,D682)&gt;0),"Yes",IF(AND(SUMPRODUCT(('Target &amp; Team Lists'!$N$5:$N$60&lt;&gt;"")*ISNUMBER(SEARCH('Target &amp; Team Lists'!$N$5:$N$60,(E682&amp;" "&amp;F682))))&gt;0,SUMPRODUCT(('Target &amp; Team Lists'!$O$5:$O$60&lt;&gt;"")*ISNUMBER(SEARCH('Target &amp; Team Lists'!$O$5:$O$60,(E682&amp;" "&amp;F682))))=0),"Yes","No"))))</f>
        <v/>
      </c>
      <c r="Q682" s="32"/>
    </row>
    <row r="683" customFormat="false" ht="15" hidden="false" customHeight="false" outlineLevel="0" collapsed="false">
      <c r="A683" s="30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3" t="str">
        <f aca="false">IF(D683="","",IF(SUM(I683:L683)&gt;0,1,0))</f>
        <v/>
      </c>
      <c r="O683" s="34" t="str">
        <f aca="false">IF(D683="","",IF(OR(COUNTIF('Target &amp; Team Lists'!$J$5:$J$204,D683)&gt;0,AND(H683&lt;&gt;"",COUNTIF('Target &amp; Team Lists'!$L$5:$L$204,H683)&gt;0),ISNUMBER(SEARCH("alpha nodus",(E683&amp;" "&amp;F683))),ISNUMBER(SEARCH("alphanodus",(E683&amp;" "&amp;F683)))),"Yes","No"))</f>
        <v/>
      </c>
      <c r="P683" s="34" t="str">
        <f aca="false">IF(D683="","",IF(O683="Yes","No",IF(OR(AND(F683&lt;&gt;"",COUNTIF('Target &amp; Team Lists'!$A$5:$A$504,F683)&gt;0),COUNTIF('Target &amp; Team Lists'!$E$5:$E$504,D683)&gt;0),"Yes",IF(AND(SUMPRODUCT(('Target &amp; Team Lists'!$N$5:$N$60&lt;&gt;"")*ISNUMBER(SEARCH('Target &amp; Team Lists'!$N$5:$N$60,(E683&amp;" "&amp;F683))))&gt;0,SUMPRODUCT(('Target &amp; Team Lists'!$O$5:$O$60&lt;&gt;"")*ISNUMBER(SEARCH('Target &amp; Team Lists'!$O$5:$O$60,(E683&amp;" "&amp;F683))))=0),"Yes","No"))))</f>
        <v/>
      </c>
      <c r="Q683" s="32"/>
    </row>
    <row r="684" customFormat="false" ht="15" hidden="false" customHeight="false" outlineLevel="0" collapsed="false">
      <c r="A684" s="30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3" t="str">
        <f aca="false">IF(D684="","",IF(SUM(I684:L684)&gt;0,1,0))</f>
        <v/>
      </c>
      <c r="O684" s="34" t="str">
        <f aca="false">IF(D684="","",IF(OR(COUNTIF('Target &amp; Team Lists'!$J$5:$J$204,D684)&gt;0,AND(H684&lt;&gt;"",COUNTIF('Target &amp; Team Lists'!$L$5:$L$204,H684)&gt;0),ISNUMBER(SEARCH("alpha nodus",(E684&amp;" "&amp;F684))),ISNUMBER(SEARCH("alphanodus",(E684&amp;" "&amp;F684)))),"Yes","No"))</f>
        <v/>
      </c>
      <c r="P684" s="34" t="str">
        <f aca="false">IF(D684="","",IF(O684="Yes","No",IF(OR(AND(F684&lt;&gt;"",COUNTIF('Target &amp; Team Lists'!$A$5:$A$504,F684)&gt;0),COUNTIF('Target &amp; Team Lists'!$E$5:$E$504,D684)&gt;0),"Yes",IF(AND(SUMPRODUCT(('Target &amp; Team Lists'!$N$5:$N$60&lt;&gt;"")*ISNUMBER(SEARCH('Target &amp; Team Lists'!$N$5:$N$60,(E684&amp;" "&amp;F684))))&gt;0,SUMPRODUCT(('Target &amp; Team Lists'!$O$5:$O$60&lt;&gt;"")*ISNUMBER(SEARCH('Target &amp; Team Lists'!$O$5:$O$60,(E684&amp;" "&amp;F684))))=0),"Yes","No"))))</f>
        <v/>
      </c>
      <c r="Q684" s="32"/>
    </row>
    <row r="685" customFormat="false" ht="15" hidden="false" customHeight="false" outlineLevel="0" collapsed="false">
      <c r="A685" s="30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3" t="str">
        <f aca="false">IF(D685="","",IF(SUM(I685:L685)&gt;0,1,0))</f>
        <v/>
      </c>
      <c r="O685" s="34" t="str">
        <f aca="false">IF(D685="","",IF(OR(COUNTIF('Target &amp; Team Lists'!$J$5:$J$204,D685)&gt;0,AND(H685&lt;&gt;"",COUNTIF('Target &amp; Team Lists'!$L$5:$L$204,H685)&gt;0),ISNUMBER(SEARCH("alpha nodus",(E685&amp;" "&amp;F685))),ISNUMBER(SEARCH("alphanodus",(E685&amp;" "&amp;F685)))),"Yes","No"))</f>
        <v/>
      </c>
      <c r="P685" s="34" t="str">
        <f aca="false">IF(D685="","",IF(O685="Yes","No",IF(OR(AND(F685&lt;&gt;"",COUNTIF('Target &amp; Team Lists'!$A$5:$A$504,F685)&gt;0),COUNTIF('Target &amp; Team Lists'!$E$5:$E$504,D685)&gt;0),"Yes",IF(AND(SUMPRODUCT(('Target &amp; Team Lists'!$N$5:$N$60&lt;&gt;"")*ISNUMBER(SEARCH('Target &amp; Team Lists'!$N$5:$N$60,(E685&amp;" "&amp;F685))))&gt;0,SUMPRODUCT(('Target &amp; Team Lists'!$O$5:$O$60&lt;&gt;"")*ISNUMBER(SEARCH('Target &amp; Team Lists'!$O$5:$O$60,(E685&amp;" "&amp;F685))))=0),"Yes","No"))))</f>
        <v/>
      </c>
      <c r="Q685" s="32"/>
    </row>
    <row r="686" customFormat="false" ht="15" hidden="false" customHeight="false" outlineLevel="0" collapsed="false">
      <c r="A686" s="30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3" t="str">
        <f aca="false">IF(D686="","",IF(SUM(I686:L686)&gt;0,1,0))</f>
        <v/>
      </c>
      <c r="O686" s="34" t="str">
        <f aca="false">IF(D686="","",IF(OR(COUNTIF('Target &amp; Team Lists'!$J$5:$J$204,D686)&gt;0,AND(H686&lt;&gt;"",COUNTIF('Target &amp; Team Lists'!$L$5:$L$204,H686)&gt;0),ISNUMBER(SEARCH("alpha nodus",(E686&amp;" "&amp;F686))),ISNUMBER(SEARCH("alphanodus",(E686&amp;" "&amp;F686)))),"Yes","No"))</f>
        <v/>
      </c>
      <c r="P686" s="34" t="str">
        <f aca="false">IF(D686="","",IF(O686="Yes","No",IF(OR(AND(F686&lt;&gt;"",COUNTIF('Target &amp; Team Lists'!$A$5:$A$504,F686)&gt;0),COUNTIF('Target &amp; Team Lists'!$E$5:$E$504,D686)&gt;0),"Yes",IF(AND(SUMPRODUCT(('Target &amp; Team Lists'!$N$5:$N$60&lt;&gt;"")*ISNUMBER(SEARCH('Target &amp; Team Lists'!$N$5:$N$60,(E686&amp;" "&amp;F686))))&gt;0,SUMPRODUCT(('Target &amp; Team Lists'!$O$5:$O$60&lt;&gt;"")*ISNUMBER(SEARCH('Target &amp; Team Lists'!$O$5:$O$60,(E686&amp;" "&amp;F686))))=0),"Yes","No"))))</f>
        <v/>
      </c>
      <c r="Q686" s="32"/>
    </row>
    <row r="687" customFormat="false" ht="15" hidden="false" customHeight="false" outlineLevel="0" collapsed="false">
      <c r="A687" s="30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3" t="str">
        <f aca="false">IF(D687="","",IF(SUM(I687:L687)&gt;0,1,0))</f>
        <v/>
      </c>
      <c r="O687" s="34" t="str">
        <f aca="false">IF(D687="","",IF(OR(COUNTIF('Target &amp; Team Lists'!$J$5:$J$204,D687)&gt;0,AND(H687&lt;&gt;"",COUNTIF('Target &amp; Team Lists'!$L$5:$L$204,H687)&gt;0),ISNUMBER(SEARCH("alpha nodus",(E687&amp;" "&amp;F687))),ISNUMBER(SEARCH("alphanodus",(E687&amp;" "&amp;F687)))),"Yes","No"))</f>
        <v/>
      </c>
      <c r="P687" s="34" t="str">
        <f aca="false">IF(D687="","",IF(O687="Yes","No",IF(OR(AND(F687&lt;&gt;"",COUNTIF('Target &amp; Team Lists'!$A$5:$A$504,F687)&gt;0),COUNTIF('Target &amp; Team Lists'!$E$5:$E$504,D687)&gt;0),"Yes",IF(AND(SUMPRODUCT(('Target &amp; Team Lists'!$N$5:$N$60&lt;&gt;"")*ISNUMBER(SEARCH('Target &amp; Team Lists'!$N$5:$N$60,(E687&amp;" "&amp;F687))))&gt;0,SUMPRODUCT(('Target &amp; Team Lists'!$O$5:$O$60&lt;&gt;"")*ISNUMBER(SEARCH('Target &amp; Team Lists'!$O$5:$O$60,(E687&amp;" "&amp;F687))))=0),"Yes","No"))))</f>
        <v/>
      </c>
      <c r="Q687" s="32"/>
    </row>
    <row r="688" customFormat="false" ht="15" hidden="false" customHeight="false" outlineLevel="0" collapsed="false">
      <c r="A688" s="30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3" t="str">
        <f aca="false">IF(D688="","",IF(SUM(I688:L688)&gt;0,1,0))</f>
        <v/>
      </c>
      <c r="O688" s="34" t="str">
        <f aca="false">IF(D688="","",IF(OR(COUNTIF('Target &amp; Team Lists'!$J$5:$J$204,D688)&gt;0,AND(H688&lt;&gt;"",COUNTIF('Target &amp; Team Lists'!$L$5:$L$204,H688)&gt;0),ISNUMBER(SEARCH("alpha nodus",(E688&amp;" "&amp;F688))),ISNUMBER(SEARCH("alphanodus",(E688&amp;" "&amp;F688)))),"Yes","No"))</f>
        <v/>
      </c>
      <c r="P688" s="34" t="str">
        <f aca="false">IF(D688="","",IF(O688="Yes","No",IF(OR(AND(F688&lt;&gt;"",COUNTIF('Target &amp; Team Lists'!$A$5:$A$504,F688)&gt;0),COUNTIF('Target &amp; Team Lists'!$E$5:$E$504,D688)&gt;0),"Yes",IF(AND(SUMPRODUCT(('Target &amp; Team Lists'!$N$5:$N$60&lt;&gt;"")*ISNUMBER(SEARCH('Target &amp; Team Lists'!$N$5:$N$60,(E688&amp;" "&amp;F688))))&gt;0,SUMPRODUCT(('Target &amp; Team Lists'!$O$5:$O$60&lt;&gt;"")*ISNUMBER(SEARCH('Target &amp; Team Lists'!$O$5:$O$60,(E688&amp;" "&amp;F688))))=0),"Yes","No"))))</f>
        <v/>
      </c>
      <c r="Q688" s="32"/>
    </row>
    <row r="689" customFormat="false" ht="15" hidden="false" customHeight="false" outlineLevel="0" collapsed="false">
      <c r="A689" s="30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3" t="str">
        <f aca="false">IF(D689="","",IF(SUM(I689:L689)&gt;0,1,0))</f>
        <v/>
      </c>
      <c r="O689" s="34" t="str">
        <f aca="false">IF(D689="","",IF(OR(COUNTIF('Target &amp; Team Lists'!$J$5:$J$204,D689)&gt;0,AND(H689&lt;&gt;"",COUNTIF('Target &amp; Team Lists'!$L$5:$L$204,H689)&gt;0),ISNUMBER(SEARCH("alpha nodus",(E689&amp;" "&amp;F689))),ISNUMBER(SEARCH("alphanodus",(E689&amp;" "&amp;F689)))),"Yes","No"))</f>
        <v/>
      </c>
      <c r="P689" s="34" t="str">
        <f aca="false">IF(D689="","",IF(O689="Yes","No",IF(OR(AND(F689&lt;&gt;"",COUNTIF('Target &amp; Team Lists'!$A$5:$A$504,F689)&gt;0),COUNTIF('Target &amp; Team Lists'!$E$5:$E$504,D689)&gt;0),"Yes",IF(AND(SUMPRODUCT(('Target &amp; Team Lists'!$N$5:$N$60&lt;&gt;"")*ISNUMBER(SEARCH('Target &amp; Team Lists'!$N$5:$N$60,(E689&amp;" "&amp;F689))))&gt;0,SUMPRODUCT(('Target &amp; Team Lists'!$O$5:$O$60&lt;&gt;"")*ISNUMBER(SEARCH('Target &amp; Team Lists'!$O$5:$O$60,(E689&amp;" "&amp;F689))))=0),"Yes","No"))))</f>
        <v/>
      </c>
      <c r="Q689" s="32"/>
    </row>
    <row r="690" customFormat="false" ht="15" hidden="false" customHeight="false" outlineLevel="0" collapsed="false">
      <c r="A690" s="30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3" t="str">
        <f aca="false">IF(D690="","",IF(SUM(I690:L690)&gt;0,1,0))</f>
        <v/>
      </c>
      <c r="O690" s="34" t="str">
        <f aca="false">IF(D690="","",IF(OR(COUNTIF('Target &amp; Team Lists'!$J$5:$J$204,D690)&gt;0,AND(H690&lt;&gt;"",COUNTIF('Target &amp; Team Lists'!$L$5:$L$204,H690)&gt;0),ISNUMBER(SEARCH("alpha nodus",(E690&amp;" "&amp;F690))),ISNUMBER(SEARCH("alphanodus",(E690&amp;" "&amp;F690)))),"Yes","No"))</f>
        <v/>
      </c>
      <c r="P690" s="34" t="str">
        <f aca="false">IF(D690="","",IF(O690="Yes","No",IF(OR(AND(F690&lt;&gt;"",COUNTIF('Target &amp; Team Lists'!$A$5:$A$504,F690)&gt;0),COUNTIF('Target &amp; Team Lists'!$E$5:$E$504,D690)&gt;0),"Yes",IF(AND(SUMPRODUCT(('Target &amp; Team Lists'!$N$5:$N$60&lt;&gt;"")*ISNUMBER(SEARCH('Target &amp; Team Lists'!$N$5:$N$60,(E690&amp;" "&amp;F690))))&gt;0,SUMPRODUCT(('Target &amp; Team Lists'!$O$5:$O$60&lt;&gt;"")*ISNUMBER(SEARCH('Target &amp; Team Lists'!$O$5:$O$60,(E690&amp;" "&amp;F690))))=0),"Yes","No"))))</f>
        <v/>
      </c>
      <c r="Q690" s="32"/>
    </row>
    <row r="691" customFormat="false" ht="15" hidden="false" customHeight="false" outlineLevel="0" collapsed="false">
      <c r="A691" s="30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3" t="str">
        <f aca="false">IF(D691="","",IF(SUM(I691:L691)&gt;0,1,0))</f>
        <v/>
      </c>
      <c r="O691" s="34" t="str">
        <f aca="false">IF(D691="","",IF(OR(COUNTIF('Target &amp; Team Lists'!$J$5:$J$204,D691)&gt;0,AND(H691&lt;&gt;"",COUNTIF('Target &amp; Team Lists'!$L$5:$L$204,H691)&gt;0),ISNUMBER(SEARCH("alpha nodus",(E691&amp;" "&amp;F691))),ISNUMBER(SEARCH("alphanodus",(E691&amp;" "&amp;F691)))),"Yes","No"))</f>
        <v/>
      </c>
      <c r="P691" s="34" t="str">
        <f aca="false">IF(D691="","",IF(O691="Yes","No",IF(OR(AND(F691&lt;&gt;"",COUNTIF('Target &amp; Team Lists'!$A$5:$A$504,F691)&gt;0),COUNTIF('Target &amp; Team Lists'!$E$5:$E$504,D691)&gt;0),"Yes",IF(AND(SUMPRODUCT(('Target &amp; Team Lists'!$N$5:$N$60&lt;&gt;"")*ISNUMBER(SEARCH('Target &amp; Team Lists'!$N$5:$N$60,(E691&amp;" "&amp;F691))))&gt;0,SUMPRODUCT(('Target &amp; Team Lists'!$O$5:$O$60&lt;&gt;"")*ISNUMBER(SEARCH('Target &amp; Team Lists'!$O$5:$O$60,(E691&amp;" "&amp;F691))))=0),"Yes","No"))))</f>
        <v/>
      </c>
      <c r="Q691" s="32"/>
    </row>
    <row r="692" customFormat="false" ht="15" hidden="false" customHeight="false" outlineLevel="0" collapsed="false">
      <c r="A692" s="30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3" t="str">
        <f aca="false">IF(D692="","",IF(SUM(I692:L692)&gt;0,1,0))</f>
        <v/>
      </c>
      <c r="O692" s="34" t="str">
        <f aca="false">IF(D692="","",IF(OR(COUNTIF('Target &amp; Team Lists'!$J$5:$J$204,D692)&gt;0,AND(H692&lt;&gt;"",COUNTIF('Target &amp; Team Lists'!$L$5:$L$204,H692)&gt;0),ISNUMBER(SEARCH("alpha nodus",(E692&amp;" "&amp;F692))),ISNUMBER(SEARCH("alphanodus",(E692&amp;" "&amp;F692)))),"Yes","No"))</f>
        <v/>
      </c>
      <c r="P692" s="34" t="str">
        <f aca="false">IF(D692="","",IF(O692="Yes","No",IF(OR(AND(F692&lt;&gt;"",COUNTIF('Target &amp; Team Lists'!$A$5:$A$504,F692)&gt;0),COUNTIF('Target &amp; Team Lists'!$E$5:$E$504,D692)&gt;0),"Yes",IF(AND(SUMPRODUCT(('Target &amp; Team Lists'!$N$5:$N$60&lt;&gt;"")*ISNUMBER(SEARCH('Target &amp; Team Lists'!$N$5:$N$60,(E692&amp;" "&amp;F692))))&gt;0,SUMPRODUCT(('Target &amp; Team Lists'!$O$5:$O$60&lt;&gt;"")*ISNUMBER(SEARCH('Target &amp; Team Lists'!$O$5:$O$60,(E692&amp;" "&amp;F692))))=0),"Yes","No"))))</f>
        <v/>
      </c>
      <c r="Q692" s="32"/>
    </row>
    <row r="693" customFormat="false" ht="15" hidden="false" customHeight="false" outlineLevel="0" collapsed="false">
      <c r="A693" s="30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3" t="str">
        <f aca="false">IF(D693="","",IF(SUM(I693:L693)&gt;0,1,0))</f>
        <v/>
      </c>
      <c r="O693" s="34" t="str">
        <f aca="false">IF(D693="","",IF(OR(COUNTIF('Target &amp; Team Lists'!$J$5:$J$204,D693)&gt;0,AND(H693&lt;&gt;"",COUNTIF('Target &amp; Team Lists'!$L$5:$L$204,H693)&gt;0),ISNUMBER(SEARCH("alpha nodus",(E693&amp;" "&amp;F693))),ISNUMBER(SEARCH("alphanodus",(E693&amp;" "&amp;F693)))),"Yes","No"))</f>
        <v/>
      </c>
      <c r="P693" s="34" t="str">
        <f aca="false">IF(D693="","",IF(O693="Yes","No",IF(OR(AND(F693&lt;&gt;"",COUNTIF('Target &amp; Team Lists'!$A$5:$A$504,F693)&gt;0),COUNTIF('Target &amp; Team Lists'!$E$5:$E$504,D693)&gt;0),"Yes",IF(AND(SUMPRODUCT(('Target &amp; Team Lists'!$N$5:$N$60&lt;&gt;"")*ISNUMBER(SEARCH('Target &amp; Team Lists'!$N$5:$N$60,(E693&amp;" "&amp;F693))))&gt;0,SUMPRODUCT(('Target &amp; Team Lists'!$O$5:$O$60&lt;&gt;"")*ISNUMBER(SEARCH('Target &amp; Team Lists'!$O$5:$O$60,(E693&amp;" "&amp;F693))))=0),"Yes","No"))))</f>
        <v/>
      </c>
      <c r="Q693" s="32"/>
    </row>
    <row r="694" customFormat="false" ht="15" hidden="false" customHeight="false" outlineLevel="0" collapsed="false">
      <c r="A694" s="30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3" t="str">
        <f aca="false">IF(D694="","",IF(SUM(I694:L694)&gt;0,1,0))</f>
        <v/>
      </c>
      <c r="O694" s="34" t="str">
        <f aca="false">IF(D694="","",IF(OR(COUNTIF('Target &amp; Team Lists'!$J$5:$J$204,D694)&gt;0,AND(H694&lt;&gt;"",COUNTIF('Target &amp; Team Lists'!$L$5:$L$204,H694)&gt;0),ISNUMBER(SEARCH("alpha nodus",(E694&amp;" "&amp;F694))),ISNUMBER(SEARCH("alphanodus",(E694&amp;" "&amp;F694)))),"Yes","No"))</f>
        <v/>
      </c>
      <c r="P694" s="34" t="str">
        <f aca="false">IF(D694="","",IF(O694="Yes","No",IF(OR(AND(F694&lt;&gt;"",COUNTIF('Target &amp; Team Lists'!$A$5:$A$504,F694)&gt;0),COUNTIF('Target &amp; Team Lists'!$E$5:$E$504,D694)&gt;0),"Yes",IF(AND(SUMPRODUCT(('Target &amp; Team Lists'!$N$5:$N$60&lt;&gt;"")*ISNUMBER(SEARCH('Target &amp; Team Lists'!$N$5:$N$60,(E694&amp;" "&amp;F694))))&gt;0,SUMPRODUCT(('Target &amp; Team Lists'!$O$5:$O$60&lt;&gt;"")*ISNUMBER(SEARCH('Target &amp; Team Lists'!$O$5:$O$60,(E694&amp;" "&amp;F694))))=0),"Yes","No"))))</f>
        <v/>
      </c>
      <c r="Q694" s="32"/>
    </row>
    <row r="695" customFormat="false" ht="15" hidden="false" customHeight="false" outlineLevel="0" collapsed="false">
      <c r="A695" s="30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3" t="str">
        <f aca="false">IF(D695="","",IF(SUM(I695:L695)&gt;0,1,0))</f>
        <v/>
      </c>
      <c r="O695" s="34" t="str">
        <f aca="false">IF(D695="","",IF(OR(COUNTIF('Target &amp; Team Lists'!$J$5:$J$204,D695)&gt;0,AND(H695&lt;&gt;"",COUNTIF('Target &amp; Team Lists'!$L$5:$L$204,H695)&gt;0),ISNUMBER(SEARCH("alpha nodus",(E695&amp;" "&amp;F695))),ISNUMBER(SEARCH("alphanodus",(E695&amp;" "&amp;F695)))),"Yes","No"))</f>
        <v/>
      </c>
      <c r="P695" s="34" t="str">
        <f aca="false">IF(D695="","",IF(O695="Yes","No",IF(OR(AND(F695&lt;&gt;"",COUNTIF('Target &amp; Team Lists'!$A$5:$A$504,F695)&gt;0),COUNTIF('Target &amp; Team Lists'!$E$5:$E$504,D695)&gt;0),"Yes",IF(AND(SUMPRODUCT(('Target &amp; Team Lists'!$N$5:$N$60&lt;&gt;"")*ISNUMBER(SEARCH('Target &amp; Team Lists'!$N$5:$N$60,(E695&amp;" "&amp;F695))))&gt;0,SUMPRODUCT(('Target &amp; Team Lists'!$O$5:$O$60&lt;&gt;"")*ISNUMBER(SEARCH('Target &amp; Team Lists'!$O$5:$O$60,(E695&amp;" "&amp;F695))))=0),"Yes","No"))))</f>
        <v/>
      </c>
      <c r="Q695" s="32"/>
    </row>
    <row r="696" customFormat="false" ht="15" hidden="false" customHeight="false" outlineLevel="0" collapsed="false">
      <c r="A696" s="30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3" t="str">
        <f aca="false">IF(D696="","",IF(SUM(I696:L696)&gt;0,1,0))</f>
        <v/>
      </c>
      <c r="O696" s="34" t="str">
        <f aca="false">IF(D696="","",IF(OR(COUNTIF('Target &amp; Team Lists'!$J$5:$J$204,D696)&gt;0,AND(H696&lt;&gt;"",COUNTIF('Target &amp; Team Lists'!$L$5:$L$204,H696)&gt;0),ISNUMBER(SEARCH("alpha nodus",(E696&amp;" "&amp;F696))),ISNUMBER(SEARCH("alphanodus",(E696&amp;" "&amp;F696)))),"Yes","No"))</f>
        <v/>
      </c>
      <c r="P696" s="34" t="str">
        <f aca="false">IF(D696="","",IF(O696="Yes","No",IF(OR(AND(F696&lt;&gt;"",COUNTIF('Target &amp; Team Lists'!$A$5:$A$504,F696)&gt;0),COUNTIF('Target &amp; Team Lists'!$E$5:$E$504,D696)&gt;0),"Yes",IF(AND(SUMPRODUCT(('Target &amp; Team Lists'!$N$5:$N$60&lt;&gt;"")*ISNUMBER(SEARCH('Target &amp; Team Lists'!$N$5:$N$60,(E696&amp;" "&amp;F696))))&gt;0,SUMPRODUCT(('Target &amp; Team Lists'!$O$5:$O$60&lt;&gt;"")*ISNUMBER(SEARCH('Target &amp; Team Lists'!$O$5:$O$60,(E696&amp;" "&amp;F696))))=0),"Yes","No"))))</f>
        <v/>
      </c>
      <c r="Q696" s="32"/>
    </row>
    <row r="697" customFormat="false" ht="15" hidden="false" customHeight="false" outlineLevel="0" collapsed="false">
      <c r="A697" s="30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3" t="str">
        <f aca="false">IF(D697="","",IF(SUM(I697:L697)&gt;0,1,0))</f>
        <v/>
      </c>
      <c r="O697" s="34" t="str">
        <f aca="false">IF(D697="","",IF(OR(COUNTIF('Target &amp; Team Lists'!$J$5:$J$204,D697)&gt;0,AND(H697&lt;&gt;"",COUNTIF('Target &amp; Team Lists'!$L$5:$L$204,H697)&gt;0),ISNUMBER(SEARCH("alpha nodus",(E697&amp;" "&amp;F697))),ISNUMBER(SEARCH("alphanodus",(E697&amp;" "&amp;F697)))),"Yes","No"))</f>
        <v/>
      </c>
      <c r="P697" s="34" t="str">
        <f aca="false">IF(D697="","",IF(O697="Yes","No",IF(OR(AND(F697&lt;&gt;"",COUNTIF('Target &amp; Team Lists'!$A$5:$A$504,F697)&gt;0),COUNTIF('Target &amp; Team Lists'!$E$5:$E$504,D697)&gt;0),"Yes",IF(AND(SUMPRODUCT(('Target &amp; Team Lists'!$N$5:$N$60&lt;&gt;"")*ISNUMBER(SEARCH('Target &amp; Team Lists'!$N$5:$N$60,(E697&amp;" "&amp;F697))))&gt;0,SUMPRODUCT(('Target &amp; Team Lists'!$O$5:$O$60&lt;&gt;"")*ISNUMBER(SEARCH('Target &amp; Team Lists'!$O$5:$O$60,(E697&amp;" "&amp;F697))))=0),"Yes","No"))))</f>
        <v/>
      </c>
      <c r="Q697" s="32"/>
    </row>
    <row r="698" customFormat="false" ht="15" hidden="false" customHeight="false" outlineLevel="0" collapsed="false">
      <c r="A698" s="30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3" t="str">
        <f aca="false">IF(D698="","",IF(SUM(I698:L698)&gt;0,1,0))</f>
        <v/>
      </c>
      <c r="O698" s="34" t="str">
        <f aca="false">IF(D698="","",IF(OR(COUNTIF('Target &amp; Team Lists'!$J$5:$J$204,D698)&gt;0,AND(H698&lt;&gt;"",COUNTIF('Target &amp; Team Lists'!$L$5:$L$204,H698)&gt;0),ISNUMBER(SEARCH("alpha nodus",(E698&amp;" "&amp;F698))),ISNUMBER(SEARCH("alphanodus",(E698&amp;" "&amp;F698)))),"Yes","No"))</f>
        <v/>
      </c>
      <c r="P698" s="34" t="str">
        <f aca="false">IF(D698="","",IF(O698="Yes","No",IF(OR(AND(F698&lt;&gt;"",COUNTIF('Target &amp; Team Lists'!$A$5:$A$504,F698)&gt;0),COUNTIF('Target &amp; Team Lists'!$E$5:$E$504,D698)&gt;0),"Yes",IF(AND(SUMPRODUCT(('Target &amp; Team Lists'!$N$5:$N$60&lt;&gt;"")*ISNUMBER(SEARCH('Target &amp; Team Lists'!$N$5:$N$60,(E698&amp;" "&amp;F698))))&gt;0,SUMPRODUCT(('Target &amp; Team Lists'!$O$5:$O$60&lt;&gt;"")*ISNUMBER(SEARCH('Target &amp; Team Lists'!$O$5:$O$60,(E698&amp;" "&amp;F698))))=0),"Yes","No"))))</f>
        <v/>
      </c>
      <c r="Q698" s="32"/>
    </row>
    <row r="699" customFormat="false" ht="15" hidden="false" customHeight="false" outlineLevel="0" collapsed="false">
      <c r="A699" s="30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3" t="str">
        <f aca="false">IF(D699="","",IF(SUM(I699:L699)&gt;0,1,0))</f>
        <v/>
      </c>
      <c r="O699" s="34" t="str">
        <f aca="false">IF(D699="","",IF(OR(COUNTIF('Target &amp; Team Lists'!$J$5:$J$204,D699)&gt;0,AND(H699&lt;&gt;"",COUNTIF('Target &amp; Team Lists'!$L$5:$L$204,H699)&gt;0),ISNUMBER(SEARCH("alpha nodus",(E699&amp;" "&amp;F699))),ISNUMBER(SEARCH("alphanodus",(E699&amp;" "&amp;F699)))),"Yes","No"))</f>
        <v/>
      </c>
      <c r="P699" s="34" t="str">
        <f aca="false">IF(D699="","",IF(O699="Yes","No",IF(OR(AND(F699&lt;&gt;"",COUNTIF('Target &amp; Team Lists'!$A$5:$A$504,F699)&gt;0),COUNTIF('Target &amp; Team Lists'!$E$5:$E$504,D699)&gt;0),"Yes",IF(AND(SUMPRODUCT(('Target &amp; Team Lists'!$N$5:$N$60&lt;&gt;"")*ISNUMBER(SEARCH('Target &amp; Team Lists'!$N$5:$N$60,(E699&amp;" "&amp;F699))))&gt;0,SUMPRODUCT(('Target &amp; Team Lists'!$O$5:$O$60&lt;&gt;"")*ISNUMBER(SEARCH('Target &amp; Team Lists'!$O$5:$O$60,(E699&amp;" "&amp;F699))))=0),"Yes","No"))))</f>
        <v/>
      </c>
      <c r="Q699" s="32"/>
    </row>
    <row r="700" customFormat="false" ht="15" hidden="false" customHeight="false" outlineLevel="0" collapsed="false">
      <c r="A700" s="30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3" t="str">
        <f aca="false">IF(D700="","",IF(SUM(I700:L700)&gt;0,1,0))</f>
        <v/>
      </c>
      <c r="O700" s="34" t="str">
        <f aca="false">IF(D700="","",IF(OR(COUNTIF('Target &amp; Team Lists'!$J$5:$J$204,D700)&gt;0,AND(H700&lt;&gt;"",COUNTIF('Target &amp; Team Lists'!$L$5:$L$204,H700)&gt;0),ISNUMBER(SEARCH("alpha nodus",(E700&amp;" "&amp;F700))),ISNUMBER(SEARCH("alphanodus",(E700&amp;" "&amp;F700)))),"Yes","No"))</f>
        <v/>
      </c>
      <c r="P700" s="34" t="str">
        <f aca="false">IF(D700="","",IF(O700="Yes","No",IF(OR(AND(F700&lt;&gt;"",COUNTIF('Target &amp; Team Lists'!$A$5:$A$504,F700)&gt;0),COUNTIF('Target &amp; Team Lists'!$E$5:$E$504,D700)&gt;0),"Yes",IF(AND(SUMPRODUCT(('Target &amp; Team Lists'!$N$5:$N$60&lt;&gt;"")*ISNUMBER(SEARCH('Target &amp; Team Lists'!$N$5:$N$60,(E700&amp;" "&amp;F700))))&gt;0,SUMPRODUCT(('Target &amp; Team Lists'!$O$5:$O$60&lt;&gt;"")*ISNUMBER(SEARCH('Target &amp; Team Lists'!$O$5:$O$60,(E700&amp;" "&amp;F700))))=0),"Yes","No"))))</f>
        <v/>
      </c>
      <c r="Q700" s="32"/>
    </row>
    <row r="701" customFormat="false" ht="15" hidden="false" customHeight="false" outlineLevel="0" collapsed="false">
      <c r="A701" s="30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3" t="str">
        <f aca="false">IF(D701="","",IF(SUM(I701:L701)&gt;0,1,0))</f>
        <v/>
      </c>
      <c r="O701" s="34" t="str">
        <f aca="false">IF(D701="","",IF(OR(COUNTIF('Target &amp; Team Lists'!$J$5:$J$204,D701)&gt;0,AND(H701&lt;&gt;"",COUNTIF('Target &amp; Team Lists'!$L$5:$L$204,H701)&gt;0),ISNUMBER(SEARCH("alpha nodus",(E701&amp;" "&amp;F701))),ISNUMBER(SEARCH("alphanodus",(E701&amp;" "&amp;F701)))),"Yes","No"))</f>
        <v/>
      </c>
      <c r="P701" s="34" t="str">
        <f aca="false">IF(D701="","",IF(O701="Yes","No",IF(OR(AND(F701&lt;&gt;"",COUNTIF('Target &amp; Team Lists'!$A$5:$A$504,F701)&gt;0),COUNTIF('Target &amp; Team Lists'!$E$5:$E$504,D701)&gt;0),"Yes",IF(AND(SUMPRODUCT(('Target &amp; Team Lists'!$N$5:$N$60&lt;&gt;"")*ISNUMBER(SEARCH('Target &amp; Team Lists'!$N$5:$N$60,(E701&amp;" "&amp;F701))))&gt;0,SUMPRODUCT(('Target &amp; Team Lists'!$O$5:$O$60&lt;&gt;"")*ISNUMBER(SEARCH('Target &amp; Team Lists'!$O$5:$O$60,(E701&amp;" "&amp;F701))))=0),"Yes","No"))))</f>
        <v/>
      </c>
      <c r="Q701" s="32"/>
    </row>
    <row r="702" customFormat="false" ht="15" hidden="false" customHeight="false" outlineLevel="0" collapsed="false">
      <c r="A702" s="30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3" t="str">
        <f aca="false">IF(D702="","",IF(SUM(I702:L702)&gt;0,1,0))</f>
        <v/>
      </c>
      <c r="O702" s="34" t="str">
        <f aca="false">IF(D702="","",IF(OR(COUNTIF('Target &amp; Team Lists'!$J$5:$J$204,D702)&gt;0,AND(H702&lt;&gt;"",COUNTIF('Target &amp; Team Lists'!$L$5:$L$204,H702)&gt;0),ISNUMBER(SEARCH("alpha nodus",(E702&amp;" "&amp;F702))),ISNUMBER(SEARCH("alphanodus",(E702&amp;" "&amp;F702)))),"Yes","No"))</f>
        <v/>
      </c>
      <c r="P702" s="34" t="str">
        <f aca="false">IF(D702="","",IF(O702="Yes","No",IF(OR(AND(F702&lt;&gt;"",COUNTIF('Target &amp; Team Lists'!$A$5:$A$504,F702)&gt;0),COUNTIF('Target &amp; Team Lists'!$E$5:$E$504,D702)&gt;0),"Yes",IF(AND(SUMPRODUCT(('Target &amp; Team Lists'!$N$5:$N$60&lt;&gt;"")*ISNUMBER(SEARCH('Target &amp; Team Lists'!$N$5:$N$60,(E702&amp;" "&amp;F702))))&gt;0,SUMPRODUCT(('Target &amp; Team Lists'!$O$5:$O$60&lt;&gt;"")*ISNUMBER(SEARCH('Target &amp; Team Lists'!$O$5:$O$60,(E702&amp;" "&amp;F702))))=0),"Yes","No"))))</f>
        <v/>
      </c>
      <c r="Q702" s="32"/>
    </row>
    <row r="703" customFormat="false" ht="15" hidden="false" customHeight="false" outlineLevel="0" collapsed="false">
      <c r="A703" s="30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3" t="str">
        <f aca="false">IF(D703="","",IF(SUM(I703:L703)&gt;0,1,0))</f>
        <v/>
      </c>
      <c r="O703" s="34" t="str">
        <f aca="false">IF(D703="","",IF(OR(COUNTIF('Target &amp; Team Lists'!$J$5:$J$204,D703)&gt;0,AND(H703&lt;&gt;"",COUNTIF('Target &amp; Team Lists'!$L$5:$L$204,H703)&gt;0),ISNUMBER(SEARCH("alpha nodus",(E703&amp;" "&amp;F703))),ISNUMBER(SEARCH("alphanodus",(E703&amp;" "&amp;F703)))),"Yes","No"))</f>
        <v/>
      </c>
      <c r="P703" s="34" t="str">
        <f aca="false">IF(D703="","",IF(O703="Yes","No",IF(OR(AND(F703&lt;&gt;"",COUNTIF('Target &amp; Team Lists'!$A$5:$A$504,F703)&gt;0),COUNTIF('Target &amp; Team Lists'!$E$5:$E$504,D703)&gt;0),"Yes",IF(AND(SUMPRODUCT(('Target &amp; Team Lists'!$N$5:$N$60&lt;&gt;"")*ISNUMBER(SEARCH('Target &amp; Team Lists'!$N$5:$N$60,(E703&amp;" "&amp;F703))))&gt;0,SUMPRODUCT(('Target &amp; Team Lists'!$O$5:$O$60&lt;&gt;"")*ISNUMBER(SEARCH('Target &amp; Team Lists'!$O$5:$O$60,(E703&amp;" "&amp;F703))))=0),"Yes","No"))))</f>
        <v/>
      </c>
      <c r="Q703" s="32"/>
    </row>
    <row r="704" customFormat="false" ht="15" hidden="false" customHeight="false" outlineLevel="0" collapsed="false">
      <c r="A704" s="30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3" t="str">
        <f aca="false">IF(D704="","",IF(SUM(I704:L704)&gt;0,1,0))</f>
        <v/>
      </c>
      <c r="O704" s="34" t="str">
        <f aca="false">IF(D704="","",IF(OR(COUNTIF('Target &amp; Team Lists'!$J$5:$J$204,D704)&gt;0,AND(H704&lt;&gt;"",COUNTIF('Target &amp; Team Lists'!$L$5:$L$204,H704)&gt;0),ISNUMBER(SEARCH("alpha nodus",(E704&amp;" "&amp;F704))),ISNUMBER(SEARCH("alphanodus",(E704&amp;" "&amp;F704)))),"Yes","No"))</f>
        <v/>
      </c>
      <c r="P704" s="34" t="str">
        <f aca="false">IF(D704="","",IF(O704="Yes","No",IF(OR(AND(F704&lt;&gt;"",COUNTIF('Target &amp; Team Lists'!$A$5:$A$504,F704)&gt;0),COUNTIF('Target &amp; Team Lists'!$E$5:$E$504,D704)&gt;0),"Yes",IF(AND(SUMPRODUCT(('Target &amp; Team Lists'!$N$5:$N$60&lt;&gt;"")*ISNUMBER(SEARCH('Target &amp; Team Lists'!$N$5:$N$60,(E704&amp;" "&amp;F704))))&gt;0,SUMPRODUCT(('Target &amp; Team Lists'!$O$5:$O$60&lt;&gt;"")*ISNUMBER(SEARCH('Target &amp; Team Lists'!$O$5:$O$60,(E704&amp;" "&amp;F704))))=0),"Yes","No"))))</f>
        <v/>
      </c>
      <c r="Q704" s="32"/>
    </row>
    <row r="705" customFormat="false" ht="15" hidden="false" customHeight="false" outlineLevel="0" collapsed="false">
      <c r="A705" s="30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3" t="str">
        <f aca="false">IF(D705="","",IF(SUM(I705:L705)&gt;0,1,0))</f>
        <v/>
      </c>
      <c r="O705" s="34" t="str">
        <f aca="false">IF(D705="","",IF(OR(COUNTIF('Target &amp; Team Lists'!$J$5:$J$204,D705)&gt;0,AND(H705&lt;&gt;"",COUNTIF('Target &amp; Team Lists'!$L$5:$L$204,H705)&gt;0),ISNUMBER(SEARCH("alpha nodus",(E705&amp;" "&amp;F705))),ISNUMBER(SEARCH("alphanodus",(E705&amp;" "&amp;F705)))),"Yes","No"))</f>
        <v/>
      </c>
      <c r="P705" s="34" t="str">
        <f aca="false">IF(D705="","",IF(O705="Yes","No",IF(OR(AND(F705&lt;&gt;"",COUNTIF('Target &amp; Team Lists'!$A$5:$A$504,F705)&gt;0),COUNTIF('Target &amp; Team Lists'!$E$5:$E$504,D705)&gt;0),"Yes",IF(AND(SUMPRODUCT(('Target &amp; Team Lists'!$N$5:$N$60&lt;&gt;"")*ISNUMBER(SEARCH('Target &amp; Team Lists'!$N$5:$N$60,(E705&amp;" "&amp;F705))))&gt;0,SUMPRODUCT(('Target &amp; Team Lists'!$O$5:$O$60&lt;&gt;"")*ISNUMBER(SEARCH('Target &amp; Team Lists'!$O$5:$O$60,(E705&amp;" "&amp;F705))))=0),"Yes","No"))))</f>
        <v/>
      </c>
      <c r="Q705" s="32"/>
    </row>
    <row r="706" customFormat="false" ht="15" hidden="false" customHeight="false" outlineLevel="0" collapsed="false">
      <c r="A706" s="30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3" t="str">
        <f aca="false">IF(D706="","",IF(SUM(I706:L706)&gt;0,1,0))</f>
        <v/>
      </c>
      <c r="O706" s="34" t="str">
        <f aca="false">IF(D706="","",IF(OR(COUNTIF('Target &amp; Team Lists'!$J$5:$J$204,D706)&gt;0,AND(H706&lt;&gt;"",COUNTIF('Target &amp; Team Lists'!$L$5:$L$204,H706)&gt;0),ISNUMBER(SEARCH("alpha nodus",(E706&amp;" "&amp;F706))),ISNUMBER(SEARCH("alphanodus",(E706&amp;" "&amp;F706)))),"Yes","No"))</f>
        <v/>
      </c>
      <c r="P706" s="34" t="str">
        <f aca="false">IF(D706="","",IF(O706="Yes","No",IF(OR(AND(F706&lt;&gt;"",COUNTIF('Target &amp; Team Lists'!$A$5:$A$504,F706)&gt;0),COUNTIF('Target &amp; Team Lists'!$E$5:$E$504,D706)&gt;0),"Yes",IF(AND(SUMPRODUCT(('Target &amp; Team Lists'!$N$5:$N$60&lt;&gt;"")*ISNUMBER(SEARCH('Target &amp; Team Lists'!$N$5:$N$60,(E706&amp;" "&amp;F706))))&gt;0,SUMPRODUCT(('Target &amp; Team Lists'!$O$5:$O$60&lt;&gt;"")*ISNUMBER(SEARCH('Target &amp; Team Lists'!$O$5:$O$60,(E706&amp;" "&amp;F706))))=0),"Yes","No"))))</f>
        <v/>
      </c>
      <c r="Q706" s="32"/>
    </row>
    <row r="707" customFormat="false" ht="15" hidden="false" customHeight="false" outlineLevel="0" collapsed="false">
      <c r="A707" s="30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3" t="str">
        <f aca="false">IF(D707="","",IF(SUM(I707:L707)&gt;0,1,0))</f>
        <v/>
      </c>
      <c r="O707" s="34" t="str">
        <f aca="false">IF(D707="","",IF(OR(COUNTIF('Target &amp; Team Lists'!$J$5:$J$204,D707)&gt;0,AND(H707&lt;&gt;"",COUNTIF('Target &amp; Team Lists'!$L$5:$L$204,H707)&gt;0),ISNUMBER(SEARCH("alpha nodus",(E707&amp;" "&amp;F707))),ISNUMBER(SEARCH("alphanodus",(E707&amp;" "&amp;F707)))),"Yes","No"))</f>
        <v/>
      </c>
      <c r="P707" s="34" t="str">
        <f aca="false">IF(D707="","",IF(O707="Yes","No",IF(OR(AND(F707&lt;&gt;"",COUNTIF('Target &amp; Team Lists'!$A$5:$A$504,F707)&gt;0),COUNTIF('Target &amp; Team Lists'!$E$5:$E$504,D707)&gt;0),"Yes",IF(AND(SUMPRODUCT(('Target &amp; Team Lists'!$N$5:$N$60&lt;&gt;"")*ISNUMBER(SEARCH('Target &amp; Team Lists'!$N$5:$N$60,(E707&amp;" "&amp;F707))))&gt;0,SUMPRODUCT(('Target &amp; Team Lists'!$O$5:$O$60&lt;&gt;"")*ISNUMBER(SEARCH('Target &amp; Team Lists'!$O$5:$O$60,(E707&amp;" "&amp;F707))))=0),"Yes","No"))))</f>
        <v/>
      </c>
      <c r="Q707" s="32"/>
    </row>
    <row r="708" customFormat="false" ht="15" hidden="false" customHeight="false" outlineLevel="0" collapsed="false">
      <c r="A708" s="30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3" t="str">
        <f aca="false">IF(D708="","",IF(SUM(I708:L708)&gt;0,1,0))</f>
        <v/>
      </c>
      <c r="O708" s="34" t="str">
        <f aca="false">IF(D708="","",IF(OR(COUNTIF('Target &amp; Team Lists'!$J$5:$J$204,D708)&gt;0,AND(H708&lt;&gt;"",COUNTIF('Target &amp; Team Lists'!$L$5:$L$204,H708)&gt;0),ISNUMBER(SEARCH("alpha nodus",(E708&amp;" "&amp;F708))),ISNUMBER(SEARCH("alphanodus",(E708&amp;" "&amp;F708)))),"Yes","No"))</f>
        <v/>
      </c>
      <c r="P708" s="34" t="str">
        <f aca="false">IF(D708="","",IF(O708="Yes","No",IF(OR(AND(F708&lt;&gt;"",COUNTIF('Target &amp; Team Lists'!$A$5:$A$504,F708)&gt;0),COUNTIF('Target &amp; Team Lists'!$E$5:$E$504,D708)&gt;0),"Yes",IF(AND(SUMPRODUCT(('Target &amp; Team Lists'!$N$5:$N$60&lt;&gt;"")*ISNUMBER(SEARCH('Target &amp; Team Lists'!$N$5:$N$60,(E708&amp;" "&amp;F708))))&gt;0,SUMPRODUCT(('Target &amp; Team Lists'!$O$5:$O$60&lt;&gt;"")*ISNUMBER(SEARCH('Target &amp; Team Lists'!$O$5:$O$60,(E708&amp;" "&amp;F708))))=0),"Yes","No"))))</f>
        <v/>
      </c>
      <c r="Q708" s="32"/>
    </row>
    <row r="709" customFormat="false" ht="15" hidden="false" customHeight="false" outlineLevel="0" collapsed="false">
      <c r="A709" s="30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3" t="str">
        <f aca="false">IF(D709="","",IF(SUM(I709:L709)&gt;0,1,0))</f>
        <v/>
      </c>
      <c r="O709" s="34" t="str">
        <f aca="false">IF(D709="","",IF(OR(COUNTIF('Target &amp; Team Lists'!$J$5:$J$204,D709)&gt;0,AND(H709&lt;&gt;"",COUNTIF('Target &amp; Team Lists'!$L$5:$L$204,H709)&gt;0),ISNUMBER(SEARCH("alpha nodus",(E709&amp;" "&amp;F709))),ISNUMBER(SEARCH("alphanodus",(E709&amp;" "&amp;F709)))),"Yes","No"))</f>
        <v/>
      </c>
      <c r="P709" s="34" t="str">
        <f aca="false">IF(D709="","",IF(O709="Yes","No",IF(OR(AND(F709&lt;&gt;"",COUNTIF('Target &amp; Team Lists'!$A$5:$A$504,F709)&gt;0),COUNTIF('Target &amp; Team Lists'!$E$5:$E$504,D709)&gt;0),"Yes",IF(AND(SUMPRODUCT(('Target &amp; Team Lists'!$N$5:$N$60&lt;&gt;"")*ISNUMBER(SEARCH('Target &amp; Team Lists'!$N$5:$N$60,(E709&amp;" "&amp;F709))))&gt;0,SUMPRODUCT(('Target &amp; Team Lists'!$O$5:$O$60&lt;&gt;"")*ISNUMBER(SEARCH('Target &amp; Team Lists'!$O$5:$O$60,(E709&amp;" "&amp;F709))))=0),"Yes","No"))))</f>
        <v/>
      </c>
      <c r="Q709" s="32"/>
    </row>
    <row r="710" customFormat="false" ht="15" hidden="false" customHeight="false" outlineLevel="0" collapsed="false">
      <c r="A710" s="30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3" t="str">
        <f aca="false">IF(D710="","",IF(SUM(I710:L710)&gt;0,1,0))</f>
        <v/>
      </c>
      <c r="O710" s="34" t="str">
        <f aca="false">IF(D710="","",IF(OR(COUNTIF('Target &amp; Team Lists'!$J$5:$J$204,D710)&gt;0,AND(H710&lt;&gt;"",COUNTIF('Target &amp; Team Lists'!$L$5:$L$204,H710)&gt;0),ISNUMBER(SEARCH("alpha nodus",(E710&amp;" "&amp;F710))),ISNUMBER(SEARCH("alphanodus",(E710&amp;" "&amp;F710)))),"Yes","No"))</f>
        <v/>
      </c>
      <c r="P710" s="34" t="str">
        <f aca="false">IF(D710="","",IF(O710="Yes","No",IF(OR(AND(F710&lt;&gt;"",COUNTIF('Target &amp; Team Lists'!$A$5:$A$504,F710)&gt;0),COUNTIF('Target &amp; Team Lists'!$E$5:$E$504,D710)&gt;0),"Yes",IF(AND(SUMPRODUCT(('Target &amp; Team Lists'!$N$5:$N$60&lt;&gt;"")*ISNUMBER(SEARCH('Target &amp; Team Lists'!$N$5:$N$60,(E710&amp;" "&amp;F710))))&gt;0,SUMPRODUCT(('Target &amp; Team Lists'!$O$5:$O$60&lt;&gt;"")*ISNUMBER(SEARCH('Target &amp; Team Lists'!$O$5:$O$60,(E710&amp;" "&amp;F710))))=0),"Yes","No"))))</f>
        <v/>
      </c>
      <c r="Q710" s="32"/>
    </row>
    <row r="711" customFormat="false" ht="15" hidden="false" customHeight="false" outlineLevel="0" collapsed="false">
      <c r="A711" s="30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3" t="str">
        <f aca="false">IF(D711="","",IF(SUM(I711:L711)&gt;0,1,0))</f>
        <v/>
      </c>
      <c r="O711" s="34" t="str">
        <f aca="false">IF(D711="","",IF(OR(COUNTIF('Target &amp; Team Lists'!$J$5:$J$204,D711)&gt;0,AND(H711&lt;&gt;"",COUNTIF('Target &amp; Team Lists'!$L$5:$L$204,H711)&gt;0),ISNUMBER(SEARCH("alpha nodus",(E711&amp;" "&amp;F711))),ISNUMBER(SEARCH("alphanodus",(E711&amp;" "&amp;F711)))),"Yes","No"))</f>
        <v/>
      </c>
      <c r="P711" s="34" t="str">
        <f aca="false">IF(D711="","",IF(O711="Yes","No",IF(OR(AND(F711&lt;&gt;"",COUNTIF('Target &amp; Team Lists'!$A$5:$A$504,F711)&gt;0),COUNTIF('Target &amp; Team Lists'!$E$5:$E$504,D711)&gt;0),"Yes",IF(AND(SUMPRODUCT(('Target &amp; Team Lists'!$N$5:$N$60&lt;&gt;"")*ISNUMBER(SEARCH('Target &amp; Team Lists'!$N$5:$N$60,(E711&amp;" "&amp;F711))))&gt;0,SUMPRODUCT(('Target &amp; Team Lists'!$O$5:$O$60&lt;&gt;"")*ISNUMBER(SEARCH('Target &amp; Team Lists'!$O$5:$O$60,(E711&amp;" "&amp;F711))))=0),"Yes","No"))))</f>
        <v/>
      </c>
      <c r="Q711" s="32"/>
    </row>
    <row r="712" customFormat="false" ht="15" hidden="false" customHeight="false" outlineLevel="0" collapsed="false">
      <c r="A712" s="30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3" t="str">
        <f aca="false">IF(D712="","",IF(SUM(I712:L712)&gt;0,1,0))</f>
        <v/>
      </c>
      <c r="O712" s="34" t="str">
        <f aca="false">IF(D712="","",IF(OR(COUNTIF('Target &amp; Team Lists'!$J$5:$J$204,D712)&gt;0,AND(H712&lt;&gt;"",COUNTIF('Target &amp; Team Lists'!$L$5:$L$204,H712)&gt;0),ISNUMBER(SEARCH("alpha nodus",(E712&amp;" "&amp;F712))),ISNUMBER(SEARCH("alphanodus",(E712&amp;" "&amp;F712)))),"Yes","No"))</f>
        <v/>
      </c>
      <c r="P712" s="34" t="str">
        <f aca="false">IF(D712="","",IF(O712="Yes","No",IF(OR(AND(F712&lt;&gt;"",COUNTIF('Target &amp; Team Lists'!$A$5:$A$504,F712)&gt;0),COUNTIF('Target &amp; Team Lists'!$E$5:$E$504,D712)&gt;0),"Yes",IF(AND(SUMPRODUCT(('Target &amp; Team Lists'!$N$5:$N$60&lt;&gt;"")*ISNUMBER(SEARCH('Target &amp; Team Lists'!$N$5:$N$60,(E712&amp;" "&amp;F712))))&gt;0,SUMPRODUCT(('Target &amp; Team Lists'!$O$5:$O$60&lt;&gt;"")*ISNUMBER(SEARCH('Target &amp; Team Lists'!$O$5:$O$60,(E712&amp;" "&amp;F712))))=0),"Yes","No"))))</f>
        <v/>
      </c>
      <c r="Q712" s="32"/>
    </row>
    <row r="713" customFormat="false" ht="15" hidden="false" customHeight="false" outlineLevel="0" collapsed="false">
      <c r="A713" s="30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3" t="str">
        <f aca="false">IF(D713="","",IF(SUM(I713:L713)&gt;0,1,0))</f>
        <v/>
      </c>
      <c r="O713" s="34" t="str">
        <f aca="false">IF(D713="","",IF(OR(COUNTIF('Target &amp; Team Lists'!$J$5:$J$204,D713)&gt;0,AND(H713&lt;&gt;"",COUNTIF('Target &amp; Team Lists'!$L$5:$L$204,H713)&gt;0),ISNUMBER(SEARCH("alpha nodus",(E713&amp;" "&amp;F713))),ISNUMBER(SEARCH("alphanodus",(E713&amp;" "&amp;F713)))),"Yes","No"))</f>
        <v/>
      </c>
      <c r="P713" s="34" t="str">
        <f aca="false">IF(D713="","",IF(O713="Yes","No",IF(OR(AND(F713&lt;&gt;"",COUNTIF('Target &amp; Team Lists'!$A$5:$A$504,F713)&gt;0),COUNTIF('Target &amp; Team Lists'!$E$5:$E$504,D713)&gt;0),"Yes",IF(AND(SUMPRODUCT(('Target &amp; Team Lists'!$N$5:$N$60&lt;&gt;"")*ISNUMBER(SEARCH('Target &amp; Team Lists'!$N$5:$N$60,(E713&amp;" "&amp;F713))))&gt;0,SUMPRODUCT(('Target &amp; Team Lists'!$O$5:$O$60&lt;&gt;"")*ISNUMBER(SEARCH('Target &amp; Team Lists'!$O$5:$O$60,(E713&amp;" "&amp;F713))))=0),"Yes","No"))))</f>
        <v/>
      </c>
      <c r="Q713" s="32"/>
    </row>
    <row r="714" customFormat="false" ht="15" hidden="false" customHeight="false" outlineLevel="0" collapsed="false">
      <c r="A714" s="30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3" t="str">
        <f aca="false">IF(D714="","",IF(SUM(I714:L714)&gt;0,1,0))</f>
        <v/>
      </c>
      <c r="O714" s="34" t="str">
        <f aca="false">IF(D714="","",IF(OR(COUNTIF('Target &amp; Team Lists'!$J$5:$J$204,D714)&gt;0,AND(H714&lt;&gt;"",COUNTIF('Target &amp; Team Lists'!$L$5:$L$204,H714)&gt;0),ISNUMBER(SEARCH("alpha nodus",(E714&amp;" "&amp;F714))),ISNUMBER(SEARCH("alphanodus",(E714&amp;" "&amp;F714)))),"Yes","No"))</f>
        <v/>
      </c>
      <c r="P714" s="34" t="str">
        <f aca="false">IF(D714="","",IF(O714="Yes","No",IF(OR(AND(F714&lt;&gt;"",COUNTIF('Target &amp; Team Lists'!$A$5:$A$504,F714)&gt;0),COUNTIF('Target &amp; Team Lists'!$E$5:$E$504,D714)&gt;0),"Yes",IF(AND(SUMPRODUCT(('Target &amp; Team Lists'!$N$5:$N$60&lt;&gt;"")*ISNUMBER(SEARCH('Target &amp; Team Lists'!$N$5:$N$60,(E714&amp;" "&amp;F714))))&gt;0,SUMPRODUCT(('Target &amp; Team Lists'!$O$5:$O$60&lt;&gt;"")*ISNUMBER(SEARCH('Target &amp; Team Lists'!$O$5:$O$60,(E714&amp;" "&amp;F714))))=0),"Yes","No"))))</f>
        <v/>
      </c>
      <c r="Q714" s="32"/>
    </row>
    <row r="715" customFormat="false" ht="15" hidden="false" customHeight="false" outlineLevel="0" collapsed="false">
      <c r="A715" s="30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3" t="str">
        <f aca="false">IF(D715="","",IF(SUM(I715:L715)&gt;0,1,0))</f>
        <v/>
      </c>
      <c r="O715" s="34" t="str">
        <f aca="false">IF(D715="","",IF(OR(COUNTIF('Target &amp; Team Lists'!$J$5:$J$204,D715)&gt;0,AND(H715&lt;&gt;"",COUNTIF('Target &amp; Team Lists'!$L$5:$L$204,H715)&gt;0),ISNUMBER(SEARCH("alpha nodus",(E715&amp;" "&amp;F715))),ISNUMBER(SEARCH("alphanodus",(E715&amp;" "&amp;F715)))),"Yes","No"))</f>
        <v/>
      </c>
      <c r="P715" s="34" t="str">
        <f aca="false">IF(D715="","",IF(O715="Yes","No",IF(OR(AND(F715&lt;&gt;"",COUNTIF('Target &amp; Team Lists'!$A$5:$A$504,F715)&gt;0),COUNTIF('Target &amp; Team Lists'!$E$5:$E$504,D715)&gt;0),"Yes",IF(AND(SUMPRODUCT(('Target &amp; Team Lists'!$N$5:$N$60&lt;&gt;"")*ISNUMBER(SEARCH('Target &amp; Team Lists'!$N$5:$N$60,(E715&amp;" "&amp;F715))))&gt;0,SUMPRODUCT(('Target &amp; Team Lists'!$O$5:$O$60&lt;&gt;"")*ISNUMBER(SEARCH('Target &amp; Team Lists'!$O$5:$O$60,(E715&amp;" "&amp;F715))))=0),"Yes","No"))))</f>
        <v/>
      </c>
      <c r="Q715" s="32"/>
    </row>
    <row r="716" customFormat="false" ht="15" hidden="false" customHeight="false" outlineLevel="0" collapsed="false">
      <c r="A716" s="30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3" t="str">
        <f aca="false">IF(D716="","",IF(SUM(I716:L716)&gt;0,1,0))</f>
        <v/>
      </c>
      <c r="O716" s="34" t="str">
        <f aca="false">IF(D716="","",IF(OR(COUNTIF('Target &amp; Team Lists'!$J$5:$J$204,D716)&gt;0,AND(H716&lt;&gt;"",COUNTIF('Target &amp; Team Lists'!$L$5:$L$204,H716)&gt;0),ISNUMBER(SEARCH("alpha nodus",(E716&amp;" "&amp;F716))),ISNUMBER(SEARCH("alphanodus",(E716&amp;" "&amp;F716)))),"Yes","No"))</f>
        <v/>
      </c>
      <c r="P716" s="34" t="str">
        <f aca="false">IF(D716="","",IF(O716="Yes","No",IF(OR(AND(F716&lt;&gt;"",COUNTIF('Target &amp; Team Lists'!$A$5:$A$504,F716)&gt;0),COUNTIF('Target &amp; Team Lists'!$E$5:$E$504,D716)&gt;0),"Yes",IF(AND(SUMPRODUCT(('Target &amp; Team Lists'!$N$5:$N$60&lt;&gt;"")*ISNUMBER(SEARCH('Target &amp; Team Lists'!$N$5:$N$60,(E716&amp;" "&amp;F716))))&gt;0,SUMPRODUCT(('Target &amp; Team Lists'!$O$5:$O$60&lt;&gt;"")*ISNUMBER(SEARCH('Target &amp; Team Lists'!$O$5:$O$60,(E716&amp;" "&amp;F716))))=0),"Yes","No"))))</f>
        <v/>
      </c>
      <c r="Q716" s="32"/>
    </row>
    <row r="717" customFormat="false" ht="15" hidden="false" customHeight="false" outlineLevel="0" collapsed="false">
      <c r="A717" s="30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3" t="str">
        <f aca="false">IF(D717="","",IF(SUM(I717:L717)&gt;0,1,0))</f>
        <v/>
      </c>
      <c r="O717" s="34" t="str">
        <f aca="false">IF(D717="","",IF(OR(COUNTIF('Target &amp; Team Lists'!$J$5:$J$204,D717)&gt;0,AND(H717&lt;&gt;"",COUNTIF('Target &amp; Team Lists'!$L$5:$L$204,H717)&gt;0),ISNUMBER(SEARCH("alpha nodus",(E717&amp;" "&amp;F717))),ISNUMBER(SEARCH("alphanodus",(E717&amp;" "&amp;F717)))),"Yes","No"))</f>
        <v/>
      </c>
      <c r="P717" s="34" t="str">
        <f aca="false">IF(D717="","",IF(O717="Yes","No",IF(OR(AND(F717&lt;&gt;"",COUNTIF('Target &amp; Team Lists'!$A$5:$A$504,F717)&gt;0),COUNTIF('Target &amp; Team Lists'!$E$5:$E$504,D717)&gt;0),"Yes",IF(AND(SUMPRODUCT(('Target &amp; Team Lists'!$N$5:$N$60&lt;&gt;"")*ISNUMBER(SEARCH('Target &amp; Team Lists'!$N$5:$N$60,(E717&amp;" "&amp;F717))))&gt;0,SUMPRODUCT(('Target &amp; Team Lists'!$O$5:$O$60&lt;&gt;"")*ISNUMBER(SEARCH('Target &amp; Team Lists'!$O$5:$O$60,(E717&amp;" "&amp;F717))))=0),"Yes","No"))))</f>
        <v/>
      </c>
      <c r="Q717" s="32"/>
    </row>
    <row r="718" customFormat="false" ht="15" hidden="false" customHeight="false" outlineLevel="0" collapsed="false">
      <c r="A718" s="30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3" t="str">
        <f aca="false">IF(D718="","",IF(SUM(I718:L718)&gt;0,1,0))</f>
        <v/>
      </c>
      <c r="O718" s="34" t="str">
        <f aca="false">IF(D718="","",IF(OR(COUNTIF('Target &amp; Team Lists'!$J$5:$J$204,D718)&gt;0,AND(H718&lt;&gt;"",COUNTIF('Target &amp; Team Lists'!$L$5:$L$204,H718)&gt;0),ISNUMBER(SEARCH("alpha nodus",(E718&amp;" "&amp;F718))),ISNUMBER(SEARCH("alphanodus",(E718&amp;" "&amp;F718)))),"Yes","No"))</f>
        <v/>
      </c>
      <c r="P718" s="34" t="str">
        <f aca="false">IF(D718="","",IF(O718="Yes","No",IF(OR(AND(F718&lt;&gt;"",COUNTIF('Target &amp; Team Lists'!$A$5:$A$504,F718)&gt;0),COUNTIF('Target &amp; Team Lists'!$E$5:$E$504,D718)&gt;0),"Yes",IF(AND(SUMPRODUCT(('Target &amp; Team Lists'!$N$5:$N$60&lt;&gt;"")*ISNUMBER(SEARCH('Target &amp; Team Lists'!$N$5:$N$60,(E718&amp;" "&amp;F718))))&gt;0,SUMPRODUCT(('Target &amp; Team Lists'!$O$5:$O$60&lt;&gt;"")*ISNUMBER(SEARCH('Target &amp; Team Lists'!$O$5:$O$60,(E718&amp;" "&amp;F718))))=0),"Yes","No"))))</f>
        <v/>
      </c>
      <c r="Q718" s="32"/>
    </row>
    <row r="719" customFormat="false" ht="15" hidden="false" customHeight="false" outlineLevel="0" collapsed="false">
      <c r="A719" s="30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3" t="str">
        <f aca="false">IF(D719="","",IF(SUM(I719:L719)&gt;0,1,0))</f>
        <v/>
      </c>
      <c r="O719" s="34" t="str">
        <f aca="false">IF(D719="","",IF(OR(COUNTIF('Target &amp; Team Lists'!$J$5:$J$204,D719)&gt;0,AND(H719&lt;&gt;"",COUNTIF('Target &amp; Team Lists'!$L$5:$L$204,H719)&gt;0),ISNUMBER(SEARCH("alpha nodus",(E719&amp;" "&amp;F719))),ISNUMBER(SEARCH("alphanodus",(E719&amp;" "&amp;F719)))),"Yes","No"))</f>
        <v/>
      </c>
      <c r="P719" s="34" t="str">
        <f aca="false">IF(D719="","",IF(O719="Yes","No",IF(OR(AND(F719&lt;&gt;"",COUNTIF('Target &amp; Team Lists'!$A$5:$A$504,F719)&gt;0),COUNTIF('Target &amp; Team Lists'!$E$5:$E$504,D719)&gt;0),"Yes",IF(AND(SUMPRODUCT(('Target &amp; Team Lists'!$N$5:$N$60&lt;&gt;"")*ISNUMBER(SEARCH('Target &amp; Team Lists'!$N$5:$N$60,(E719&amp;" "&amp;F719))))&gt;0,SUMPRODUCT(('Target &amp; Team Lists'!$O$5:$O$60&lt;&gt;"")*ISNUMBER(SEARCH('Target &amp; Team Lists'!$O$5:$O$60,(E719&amp;" "&amp;F719))))=0),"Yes","No"))))</f>
        <v/>
      </c>
      <c r="Q719" s="32"/>
    </row>
    <row r="720" customFormat="false" ht="15" hidden="false" customHeight="false" outlineLevel="0" collapsed="false">
      <c r="A720" s="30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3" t="str">
        <f aca="false">IF(D720="","",IF(SUM(I720:L720)&gt;0,1,0))</f>
        <v/>
      </c>
      <c r="O720" s="34" t="str">
        <f aca="false">IF(D720="","",IF(OR(COUNTIF('Target &amp; Team Lists'!$J$5:$J$204,D720)&gt;0,AND(H720&lt;&gt;"",COUNTIF('Target &amp; Team Lists'!$L$5:$L$204,H720)&gt;0),ISNUMBER(SEARCH("alpha nodus",(E720&amp;" "&amp;F720))),ISNUMBER(SEARCH("alphanodus",(E720&amp;" "&amp;F720)))),"Yes","No"))</f>
        <v/>
      </c>
      <c r="P720" s="34" t="str">
        <f aca="false">IF(D720="","",IF(O720="Yes","No",IF(OR(AND(F720&lt;&gt;"",COUNTIF('Target &amp; Team Lists'!$A$5:$A$504,F720)&gt;0),COUNTIF('Target &amp; Team Lists'!$E$5:$E$504,D720)&gt;0),"Yes",IF(AND(SUMPRODUCT(('Target &amp; Team Lists'!$N$5:$N$60&lt;&gt;"")*ISNUMBER(SEARCH('Target &amp; Team Lists'!$N$5:$N$60,(E720&amp;" "&amp;F720))))&gt;0,SUMPRODUCT(('Target &amp; Team Lists'!$O$5:$O$60&lt;&gt;"")*ISNUMBER(SEARCH('Target &amp; Team Lists'!$O$5:$O$60,(E720&amp;" "&amp;F720))))=0),"Yes","No"))))</f>
        <v/>
      </c>
      <c r="Q720" s="32"/>
    </row>
    <row r="721" customFormat="false" ht="15" hidden="false" customHeight="false" outlineLevel="0" collapsed="false">
      <c r="A721" s="30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3" t="str">
        <f aca="false">IF(D721="","",IF(SUM(I721:L721)&gt;0,1,0))</f>
        <v/>
      </c>
      <c r="O721" s="34" t="str">
        <f aca="false">IF(D721="","",IF(OR(COUNTIF('Target &amp; Team Lists'!$J$5:$J$204,D721)&gt;0,AND(H721&lt;&gt;"",COUNTIF('Target &amp; Team Lists'!$L$5:$L$204,H721)&gt;0),ISNUMBER(SEARCH("alpha nodus",(E721&amp;" "&amp;F721))),ISNUMBER(SEARCH("alphanodus",(E721&amp;" "&amp;F721)))),"Yes","No"))</f>
        <v/>
      </c>
      <c r="P721" s="34" t="str">
        <f aca="false">IF(D721="","",IF(O721="Yes","No",IF(OR(AND(F721&lt;&gt;"",COUNTIF('Target &amp; Team Lists'!$A$5:$A$504,F721)&gt;0),COUNTIF('Target &amp; Team Lists'!$E$5:$E$504,D721)&gt;0),"Yes",IF(AND(SUMPRODUCT(('Target &amp; Team Lists'!$N$5:$N$60&lt;&gt;"")*ISNUMBER(SEARCH('Target &amp; Team Lists'!$N$5:$N$60,(E721&amp;" "&amp;F721))))&gt;0,SUMPRODUCT(('Target &amp; Team Lists'!$O$5:$O$60&lt;&gt;"")*ISNUMBER(SEARCH('Target &amp; Team Lists'!$O$5:$O$60,(E721&amp;" "&amp;F721))))=0),"Yes","No"))))</f>
        <v/>
      </c>
      <c r="Q721" s="32"/>
    </row>
    <row r="722" customFormat="false" ht="15" hidden="false" customHeight="false" outlineLevel="0" collapsed="false">
      <c r="A722" s="30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3" t="str">
        <f aca="false">IF(D722="","",IF(SUM(I722:L722)&gt;0,1,0))</f>
        <v/>
      </c>
      <c r="O722" s="34" t="str">
        <f aca="false">IF(D722="","",IF(OR(COUNTIF('Target &amp; Team Lists'!$J$5:$J$204,D722)&gt;0,AND(H722&lt;&gt;"",COUNTIF('Target &amp; Team Lists'!$L$5:$L$204,H722)&gt;0),ISNUMBER(SEARCH("alpha nodus",(E722&amp;" "&amp;F722))),ISNUMBER(SEARCH("alphanodus",(E722&amp;" "&amp;F722)))),"Yes","No"))</f>
        <v/>
      </c>
      <c r="P722" s="34" t="str">
        <f aca="false">IF(D722="","",IF(O722="Yes","No",IF(OR(AND(F722&lt;&gt;"",COUNTIF('Target &amp; Team Lists'!$A$5:$A$504,F722)&gt;0),COUNTIF('Target &amp; Team Lists'!$E$5:$E$504,D722)&gt;0),"Yes",IF(AND(SUMPRODUCT(('Target &amp; Team Lists'!$N$5:$N$60&lt;&gt;"")*ISNUMBER(SEARCH('Target &amp; Team Lists'!$N$5:$N$60,(E722&amp;" "&amp;F722))))&gt;0,SUMPRODUCT(('Target &amp; Team Lists'!$O$5:$O$60&lt;&gt;"")*ISNUMBER(SEARCH('Target &amp; Team Lists'!$O$5:$O$60,(E722&amp;" "&amp;F722))))=0),"Yes","No"))))</f>
        <v/>
      </c>
      <c r="Q722" s="32"/>
    </row>
    <row r="723" customFormat="false" ht="15" hidden="false" customHeight="false" outlineLevel="0" collapsed="false">
      <c r="A723" s="30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3" t="str">
        <f aca="false">IF(D723="","",IF(SUM(I723:L723)&gt;0,1,0))</f>
        <v/>
      </c>
      <c r="O723" s="34" t="str">
        <f aca="false">IF(D723="","",IF(OR(COUNTIF('Target &amp; Team Lists'!$J$5:$J$204,D723)&gt;0,AND(H723&lt;&gt;"",COUNTIF('Target &amp; Team Lists'!$L$5:$L$204,H723)&gt;0),ISNUMBER(SEARCH("alpha nodus",(E723&amp;" "&amp;F723))),ISNUMBER(SEARCH("alphanodus",(E723&amp;" "&amp;F723)))),"Yes","No"))</f>
        <v/>
      </c>
      <c r="P723" s="34" t="str">
        <f aca="false">IF(D723="","",IF(O723="Yes","No",IF(OR(AND(F723&lt;&gt;"",COUNTIF('Target &amp; Team Lists'!$A$5:$A$504,F723)&gt;0),COUNTIF('Target &amp; Team Lists'!$E$5:$E$504,D723)&gt;0),"Yes",IF(AND(SUMPRODUCT(('Target &amp; Team Lists'!$N$5:$N$60&lt;&gt;"")*ISNUMBER(SEARCH('Target &amp; Team Lists'!$N$5:$N$60,(E723&amp;" "&amp;F723))))&gt;0,SUMPRODUCT(('Target &amp; Team Lists'!$O$5:$O$60&lt;&gt;"")*ISNUMBER(SEARCH('Target &amp; Team Lists'!$O$5:$O$60,(E723&amp;" "&amp;F723))))=0),"Yes","No"))))</f>
        <v/>
      </c>
      <c r="Q723" s="32"/>
    </row>
    <row r="724" customFormat="false" ht="15" hidden="false" customHeight="false" outlineLevel="0" collapsed="false">
      <c r="A724" s="30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3" t="str">
        <f aca="false">IF(D724="","",IF(SUM(I724:L724)&gt;0,1,0))</f>
        <v/>
      </c>
      <c r="O724" s="34" t="str">
        <f aca="false">IF(D724="","",IF(OR(COUNTIF('Target &amp; Team Lists'!$J$5:$J$204,D724)&gt;0,AND(H724&lt;&gt;"",COUNTIF('Target &amp; Team Lists'!$L$5:$L$204,H724)&gt;0),ISNUMBER(SEARCH("alpha nodus",(E724&amp;" "&amp;F724))),ISNUMBER(SEARCH("alphanodus",(E724&amp;" "&amp;F724)))),"Yes","No"))</f>
        <v/>
      </c>
      <c r="P724" s="34" t="str">
        <f aca="false">IF(D724="","",IF(O724="Yes","No",IF(OR(AND(F724&lt;&gt;"",COUNTIF('Target &amp; Team Lists'!$A$5:$A$504,F724)&gt;0),COUNTIF('Target &amp; Team Lists'!$E$5:$E$504,D724)&gt;0),"Yes",IF(AND(SUMPRODUCT(('Target &amp; Team Lists'!$N$5:$N$60&lt;&gt;"")*ISNUMBER(SEARCH('Target &amp; Team Lists'!$N$5:$N$60,(E724&amp;" "&amp;F724))))&gt;0,SUMPRODUCT(('Target &amp; Team Lists'!$O$5:$O$60&lt;&gt;"")*ISNUMBER(SEARCH('Target &amp; Team Lists'!$O$5:$O$60,(E724&amp;" "&amp;F724))))=0),"Yes","No"))))</f>
        <v/>
      </c>
      <c r="Q724" s="32"/>
    </row>
    <row r="725" customFormat="false" ht="15" hidden="false" customHeight="false" outlineLevel="0" collapsed="false">
      <c r="A725" s="30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3" t="str">
        <f aca="false">IF(D725="","",IF(SUM(I725:L725)&gt;0,1,0))</f>
        <v/>
      </c>
      <c r="O725" s="34" t="str">
        <f aca="false">IF(D725="","",IF(OR(COUNTIF('Target &amp; Team Lists'!$J$5:$J$204,D725)&gt;0,AND(H725&lt;&gt;"",COUNTIF('Target &amp; Team Lists'!$L$5:$L$204,H725)&gt;0),ISNUMBER(SEARCH("alpha nodus",(E725&amp;" "&amp;F725))),ISNUMBER(SEARCH("alphanodus",(E725&amp;" "&amp;F725)))),"Yes","No"))</f>
        <v/>
      </c>
      <c r="P725" s="34" t="str">
        <f aca="false">IF(D725="","",IF(O725="Yes","No",IF(OR(AND(F725&lt;&gt;"",COUNTIF('Target &amp; Team Lists'!$A$5:$A$504,F725)&gt;0),COUNTIF('Target &amp; Team Lists'!$E$5:$E$504,D725)&gt;0),"Yes",IF(AND(SUMPRODUCT(('Target &amp; Team Lists'!$N$5:$N$60&lt;&gt;"")*ISNUMBER(SEARCH('Target &amp; Team Lists'!$N$5:$N$60,(E725&amp;" "&amp;F725))))&gt;0,SUMPRODUCT(('Target &amp; Team Lists'!$O$5:$O$60&lt;&gt;"")*ISNUMBER(SEARCH('Target &amp; Team Lists'!$O$5:$O$60,(E725&amp;" "&amp;F725))))=0),"Yes","No"))))</f>
        <v/>
      </c>
      <c r="Q725" s="32"/>
    </row>
    <row r="726" customFormat="false" ht="15" hidden="false" customHeight="false" outlineLevel="0" collapsed="false">
      <c r="A726" s="30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3" t="str">
        <f aca="false">IF(D726="","",IF(SUM(I726:L726)&gt;0,1,0))</f>
        <v/>
      </c>
      <c r="O726" s="34" t="str">
        <f aca="false">IF(D726="","",IF(OR(COUNTIF('Target &amp; Team Lists'!$J$5:$J$204,D726)&gt;0,AND(H726&lt;&gt;"",COUNTIF('Target &amp; Team Lists'!$L$5:$L$204,H726)&gt;0),ISNUMBER(SEARCH("alpha nodus",(E726&amp;" "&amp;F726))),ISNUMBER(SEARCH("alphanodus",(E726&amp;" "&amp;F726)))),"Yes","No"))</f>
        <v/>
      </c>
      <c r="P726" s="34" t="str">
        <f aca="false">IF(D726="","",IF(O726="Yes","No",IF(OR(AND(F726&lt;&gt;"",COUNTIF('Target &amp; Team Lists'!$A$5:$A$504,F726)&gt;0),COUNTIF('Target &amp; Team Lists'!$E$5:$E$504,D726)&gt;0),"Yes",IF(AND(SUMPRODUCT(('Target &amp; Team Lists'!$N$5:$N$60&lt;&gt;"")*ISNUMBER(SEARCH('Target &amp; Team Lists'!$N$5:$N$60,(E726&amp;" "&amp;F726))))&gt;0,SUMPRODUCT(('Target &amp; Team Lists'!$O$5:$O$60&lt;&gt;"")*ISNUMBER(SEARCH('Target &amp; Team Lists'!$O$5:$O$60,(E726&amp;" "&amp;F726))))=0),"Yes","No"))))</f>
        <v/>
      </c>
      <c r="Q726" s="32"/>
    </row>
    <row r="727" customFormat="false" ht="15" hidden="false" customHeight="false" outlineLevel="0" collapsed="false">
      <c r="A727" s="30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3" t="str">
        <f aca="false">IF(D727="","",IF(SUM(I727:L727)&gt;0,1,0))</f>
        <v/>
      </c>
      <c r="O727" s="34" t="str">
        <f aca="false">IF(D727="","",IF(OR(COUNTIF('Target &amp; Team Lists'!$J$5:$J$204,D727)&gt;0,AND(H727&lt;&gt;"",COUNTIF('Target &amp; Team Lists'!$L$5:$L$204,H727)&gt;0),ISNUMBER(SEARCH("alpha nodus",(E727&amp;" "&amp;F727))),ISNUMBER(SEARCH("alphanodus",(E727&amp;" "&amp;F727)))),"Yes","No"))</f>
        <v/>
      </c>
      <c r="P727" s="34" t="str">
        <f aca="false">IF(D727="","",IF(O727="Yes","No",IF(OR(AND(F727&lt;&gt;"",COUNTIF('Target &amp; Team Lists'!$A$5:$A$504,F727)&gt;0),COUNTIF('Target &amp; Team Lists'!$E$5:$E$504,D727)&gt;0),"Yes",IF(AND(SUMPRODUCT(('Target &amp; Team Lists'!$N$5:$N$60&lt;&gt;"")*ISNUMBER(SEARCH('Target &amp; Team Lists'!$N$5:$N$60,(E727&amp;" "&amp;F727))))&gt;0,SUMPRODUCT(('Target &amp; Team Lists'!$O$5:$O$60&lt;&gt;"")*ISNUMBER(SEARCH('Target &amp; Team Lists'!$O$5:$O$60,(E727&amp;" "&amp;F727))))=0),"Yes","No"))))</f>
        <v/>
      </c>
      <c r="Q727" s="32"/>
    </row>
    <row r="728" customFormat="false" ht="15" hidden="false" customHeight="false" outlineLevel="0" collapsed="false">
      <c r="A728" s="30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3" t="str">
        <f aca="false">IF(D728="","",IF(SUM(I728:L728)&gt;0,1,0))</f>
        <v/>
      </c>
      <c r="O728" s="34" t="str">
        <f aca="false">IF(D728="","",IF(OR(COUNTIF('Target &amp; Team Lists'!$J$5:$J$204,D728)&gt;0,AND(H728&lt;&gt;"",COUNTIF('Target &amp; Team Lists'!$L$5:$L$204,H728)&gt;0),ISNUMBER(SEARCH("alpha nodus",(E728&amp;" "&amp;F728))),ISNUMBER(SEARCH("alphanodus",(E728&amp;" "&amp;F728)))),"Yes","No"))</f>
        <v/>
      </c>
      <c r="P728" s="34" t="str">
        <f aca="false">IF(D728="","",IF(O728="Yes","No",IF(OR(AND(F728&lt;&gt;"",COUNTIF('Target &amp; Team Lists'!$A$5:$A$504,F728)&gt;0),COUNTIF('Target &amp; Team Lists'!$E$5:$E$504,D728)&gt;0),"Yes",IF(AND(SUMPRODUCT(('Target &amp; Team Lists'!$N$5:$N$60&lt;&gt;"")*ISNUMBER(SEARCH('Target &amp; Team Lists'!$N$5:$N$60,(E728&amp;" "&amp;F728))))&gt;0,SUMPRODUCT(('Target &amp; Team Lists'!$O$5:$O$60&lt;&gt;"")*ISNUMBER(SEARCH('Target &amp; Team Lists'!$O$5:$O$60,(E728&amp;" "&amp;F728))))=0),"Yes","No"))))</f>
        <v/>
      </c>
      <c r="Q728" s="32"/>
    </row>
    <row r="729" customFormat="false" ht="15" hidden="false" customHeight="false" outlineLevel="0" collapsed="false">
      <c r="A729" s="30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3" t="str">
        <f aca="false">IF(D729="","",IF(SUM(I729:L729)&gt;0,1,0))</f>
        <v/>
      </c>
      <c r="O729" s="34" t="str">
        <f aca="false">IF(D729="","",IF(OR(COUNTIF('Target &amp; Team Lists'!$J$5:$J$204,D729)&gt;0,AND(H729&lt;&gt;"",COUNTIF('Target &amp; Team Lists'!$L$5:$L$204,H729)&gt;0),ISNUMBER(SEARCH("alpha nodus",(E729&amp;" "&amp;F729))),ISNUMBER(SEARCH("alphanodus",(E729&amp;" "&amp;F729)))),"Yes","No"))</f>
        <v/>
      </c>
      <c r="P729" s="34" t="str">
        <f aca="false">IF(D729="","",IF(O729="Yes","No",IF(OR(AND(F729&lt;&gt;"",COUNTIF('Target &amp; Team Lists'!$A$5:$A$504,F729)&gt;0),COUNTIF('Target &amp; Team Lists'!$E$5:$E$504,D729)&gt;0),"Yes",IF(AND(SUMPRODUCT(('Target &amp; Team Lists'!$N$5:$N$60&lt;&gt;"")*ISNUMBER(SEARCH('Target &amp; Team Lists'!$N$5:$N$60,(E729&amp;" "&amp;F729))))&gt;0,SUMPRODUCT(('Target &amp; Team Lists'!$O$5:$O$60&lt;&gt;"")*ISNUMBER(SEARCH('Target &amp; Team Lists'!$O$5:$O$60,(E729&amp;" "&amp;F729))))=0),"Yes","No"))))</f>
        <v/>
      </c>
      <c r="Q729" s="32"/>
    </row>
    <row r="730" customFormat="false" ht="15" hidden="false" customHeight="false" outlineLevel="0" collapsed="false">
      <c r="A730" s="30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3" t="str">
        <f aca="false">IF(D730="","",IF(SUM(I730:L730)&gt;0,1,0))</f>
        <v/>
      </c>
      <c r="O730" s="34" t="str">
        <f aca="false">IF(D730="","",IF(OR(COUNTIF('Target &amp; Team Lists'!$J$5:$J$204,D730)&gt;0,AND(H730&lt;&gt;"",COUNTIF('Target &amp; Team Lists'!$L$5:$L$204,H730)&gt;0),ISNUMBER(SEARCH("alpha nodus",(E730&amp;" "&amp;F730))),ISNUMBER(SEARCH("alphanodus",(E730&amp;" "&amp;F730)))),"Yes","No"))</f>
        <v/>
      </c>
      <c r="P730" s="34" t="str">
        <f aca="false">IF(D730="","",IF(O730="Yes","No",IF(OR(AND(F730&lt;&gt;"",COUNTIF('Target &amp; Team Lists'!$A$5:$A$504,F730)&gt;0),COUNTIF('Target &amp; Team Lists'!$E$5:$E$504,D730)&gt;0),"Yes",IF(AND(SUMPRODUCT(('Target &amp; Team Lists'!$N$5:$N$60&lt;&gt;"")*ISNUMBER(SEARCH('Target &amp; Team Lists'!$N$5:$N$60,(E730&amp;" "&amp;F730))))&gt;0,SUMPRODUCT(('Target &amp; Team Lists'!$O$5:$O$60&lt;&gt;"")*ISNUMBER(SEARCH('Target &amp; Team Lists'!$O$5:$O$60,(E730&amp;" "&amp;F730))))=0),"Yes","No"))))</f>
        <v/>
      </c>
      <c r="Q730" s="32"/>
    </row>
    <row r="731" customFormat="false" ht="15" hidden="false" customHeight="false" outlineLevel="0" collapsed="false">
      <c r="A731" s="30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3" t="str">
        <f aca="false">IF(D731="","",IF(SUM(I731:L731)&gt;0,1,0))</f>
        <v/>
      </c>
      <c r="O731" s="34" t="str">
        <f aca="false">IF(D731="","",IF(OR(COUNTIF('Target &amp; Team Lists'!$J$5:$J$204,D731)&gt;0,AND(H731&lt;&gt;"",COUNTIF('Target &amp; Team Lists'!$L$5:$L$204,H731)&gt;0),ISNUMBER(SEARCH("alpha nodus",(E731&amp;" "&amp;F731))),ISNUMBER(SEARCH("alphanodus",(E731&amp;" "&amp;F731)))),"Yes","No"))</f>
        <v/>
      </c>
      <c r="P731" s="34" t="str">
        <f aca="false">IF(D731="","",IF(O731="Yes","No",IF(OR(AND(F731&lt;&gt;"",COUNTIF('Target &amp; Team Lists'!$A$5:$A$504,F731)&gt;0),COUNTIF('Target &amp; Team Lists'!$E$5:$E$504,D731)&gt;0),"Yes",IF(AND(SUMPRODUCT(('Target &amp; Team Lists'!$N$5:$N$60&lt;&gt;"")*ISNUMBER(SEARCH('Target &amp; Team Lists'!$N$5:$N$60,(E731&amp;" "&amp;F731))))&gt;0,SUMPRODUCT(('Target &amp; Team Lists'!$O$5:$O$60&lt;&gt;"")*ISNUMBER(SEARCH('Target &amp; Team Lists'!$O$5:$O$60,(E731&amp;" "&amp;F731))))=0),"Yes","No"))))</f>
        <v/>
      </c>
      <c r="Q731" s="32"/>
    </row>
    <row r="732" customFormat="false" ht="15" hidden="false" customHeight="false" outlineLevel="0" collapsed="false">
      <c r="A732" s="30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3" t="str">
        <f aca="false">IF(D732="","",IF(SUM(I732:L732)&gt;0,1,0))</f>
        <v/>
      </c>
      <c r="O732" s="34" t="str">
        <f aca="false">IF(D732="","",IF(OR(COUNTIF('Target &amp; Team Lists'!$J$5:$J$204,D732)&gt;0,AND(H732&lt;&gt;"",COUNTIF('Target &amp; Team Lists'!$L$5:$L$204,H732)&gt;0),ISNUMBER(SEARCH("alpha nodus",(E732&amp;" "&amp;F732))),ISNUMBER(SEARCH("alphanodus",(E732&amp;" "&amp;F732)))),"Yes","No"))</f>
        <v/>
      </c>
      <c r="P732" s="34" t="str">
        <f aca="false">IF(D732="","",IF(O732="Yes","No",IF(OR(AND(F732&lt;&gt;"",COUNTIF('Target &amp; Team Lists'!$A$5:$A$504,F732)&gt;0),COUNTIF('Target &amp; Team Lists'!$E$5:$E$504,D732)&gt;0),"Yes",IF(AND(SUMPRODUCT(('Target &amp; Team Lists'!$N$5:$N$60&lt;&gt;"")*ISNUMBER(SEARCH('Target &amp; Team Lists'!$N$5:$N$60,(E732&amp;" "&amp;F732))))&gt;0,SUMPRODUCT(('Target &amp; Team Lists'!$O$5:$O$60&lt;&gt;"")*ISNUMBER(SEARCH('Target &amp; Team Lists'!$O$5:$O$60,(E732&amp;" "&amp;F732))))=0),"Yes","No"))))</f>
        <v/>
      </c>
      <c r="Q732" s="32"/>
    </row>
    <row r="733" customFormat="false" ht="15" hidden="false" customHeight="false" outlineLevel="0" collapsed="false">
      <c r="A733" s="30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3" t="str">
        <f aca="false">IF(D733="","",IF(SUM(I733:L733)&gt;0,1,0))</f>
        <v/>
      </c>
      <c r="O733" s="34" t="str">
        <f aca="false">IF(D733="","",IF(OR(COUNTIF('Target &amp; Team Lists'!$J$5:$J$204,D733)&gt;0,AND(H733&lt;&gt;"",COUNTIF('Target &amp; Team Lists'!$L$5:$L$204,H733)&gt;0),ISNUMBER(SEARCH("alpha nodus",(E733&amp;" "&amp;F733))),ISNUMBER(SEARCH("alphanodus",(E733&amp;" "&amp;F733)))),"Yes","No"))</f>
        <v/>
      </c>
      <c r="P733" s="34" t="str">
        <f aca="false">IF(D733="","",IF(O733="Yes","No",IF(OR(AND(F733&lt;&gt;"",COUNTIF('Target &amp; Team Lists'!$A$5:$A$504,F733)&gt;0),COUNTIF('Target &amp; Team Lists'!$E$5:$E$504,D733)&gt;0),"Yes",IF(AND(SUMPRODUCT(('Target &amp; Team Lists'!$N$5:$N$60&lt;&gt;"")*ISNUMBER(SEARCH('Target &amp; Team Lists'!$N$5:$N$60,(E733&amp;" "&amp;F733))))&gt;0,SUMPRODUCT(('Target &amp; Team Lists'!$O$5:$O$60&lt;&gt;"")*ISNUMBER(SEARCH('Target &amp; Team Lists'!$O$5:$O$60,(E733&amp;" "&amp;F733))))=0),"Yes","No"))))</f>
        <v/>
      </c>
      <c r="Q733" s="32"/>
    </row>
    <row r="734" customFormat="false" ht="15" hidden="false" customHeight="false" outlineLevel="0" collapsed="false">
      <c r="A734" s="30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3" t="str">
        <f aca="false">IF(D734="","",IF(SUM(I734:L734)&gt;0,1,0))</f>
        <v/>
      </c>
      <c r="O734" s="34" t="str">
        <f aca="false">IF(D734="","",IF(OR(COUNTIF('Target &amp; Team Lists'!$J$5:$J$204,D734)&gt;0,AND(H734&lt;&gt;"",COUNTIF('Target &amp; Team Lists'!$L$5:$L$204,H734)&gt;0),ISNUMBER(SEARCH("alpha nodus",(E734&amp;" "&amp;F734))),ISNUMBER(SEARCH("alphanodus",(E734&amp;" "&amp;F734)))),"Yes","No"))</f>
        <v/>
      </c>
      <c r="P734" s="34" t="str">
        <f aca="false">IF(D734="","",IF(O734="Yes","No",IF(OR(AND(F734&lt;&gt;"",COUNTIF('Target &amp; Team Lists'!$A$5:$A$504,F734)&gt;0),COUNTIF('Target &amp; Team Lists'!$E$5:$E$504,D734)&gt;0),"Yes",IF(AND(SUMPRODUCT(('Target &amp; Team Lists'!$N$5:$N$60&lt;&gt;"")*ISNUMBER(SEARCH('Target &amp; Team Lists'!$N$5:$N$60,(E734&amp;" "&amp;F734))))&gt;0,SUMPRODUCT(('Target &amp; Team Lists'!$O$5:$O$60&lt;&gt;"")*ISNUMBER(SEARCH('Target &amp; Team Lists'!$O$5:$O$60,(E734&amp;" "&amp;F734))))=0),"Yes","No"))))</f>
        <v/>
      </c>
      <c r="Q734" s="32"/>
    </row>
    <row r="735" customFormat="false" ht="15" hidden="false" customHeight="false" outlineLevel="0" collapsed="false">
      <c r="A735" s="30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3" t="str">
        <f aca="false">IF(D735="","",IF(SUM(I735:L735)&gt;0,1,0))</f>
        <v/>
      </c>
      <c r="O735" s="34" t="str">
        <f aca="false">IF(D735="","",IF(OR(COUNTIF('Target &amp; Team Lists'!$J$5:$J$204,D735)&gt;0,AND(H735&lt;&gt;"",COUNTIF('Target &amp; Team Lists'!$L$5:$L$204,H735)&gt;0),ISNUMBER(SEARCH("alpha nodus",(E735&amp;" "&amp;F735))),ISNUMBER(SEARCH("alphanodus",(E735&amp;" "&amp;F735)))),"Yes","No"))</f>
        <v/>
      </c>
      <c r="P735" s="34" t="str">
        <f aca="false">IF(D735="","",IF(O735="Yes","No",IF(OR(AND(F735&lt;&gt;"",COUNTIF('Target &amp; Team Lists'!$A$5:$A$504,F735)&gt;0),COUNTIF('Target &amp; Team Lists'!$E$5:$E$504,D735)&gt;0),"Yes",IF(AND(SUMPRODUCT(('Target &amp; Team Lists'!$N$5:$N$60&lt;&gt;"")*ISNUMBER(SEARCH('Target &amp; Team Lists'!$N$5:$N$60,(E735&amp;" "&amp;F735))))&gt;0,SUMPRODUCT(('Target &amp; Team Lists'!$O$5:$O$60&lt;&gt;"")*ISNUMBER(SEARCH('Target &amp; Team Lists'!$O$5:$O$60,(E735&amp;" "&amp;F735))))=0),"Yes","No"))))</f>
        <v/>
      </c>
      <c r="Q735" s="32"/>
    </row>
    <row r="736" customFormat="false" ht="15" hidden="false" customHeight="false" outlineLevel="0" collapsed="false">
      <c r="A736" s="30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3" t="str">
        <f aca="false">IF(D736="","",IF(SUM(I736:L736)&gt;0,1,0))</f>
        <v/>
      </c>
      <c r="O736" s="34" t="str">
        <f aca="false">IF(D736="","",IF(OR(COUNTIF('Target &amp; Team Lists'!$J$5:$J$204,D736)&gt;0,AND(H736&lt;&gt;"",COUNTIF('Target &amp; Team Lists'!$L$5:$L$204,H736)&gt;0),ISNUMBER(SEARCH("alpha nodus",(E736&amp;" "&amp;F736))),ISNUMBER(SEARCH("alphanodus",(E736&amp;" "&amp;F736)))),"Yes","No"))</f>
        <v/>
      </c>
      <c r="P736" s="34" t="str">
        <f aca="false">IF(D736="","",IF(O736="Yes","No",IF(OR(AND(F736&lt;&gt;"",COUNTIF('Target &amp; Team Lists'!$A$5:$A$504,F736)&gt;0),COUNTIF('Target &amp; Team Lists'!$E$5:$E$504,D736)&gt;0),"Yes",IF(AND(SUMPRODUCT(('Target &amp; Team Lists'!$N$5:$N$60&lt;&gt;"")*ISNUMBER(SEARCH('Target &amp; Team Lists'!$N$5:$N$60,(E736&amp;" "&amp;F736))))&gt;0,SUMPRODUCT(('Target &amp; Team Lists'!$O$5:$O$60&lt;&gt;"")*ISNUMBER(SEARCH('Target &amp; Team Lists'!$O$5:$O$60,(E736&amp;" "&amp;F736))))=0),"Yes","No"))))</f>
        <v/>
      </c>
      <c r="Q736" s="32"/>
    </row>
    <row r="737" customFormat="false" ht="15" hidden="false" customHeight="false" outlineLevel="0" collapsed="false">
      <c r="A737" s="30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3" t="str">
        <f aca="false">IF(D737="","",IF(SUM(I737:L737)&gt;0,1,0))</f>
        <v/>
      </c>
      <c r="O737" s="34" t="str">
        <f aca="false">IF(D737="","",IF(OR(COUNTIF('Target &amp; Team Lists'!$J$5:$J$204,D737)&gt;0,AND(H737&lt;&gt;"",COUNTIF('Target &amp; Team Lists'!$L$5:$L$204,H737)&gt;0),ISNUMBER(SEARCH("alpha nodus",(E737&amp;" "&amp;F737))),ISNUMBER(SEARCH("alphanodus",(E737&amp;" "&amp;F737)))),"Yes","No"))</f>
        <v/>
      </c>
      <c r="P737" s="34" t="str">
        <f aca="false">IF(D737="","",IF(O737="Yes","No",IF(OR(AND(F737&lt;&gt;"",COUNTIF('Target &amp; Team Lists'!$A$5:$A$504,F737)&gt;0),COUNTIF('Target &amp; Team Lists'!$E$5:$E$504,D737)&gt;0),"Yes",IF(AND(SUMPRODUCT(('Target &amp; Team Lists'!$N$5:$N$60&lt;&gt;"")*ISNUMBER(SEARCH('Target &amp; Team Lists'!$N$5:$N$60,(E737&amp;" "&amp;F737))))&gt;0,SUMPRODUCT(('Target &amp; Team Lists'!$O$5:$O$60&lt;&gt;"")*ISNUMBER(SEARCH('Target &amp; Team Lists'!$O$5:$O$60,(E737&amp;" "&amp;F737))))=0),"Yes","No"))))</f>
        <v/>
      </c>
      <c r="Q737" s="32"/>
    </row>
    <row r="738" customFormat="false" ht="15" hidden="false" customHeight="false" outlineLevel="0" collapsed="false">
      <c r="A738" s="30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3" t="str">
        <f aca="false">IF(D738="","",IF(SUM(I738:L738)&gt;0,1,0))</f>
        <v/>
      </c>
      <c r="O738" s="34" t="str">
        <f aca="false">IF(D738="","",IF(OR(COUNTIF('Target &amp; Team Lists'!$J$5:$J$204,D738)&gt;0,AND(H738&lt;&gt;"",COUNTIF('Target &amp; Team Lists'!$L$5:$L$204,H738)&gt;0),ISNUMBER(SEARCH("alpha nodus",(E738&amp;" "&amp;F738))),ISNUMBER(SEARCH("alphanodus",(E738&amp;" "&amp;F738)))),"Yes","No"))</f>
        <v/>
      </c>
      <c r="P738" s="34" t="str">
        <f aca="false">IF(D738="","",IF(O738="Yes","No",IF(OR(AND(F738&lt;&gt;"",COUNTIF('Target &amp; Team Lists'!$A$5:$A$504,F738)&gt;0),COUNTIF('Target &amp; Team Lists'!$E$5:$E$504,D738)&gt;0),"Yes",IF(AND(SUMPRODUCT(('Target &amp; Team Lists'!$N$5:$N$60&lt;&gt;"")*ISNUMBER(SEARCH('Target &amp; Team Lists'!$N$5:$N$60,(E738&amp;" "&amp;F738))))&gt;0,SUMPRODUCT(('Target &amp; Team Lists'!$O$5:$O$60&lt;&gt;"")*ISNUMBER(SEARCH('Target &amp; Team Lists'!$O$5:$O$60,(E738&amp;" "&amp;F738))))=0),"Yes","No"))))</f>
        <v/>
      </c>
      <c r="Q738" s="32"/>
    </row>
    <row r="739" customFormat="false" ht="15" hidden="false" customHeight="false" outlineLevel="0" collapsed="false">
      <c r="A739" s="30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3" t="str">
        <f aca="false">IF(D739="","",IF(SUM(I739:L739)&gt;0,1,0))</f>
        <v/>
      </c>
      <c r="O739" s="34" t="str">
        <f aca="false">IF(D739="","",IF(OR(COUNTIF('Target &amp; Team Lists'!$J$5:$J$204,D739)&gt;0,AND(H739&lt;&gt;"",COUNTIF('Target &amp; Team Lists'!$L$5:$L$204,H739)&gt;0),ISNUMBER(SEARCH("alpha nodus",(E739&amp;" "&amp;F739))),ISNUMBER(SEARCH("alphanodus",(E739&amp;" "&amp;F739)))),"Yes","No"))</f>
        <v/>
      </c>
      <c r="P739" s="34" t="str">
        <f aca="false">IF(D739="","",IF(O739="Yes","No",IF(OR(AND(F739&lt;&gt;"",COUNTIF('Target &amp; Team Lists'!$A$5:$A$504,F739)&gt;0),COUNTIF('Target &amp; Team Lists'!$E$5:$E$504,D739)&gt;0),"Yes",IF(AND(SUMPRODUCT(('Target &amp; Team Lists'!$N$5:$N$60&lt;&gt;"")*ISNUMBER(SEARCH('Target &amp; Team Lists'!$N$5:$N$60,(E739&amp;" "&amp;F739))))&gt;0,SUMPRODUCT(('Target &amp; Team Lists'!$O$5:$O$60&lt;&gt;"")*ISNUMBER(SEARCH('Target &amp; Team Lists'!$O$5:$O$60,(E739&amp;" "&amp;F739))))=0),"Yes","No"))))</f>
        <v/>
      </c>
      <c r="Q739" s="32"/>
    </row>
    <row r="740" customFormat="false" ht="15" hidden="false" customHeight="false" outlineLevel="0" collapsed="false">
      <c r="A740" s="30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3" t="str">
        <f aca="false">IF(D740="","",IF(SUM(I740:L740)&gt;0,1,0))</f>
        <v/>
      </c>
      <c r="O740" s="34" t="str">
        <f aca="false">IF(D740="","",IF(OR(COUNTIF('Target &amp; Team Lists'!$J$5:$J$204,D740)&gt;0,AND(H740&lt;&gt;"",COUNTIF('Target &amp; Team Lists'!$L$5:$L$204,H740)&gt;0),ISNUMBER(SEARCH("alpha nodus",(E740&amp;" "&amp;F740))),ISNUMBER(SEARCH("alphanodus",(E740&amp;" "&amp;F740)))),"Yes","No"))</f>
        <v/>
      </c>
      <c r="P740" s="34" t="str">
        <f aca="false">IF(D740="","",IF(O740="Yes","No",IF(OR(AND(F740&lt;&gt;"",COUNTIF('Target &amp; Team Lists'!$A$5:$A$504,F740)&gt;0),COUNTIF('Target &amp; Team Lists'!$E$5:$E$504,D740)&gt;0),"Yes",IF(AND(SUMPRODUCT(('Target &amp; Team Lists'!$N$5:$N$60&lt;&gt;"")*ISNUMBER(SEARCH('Target &amp; Team Lists'!$N$5:$N$60,(E740&amp;" "&amp;F740))))&gt;0,SUMPRODUCT(('Target &amp; Team Lists'!$O$5:$O$60&lt;&gt;"")*ISNUMBER(SEARCH('Target &amp; Team Lists'!$O$5:$O$60,(E740&amp;" "&amp;F740))))=0),"Yes","No"))))</f>
        <v/>
      </c>
      <c r="Q740" s="32"/>
    </row>
    <row r="741" customFormat="false" ht="15" hidden="false" customHeight="false" outlineLevel="0" collapsed="false">
      <c r="A741" s="30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3" t="str">
        <f aca="false">IF(D741="","",IF(SUM(I741:L741)&gt;0,1,0))</f>
        <v/>
      </c>
      <c r="O741" s="34" t="str">
        <f aca="false">IF(D741="","",IF(OR(COUNTIF('Target &amp; Team Lists'!$J$5:$J$204,D741)&gt;0,AND(H741&lt;&gt;"",COUNTIF('Target &amp; Team Lists'!$L$5:$L$204,H741)&gt;0),ISNUMBER(SEARCH("alpha nodus",(E741&amp;" "&amp;F741))),ISNUMBER(SEARCH("alphanodus",(E741&amp;" "&amp;F741)))),"Yes","No"))</f>
        <v/>
      </c>
      <c r="P741" s="34" t="str">
        <f aca="false">IF(D741="","",IF(O741="Yes","No",IF(OR(AND(F741&lt;&gt;"",COUNTIF('Target &amp; Team Lists'!$A$5:$A$504,F741)&gt;0),COUNTIF('Target &amp; Team Lists'!$E$5:$E$504,D741)&gt;0),"Yes",IF(AND(SUMPRODUCT(('Target &amp; Team Lists'!$N$5:$N$60&lt;&gt;"")*ISNUMBER(SEARCH('Target &amp; Team Lists'!$N$5:$N$60,(E741&amp;" "&amp;F741))))&gt;0,SUMPRODUCT(('Target &amp; Team Lists'!$O$5:$O$60&lt;&gt;"")*ISNUMBER(SEARCH('Target &amp; Team Lists'!$O$5:$O$60,(E741&amp;" "&amp;F741))))=0),"Yes","No"))))</f>
        <v/>
      </c>
      <c r="Q741" s="32"/>
    </row>
    <row r="742" customFormat="false" ht="15" hidden="false" customHeight="false" outlineLevel="0" collapsed="false">
      <c r="A742" s="30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3" t="str">
        <f aca="false">IF(D742="","",IF(SUM(I742:L742)&gt;0,1,0))</f>
        <v/>
      </c>
      <c r="O742" s="34" t="str">
        <f aca="false">IF(D742="","",IF(OR(COUNTIF('Target &amp; Team Lists'!$J$5:$J$204,D742)&gt;0,AND(H742&lt;&gt;"",COUNTIF('Target &amp; Team Lists'!$L$5:$L$204,H742)&gt;0),ISNUMBER(SEARCH("alpha nodus",(E742&amp;" "&amp;F742))),ISNUMBER(SEARCH("alphanodus",(E742&amp;" "&amp;F742)))),"Yes","No"))</f>
        <v/>
      </c>
      <c r="P742" s="34" t="str">
        <f aca="false">IF(D742="","",IF(O742="Yes","No",IF(OR(AND(F742&lt;&gt;"",COUNTIF('Target &amp; Team Lists'!$A$5:$A$504,F742)&gt;0),COUNTIF('Target &amp; Team Lists'!$E$5:$E$504,D742)&gt;0),"Yes",IF(AND(SUMPRODUCT(('Target &amp; Team Lists'!$N$5:$N$60&lt;&gt;"")*ISNUMBER(SEARCH('Target &amp; Team Lists'!$N$5:$N$60,(E742&amp;" "&amp;F742))))&gt;0,SUMPRODUCT(('Target &amp; Team Lists'!$O$5:$O$60&lt;&gt;"")*ISNUMBER(SEARCH('Target &amp; Team Lists'!$O$5:$O$60,(E742&amp;" "&amp;F742))))=0),"Yes","No"))))</f>
        <v/>
      </c>
      <c r="Q742" s="32"/>
    </row>
    <row r="743" customFormat="false" ht="15" hidden="false" customHeight="false" outlineLevel="0" collapsed="false">
      <c r="A743" s="30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3" t="str">
        <f aca="false">IF(D743="","",IF(SUM(I743:L743)&gt;0,1,0))</f>
        <v/>
      </c>
      <c r="O743" s="34" t="str">
        <f aca="false">IF(D743="","",IF(OR(COUNTIF('Target &amp; Team Lists'!$J$5:$J$204,D743)&gt;0,AND(H743&lt;&gt;"",COUNTIF('Target &amp; Team Lists'!$L$5:$L$204,H743)&gt;0),ISNUMBER(SEARCH("alpha nodus",(E743&amp;" "&amp;F743))),ISNUMBER(SEARCH("alphanodus",(E743&amp;" "&amp;F743)))),"Yes","No"))</f>
        <v/>
      </c>
      <c r="P743" s="34" t="str">
        <f aca="false">IF(D743="","",IF(O743="Yes","No",IF(OR(AND(F743&lt;&gt;"",COUNTIF('Target &amp; Team Lists'!$A$5:$A$504,F743)&gt;0),COUNTIF('Target &amp; Team Lists'!$E$5:$E$504,D743)&gt;0),"Yes",IF(AND(SUMPRODUCT(('Target &amp; Team Lists'!$N$5:$N$60&lt;&gt;"")*ISNUMBER(SEARCH('Target &amp; Team Lists'!$N$5:$N$60,(E743&amp;" "&amp;F743))))&gt;0,SUMPRODUCT(('Target &amp; Team Lists'!$O$5:$O$60&lt;&gt;"")*ISNUMBER(SEARCH('Target &amp; Team Lists'!$O$5:$O$60,(E743&amp;" "&amp;F743))))=0),"Yes","No"))))</f>
        <v/>
      </c>
      <c r="Q743" s="32"/>
    </row>
    <row r="744" customFormat="false" ht="15" hidden="false" customHeight="false" outlineLevel="0" collapsed="false">
      <c r="A744" s="30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3" t="str">
        <f aca="false">IF(D744="","",IF(SUM(I744:L744)&gt;0,1,0))</f>
        <v/>
      </c>
      <c r="O744" s="34" t="str">
        <f aca="false">IF(D744="","",IF(OR(COUNTIF('Target &amp; Team Lists'!$J$5:$J$204,D744)&gt;0,AND(H744&lt;&gt;"",COUNTIF('Target &amp; Team Lists'!$L$5:$L$204,H744)&gt;0),ISNUMBER(SEARCH("alpha nodus",(E744&amp;" "&amp;F744))),ISNUMBER(SEARCH("alphanodus",(E744&amp;" "&amp;F744)))),"Yes","No"))</f>
        <v/>
      </c>
      <c r="P744" s="34" t="str">
        <f aca="false">IF(D744="","",IF(O744="Yes","No",IF(OR(AND(F744&lt;&gt;"",COUNTIF('Target &amp; Team Lists'!$A$5:$A$504,F744)&gt;0),COUNTIF('Target &amp; Team Lists'!$E$5:$E$504,D744)&gt;0),"Yes",IF(AND(SUMPRODUCT(('Target &amp; Team Lists'!$N$5:$N$60&lt;&gt;"")*ISNUMBER(SEARCH('Target &amp; Team Lists'!$N$5:$N$60,(E744&amp;" "&amp;F744))))&gt;0,SUMPRODUCT(('Target &amp; Team Lists'!$O$5:$O$60&lt;&gt;"")*ISNUMBER(SEARCH('Target &amp; Team Lists'!$O$5:$O$60,(E744&amp;" "&amp;F744))))=0),"Yes","No"))))</f>
        <v/>
      </c>
      <c r="Q744" s="32"/>
    </row>
    <row r="745" customFormat="false" ht="15" hidden="false" customHeight="false" outlineLevel="0" collapsed="false">
      <c r="A745" s="30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3" t="str">
        <f aca="false">IF(D745="","",IF(SUM(I745:L745)&gt;0,1,0))</f>
        <v/>
      </c>
      <c r="O745" s="34" t="str">
        <f aca="false">IF(D745="","",IF(OR(COUNTIF('Target &amp; Team Lists'!$J$5:$J$204,D745)&gt;0,AND(H745&lt;&gt;"",COUNTIF('Target &amp; Team Lists'!$L$5:$L$204,H745)&gt;0),ISNUMBER(SEARCH("alpha nodus",(E745&amp;" "&amp;F745))),ISNUMBER(SEARCH("alphanodus",(E745&amp;" "&amp;F745)))),"Yes","No"))</f>
        <v/>
      </c>
      <c r="P745" s="34" t="str">
        <f aca="false">IF(D745="","",IF(O745="Yes","No",IF(OR(AND(F745&lt;&gt;"",COUNTIF('Target &amp; Team Lists'!$A$5:$A$504,F745)&gt;0),COUNTIF('Target &amp; Team Lists'!$E$5:$E$504,D745)&gt;0),"Yes",IF(AND(SUMPRODUCT(('Target &amp; Team Lists'!$N$5:$N$60&lt;&gt;"")*ISNUMBER(SEARCH('Target &amp; Team Lists'!$N$5:$N$60,(E745&amp;" "&amp;F745))))&gt;0,SUMPRODUCT(('Target &amp; Team Lists'!$O$5:$O$60&lt;&gt;"")*ISNUMBER(SEARCH('Target &amp; Team Lists'!$O$5:$O$60,(E745&amp;" "&amp;F745))))=0),"Yes","No"))))</f>
        <v/>
      </c>
      <c r="Q745" s="32"/>
    </row>
    <row r="746" customFormat="false" ht="15" hidden="false" customHeight="false" outlineLevel="0" collapsed="false">
      <c r="A746" s="30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3" t="str">
        <f aca="false">IF(D746="","",IF(SUM(I746:L746)&gt;0,1,0))</f>
        <v/>
      </c>
      <c r="O746" s="34" t="str">
        <f aca="false">IF(D746="","",IF(OR(COUNTIF('Target &amp; Team Lists'!$J$5:$J$204,D746)&gt;0,AND(H746&lt;&gt;"",COUNTIF('Target &amp; Team Lists'!$L$5:$L$204,H746)&gt;0),ISNUMBER(SEARCH("alpha nodus",(E746&amp;" "&amp;F746))),ISNUMBER(SEARCH("alphanodus",(E746&amp;" "&amp;F746)))),"Yes","No"))</f>
        <v/>
      </c>
      <c r="P746" s="34" t="str">
        <f aca="false">IF(D746="","",IF(O746="Yes","No",IF(OR(AND(F746&lt;&gt;"",COUNTIF('Target &amp; Team Lists'!$A$5:$A$504,F746)&gt;0),COUNTIF('Target &amp; Team Lists'!$E$5:$E$504,D746)&gt;0),"Yes",IF(AND(SUMPRODUCT(('Target &amp; Team Lists'!$N$5:$N$60&lt;&gt;"")*ISNUMBER(SEARCH('Target &amp; Team Lists'!$N$5:$N$60,(E746&amp;" "&amp;F746))))&gt;0,SUMPRODUCT(('Target &amp; Team Lists'!$O$5:$O$60&lt;&gt;"")*ISNUMBER(SEARCH('Target &amp; Team Lists'!$O$5:$O$60,(E746&amp;" "&amp;F746))))=0),"Yes","No"))))</f>
        <v/>
      </c>
      <c r="Q746" s="32"/>
    </row>
    <row r="747" customFormat="false" ht="15" hidden="false" customHeight="false" outlineLevel="0" collapsed="false">
      <c r="A747" s="30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3" t="str">
        <f aca="false">IF(D747="","",IF(SUM(I747:L747)&gt;0,1,0))</f>
        <v/>
      </c>
      <c r="O747" s="34" t="str">
        <f aca="false">IF(D747="","",IF(OR(COUNTIF('Target &amp; Team Lists'!$J$5:$J$204,D747)&gt;0,AND(H747&lt;&gt;"",COUNTIF('Target &amp; Team Lists'!$L$5:$L$204,H747)&gt;0),ISNUMBER(SEARCH("alpha nodus",(E747&amp;" "&amp;F747))),ISNUMBER(SEARCH("alphanodus",(E747&amp;" "&amp;F747)))),"Yes","No"))</f>
        <v/>
      </c>
      <c r="P747" s="34" t="str">
        <f aca="false">IF(D747="","",IF(O747="Yes","No",IF(OR(AND(F747&lt;&gt;"",COUNTIF('Target &amp; Team Lists'!$A$5:$A$504,F747)&gt;0),COUNTIF('Target &amp; Team Lists'!$E$5:$E$504,D747)&gt;0),"Yes",IF(AND(SUMPRODUCT(('Target &amp; Team Lists'!$N$5:$N$60&lt;&gt;"")*ISNUMBER(SEARCH('Target &amp; Team Lists'!$N$5:$N$60,(E747&amp;" "&amp;F747))))&gt;0,SUMPRODUCT(('Target &amp; Team Lists'!$O$5:$O$60&lt;&gt;"")*ISNUMBER(SEARCH('Target &amp; Team Lists'!$O$5:$O$60,(E747&amp;" "&amp;F747))))=0),"Yes","No"))))</f>
        <v/>
      </c>
      <c r="Q747" s="32"/>
    </row>
    <row r="748" customFormat="false" ht="15" hidden="false" customHeight="false" outlineLevel="0" collapsed="false">
      <c r="A748" s="30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3" t="str">
        <f aca="false">IF(D748="","",IF(SUM(I748:L748)&gt;0,1,0))</f>
        <v/>
      </c>
      <c r="O748" s="34" t="str">
        <f aca="false">IF(D748="","",IF(OR(COUNTIF('Target &amp; Team Lists'!$J$5:$J$204,D748)&gt;0,AND(H748&lt;&gt;"",COUNTIF('Target &amp; Team Lists'!$L$5:$L$204,H748)&gt;0),ISNUMBER(SEARCH("alpha nodus",(E748&amp;" "&amp;F748))),ISNUMBER(SEARCH("alphanodus",(E748&amp;" "&amp;F748)))),"Yes","No"))</f>
        <v/>
      </c>
      <c r="P748" s="34" t="str">
        <f aca="false">IF(D748="","",IF(O748="Yes","No",IF(OR(AND(F748&lt;&gt;"",COUNTIF('Target &amp; Team Lists'!$A$5:$A$504,F748)&gt;0),COUNTIF('Target &amp; Team Lists'!$E$5:$E$504,D748)&gt;0),"Yes",IF(AND(SUMPRODUCT(('Target &amp; Team Lists'!$N$5:$N$60&lt;&gt;"")*ISNUMBER(SEARCH('Target &amp; Team Lists'!$N$5:$N$60,(E748&amp;" "&amp;F748))))&gt;0,SUMPRODUCT(('Target &amp; Team Lists'!$O$5:$O$60&lt;&gt;"")*ISNUMBER(SEARCH('Target &amp; Team Lists'!$O$5:$O$60,(E748&amp;" "&amp;F748))))=0),"Yes","No"))))</f>
        <v/>
      </c>
      <c r="Q748" s="32"/>
    </row>
    <row r="749" customFormat="false" ht="15" hidden="false" customHeight="false" outlineLevel="0" collapsed="false">
      <c r="A749" s="30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3" t="str">
        <f aca="false">IF(D749="","",IF(SUM(I749:L749)&gt;0,1,0))</f>
        <v/>
      </c>
      <c r="O749" s="34" t="str">
        <f aca="false">IF(D749="","",IF(OR(COUNTIF('Target &amp; Team Lists'!$J$5:$J$204,D749)&gt;0,AND(H749&lt;&gt;"",COUNTIF('Target &amp; Team Lists'!$L$5:$L$204,H749)&gt;0),ISNUMBER(SEARCH("alpha nodus",(E749&amp;" "&amp;F749))),ISNUMBER(SEARCH("alphanodus",(E749&amp;" "&amp;F749)))),"Yes","No"))</f>
        <v/>
      </c>
      <c r="P749" s="34" t="str">
        <f aca="false">IF(D749="","",IF(O749="Yes","No",IF(OR(AND(F749&lt;&gt;"",COUNTIF('Target &amp; Team Lists'!$A$5:$A$504,F749)&gt;0),COUNTIF('Target &amp; Team Lists'!$E$5:$E$504,D749)&gt;0),"Yes",IF(AND(SUMPRODUCT(('Target &amp; Team Lists'!$N$5:$N$60&lt;&gt;"")*ISNUMBER(SEARCH('Target &amp; Team Lists'!$N$5:$N$60,(E749&amp;" "&amp;F749))))&gt;0,SUMPRODUCT(('Target &amp; Team Lists'!$O$5:$O$60&lt;&gt;"")*ISNUMBER(SEARCH('Target &amp; Team Lists'!$O$5:$O$60,(E749&amp;" "&amp;F749))))=0),"Yes","No"))))</f>
        <v/>
      </c>
      <c r="Q749" s="32"/>
    </row>
    <row r="750" customFormat="false" ht="15" hidden="false" customHeight="false" outlineLevel="0" collapsed="false">
      <c r="A750" s="30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3" t="str">
        <f aca="false">IF(D750="","",IF(SUM(I750:L750)&gt;0,1,0))</f>
        <v/>
      </c>
      <c r="O750" s="34" t="str">
        <f aca="false">IF(D750="","",IF(OR(COUNTIF('Target &amp; Team Lists'!$J$5:$J$204,D750)&gt;0,AND(H750&lt;&gt;"",COUNTIF('Target &amp; Team Lists'!$L$5:$L$204,H750)&gt;0),ISNUMBER(SEARCH("alpha nodus",(E750&amp;" "&amp;F750))),ISNUMBER(SEARCH("alphanodus",(E750&amp;" "&amp;F750)))),"Yes","No"))</f>
        <v/>
      </c>
      <c r="P750" s="34" t="str">
        <f aca="false">IF(D750="","",IF(O750="Yes","No",IF(OR(AND(F750&lt;&gt;"",COUNTIF('Target &amp; Team Lists'!$A$5:$A$504,F750)&gt;0),COUNTIF('Target &amp; Team Lists'!$E$5:$E$504,D750)&gt;0),"Yes",IF(AND(SUMPRODUCT(('Target &amp; Team Lists'!$N$5:$N$60&lt;&gt;"")*ISNUMBER(SEARCH('Target &amp; Team Lists'!$N$5:$N$60,(E750&amp;" "&amp;F750))))&gt;0,SUMPRODUCT(('Target &amp; Team Lists'!$O$5:$O$60&lt;&gt;"")*ISNUMBER(SEARCH('Target &amp; Team Lists'!$O$5:$O$60,(E750&amp;" "&amp;F750))))=0),"Yes","No"))))</f>
        <v/>
      </c>
      <c r="Q750" s="32"/>
    </row>
    <row r="751" customFormat="false" ht="15" hidden="false" customHeight="false" outlineLevel="0" collapsed="false">
      <c r="A751" s="30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3" t="str">
        <f aca="false">IF(D751="","",IF(SUM(I751:L751)&gt;0,1,0))</f>
        <v/>
      </c>
      <c r="O751" s="34" t="str">
        <f aca="false">IF(D751="","",IF(OR(COUNTIF('Target &amp; Team Lists'!$J$5:$J$204,D751)&gt;0,AND(H751&lt;&gt;"",COUNTIF('Target &amp; Team Lists'!$L$5:$L$204,H751)&gt;0),ISNUMBER(SEARCH("alpha nodus",(E751&amp;" "&amp;F751))),ISNUMBER(SEARCH("alphanodus",(E751&amp;" "&amp;F751)))),"Yes","No"))</f>
        <v/>
      </c>
      <c r="P751" s="34" t="str">
        <f aca="false">IF(D751="","",IF(O751="Yes","No",IF(OR(AND(F751&lt;&gt;"",COUNTIF('Target &amp; Team Lists'!$A$5:$A$504,F751)&gt;0),COUNTIF('Target &amp; Team Lists'!$E$5:$E$504,D751)&gt;0),"Yes",IF(AND(SUMPRODUCT(('Target &amp; Team Lists'!$N$5:$N$60&lt;&gt;"")*ISNUMBER(SEARCH('Target &amp; Team Lists'!$N$5:$N$60,(E751&amp;" "&amp;F751))))&gt;0,SUMPRODUCT(('Target &amp; Team Lists'!$O$5:$O$60&lt;&gt;"")*ISNUMBER(SEARCH('Target &amp; Team Lists'!$O$5:$O$60,(E751&amp;" "&amp;F751))))=0),"Yes","No"))))</f>
        <v/>
      </c>
      <c r="Q751" s="32"/>
    </row>
    <row r="752" customFormat="false" ht="15" hidden="false" customHeight="false" outlineLevel="0" collapsed="false">
      <c r="A752" s="30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3" t="str">
        <f aca="false">IF(D752="","",IF(SUM(I752:L752)&gt;0,1,0))</f>
        <v/>
      </c>
      <c r="O752" s="34" t="str">
        <f aca="false">IF(D752="","",IF(OR(COUNTIF('Target &amp; Team Lists'!$J$5:$J$204,D752)&gt;0,AND(H752&lt;&gt;"",COUNTIF('Target &amp; Team Lists'!$L$5:$L$204,H752)&gt;0),ISNUMBER(SEARCH("alpha nodus",(E752&amp;" "&amp;F752))),ISNUMBER(SEARCH("alphanodus",(E752&amp;" "&amp;F752)))),"Yes","No"))</f>
        <v/>
      </c>
      <c r="P752" s="34" t="str">
        <f aca="false">IF(D752="","",IF(O752="Yes","No",IF(OR(AND(F752&lt;&gt;"",COUNTIF('Target &amp; Team Lists'!$A$5:$A$504,F752)&gt;0),COUNTIF('Target &amp; Team Lists'!$E$5:$E$504,D752)&gt;0),"Yes",IF(AND(SUMPRODUCT(('Target &amp; Team Lists'!$N$5:$N$60&lt;&gt;"")*ISNUMBER(SEARCH('Target &amp; Team Lists'!$N$5:$N$60,(E752&amp;" "&amp;F752))))&gt;0,SUMPRODUCT(('Target &amp; Team Lists'!$O$5:$O$60&lt;&gt;"")*ISNUMBER(SEARCH('Target &amp; Team Lists'!$O$5:$O$60,(E752&amp;" "&amp;F752))))=0),"Yes","No"))))</f>
        <v/>
      </c>
      <c r="Q752" s="32"/>
    </row>
    <row r="753" customFormat="false" ht="15" hidden="false" customHeight="false" outlineLevel="0" collapsed="false">
      <c r="A753" s="30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3" t="str">
        <f aca="false">IF(D753="","",IF(SUM(I753:L753)&gt;0,1,0))</f>
        <v/>
      </c>
      <c r="O753" s="34" t="str">
        <f aca="false">IF(D753="","",IF(OR(COUNTIF('Target &amp; Team Lists'!$J$5:$J$204,D753)&gt;0,AND(H753&lt;&gt;"",COUNTIF('Target &amp; Team Lists'!$L$5:$L$204,H753)&gt;0),ISNUMBER(SEARCH("alpha nodus",(E753&amp;" "&amp;F753))),ISNUMBER(SEARCH("alphanodus",(E753&amp;" "&amp;F753)))),"Yes","No"))</f>
        <v/>
      </c>
      <c r="P753" s="34" t="str">
        <f aca="false">IF(D753="","",IF(O753="Yes","No",IF(OR(AND(F753&lt;&gt;"",COUNTIF('Target &amp; Team Lists'!$A$5:$A$504,F753)&gt;0),COUNTIF('Target &amp; Team Lists'!$E$5:$E$504,D753)&gt;0),"Yes",IF(AND(SUMPRODUCT(('Target &amp; Team Lists'!$N$5:$N$60&lt;&gt;"")*ISNUMBER(SEARCH('Target &amp; Team Lists'!$N$5:$N$60,(E753&amp;" "&amp;F753))))&gt;0,SUMPRODUCT(('Target &amp; Team Lists'!$O$5:$O$60&lt;&gt;"")*ISNUMBER(SEARCH('Target &amp; Team Lists'!$O$5:$O$60,(E753&amp;" "&amp;F753))))=0),"Yes","No"))))</f>
        <v/>
      </c>
      <c r="Q753" s="32"/>
    </row>
    <row r="754" customFormat="false" ht="15" hidden="false" customHeight="false" outlineLevel="0" collapsed="false">
      <c r="A754" s="30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3" t="str">
        <f aca="false">IF(D754="","",IF(SUM(I754:L754)&gt;0,1,0))</f>
        <v/>
      </c>
      <c r="O754" s="34" t="str">
        <f aca="false">IF(D754="","",IF(OR(COUNTIF('Target &amp; Team Lists'!$J$5:$J$204,D754)&gt;0,AND(H754&lt;&gt;"",COUNTIF('Target &amp; Team Lists'!$L$5:$L$204,H754)&gt;0),ISNUMBER(SEARCH("alpha nodus",(E754&amp;" "&amp;F754))),ISNUMBER(SEARCH("alphanodus",(E754&amp;" "&amp;F754)))),"Yes","No"))</f>
        <v/>
      </c>
      <c r="P754" s="34" t="str">
        <f aca="false">IF(D754="","",IF(O754="Yes","No",IF(OR(AND(F754&lt;&gt;"",COUNTIF('Target &amp; Team Lists'!$A$5:$A$504,F754)&gt;0),COUNTIF('Target &amp; Team Lists'!$E$5:$E$504,D754)&gt;0),"Yes",IF(AND(SUMPRODUCT(('Target &amp; Team Lists'!$N$5:$N$60&lt;&gt;"")*ISNUMBER(SEARCH('Target &amp; Team Lists'!$N$5:$N$60,(E754&amp;" "&amp;F754))))&gt;0,SUMPRODUCT(('Target &amp; Team Lists'!$O$5:$O$60&lt;&gt;"")*ISNUMBER(SEARCH('Target &amp; Team Lists'!$O$5:$O$60,(E754&amp;" "&amp;F754))))=0),"Yes","No"))))</f>
        <v/>
      </c>
      <c r="Q754" s="32"/>
    </row>
    <row r="755" customFormat="false" ht="15" hidden="false" customHeight="false" outlineLevel="0" collapsed="false">
      <c r="A755" s="30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3" t="str">
        <f aca="false">IF(D755="","",IF(SUM(I755:L755)&gt;0,1,0))</f>
        <v/>
      </c>
      <c r="O755" s="34" t="str">
        <f aca="false">IF(D755="","",IF(OR(COUNTIF('Target &amp; Team Lists'!$J$5:$J$204,D755)&gt;0,AND(H755&lt;&gt;"",COUNTIF('Target &amp; Team Lists'!$L$5:$L$204,H755)&gt;0),ISNUMBER(SEARCH("alpha nodus",(E755&amp;" "&amp;F755))),ISNUMBER(SEARCH("alphanodus",(E755&amp;" "&amp;F755)))),"Yes","No"))</f>
        <v/>
      </c>
      <c r="P755" s="34" t="str">
        <f aca="false">IF(D755="","",IF(O755="Yes","No",IF(OR(AND(F755&lt;&gt;"",COUNTIF('Target &amp; Team Lists'!$A$5:$A$504,F755)&gt;0),COUNTIF('Target &amp; Team Lists'!$E$5:$E$504,D755)&gt;0),"Yes",IF(AND(SUMPRODUCT(('Target &amp; Team Lists'!$N$5:$N$60&lt;&gt;"")*ISNUMBER(SEARCH('Target &amp; Team Lists'!$N$5:$N$60,(E755&amp;" "&amp;F755))))&gt;0,SUMPRODUCT(('Target &amp; Team Lists'!$O$5:$O$60&lt;&gt;"")*ISNUMBER(SEARCH('Target &amp; Team Lists'!$O$5:$O$60,(E755&amp;" "&amp;F755))))=0),"Yes","No"))))</f>
        <v/>
      </c>
      <c r="Q755" s="32"/>
    </row>
    <row r="756" customFormat="false" ht="15" hidden="false" customHeight="false" outlineLevel="0" collapsed="false">
      <c r="A756" s="30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3" t="str">
        <f aca="false">IF(D756="","",IF(SUM(I756:L756)&gt;0,1,0))</f>
        <v/>
      </c>
      <c r="O756" s="34" t="str">
        <f aca="false">IF(D756="","",IF(OR(COUNTIF('Target &amp; Team Lists'!$J$5:$J$204,D756)&gt;0,AND(H756&lt;&gt;"",COUNTIF('Target &amp; Team Lists'!$L$5:$L$204,H756)&gt;0),ISNUMBER(SEARCH("alpha nodus",(E756&amp;" "&amp;F756))),ISNUMBER(SEARCH("alphanodus",(E756&amp;" "&amp;F756)))),"Yes","No"))</f>
        <v/>
      </c>
      <c r="P756" s="34" t="str">
        <f aca="false">IF(D756="","",IF(O756="Yes","No",IF(OR(AND(F756&lt;&gt;"",COUNTIF('Target &amp; Team Lists'!$A$5:$A$504,F756)&gt;0),COUNTIF('Target &amp; Team Lists'!$E$5:$E$504,D756)&gt;0),"Yes",IF(AND(SUMPRODUCT(('Target &amp; Team Lists'!$N$5:$N$60&lt;&gt;"")*ISNUMBER(SEARCH('Target &amp; Team Lists'!$N$5:$N$60,(E756&amp;" "&amp;F756))))&gt;0,SUMPRODUCT(('Target &amp; Team Lists'!$O$5:$O$60&lt;&gt;"")*ISNUMBER(SEARCH('Target &amp; Team Lists'!$O$5:$O$60,(E756&amp;" "&amp;F756))))=0),"Yes","No"))))</f>
        <v/>
      </c>
      <c r="Q756" s="32"/>
    </row>
    <row r="757" customFormat="false" ht="15" hidden="false" customHeight="false" outlineLevel="0" collapsed="false">
      <c r="A757" s="30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3" t="str">
        <f aca="false">IF(D757="","",IF(SUM(I757:L757)&gt;0,1,0))</f>
        <v/>
      </c>
      <c r="O757" s="34" t="str">
        <f aca="false">IF(D757="","",IF(OR(COUNTIF('Target &amp; Team Lists'!$J$5:$J$204,D757)&gt;0,AND(H757&lt;&gt;"",COUNTIF('Target &amp; Team Lists'!$L$5:$L$204,H757)&gt;0),ISNUMBER(SEARCH("alpha nodus",(E757&amp;" "&amp;F757))),ISNUMBER(SEARCH("alphanodus",(E757&amp;" "&amp;F757)))),"Yes","No"))</f>
        <v/>
      </c>
      <c r="P757" s="34" t="str">
        <f aca="false">IF(D757="","",IF(O757="Yes","No",IF(OR(AND(F757&lt;&gt;"",COUNTIF('Target &amp; Team Lists'!$A$5:$A$504,F757)&gt;0),COUNTIF('Target &amp; Team Lists'!$E$5:$E$504,D757)&gt;0),"Yes",IF(AND(SUMPRODUCT(('Target &amp; Team Lists'!$N$5:$N$60&lt;&gt;"")*ISNUMBER(SEARCH('Target &amp; Team Lists'!$N$5:$N$60,(E757&amp;" "&amp;F757))))&gt;0,SUMPRODUCT(('Target &amp; Team Lists'!$O$5:$O$60&lt;&gt;"")*ISNUMBER(SEARCH('Target &amp; Team Lists'!$O$5:$O$60,(E757&amp;" "&amp;F757))))=0),"Yes","No"))))</f>
        <v/>
      </c>
      <c r="Q757" s="32"/>
    </row>
    <row r="758" customFormat="false" ht="15" hidden="false" customHeight="false" outlineLevel="0" collapsed="false">
      <c r="A758" s="30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3" t="str">
        <f aca="false">IF(D758="","",IF(SUM(I758:L758)&gt;0,1,0))</f>
        <v/>
      </c>
      <c r="O758" s="34" t="str">
        <f aca="false">IF(D758="","",IF(OR(COUNTIF('Target &amp; Team Lists'!$J$5:$J$204,D758)&gt;0,AND(H758&lt;&gt;"",COUNTIF('Target &amp; Team Lists'!$L$5:$L$204,H758)&gt;0),ISNUMBER(SEARCH("alpha nodus",(E758&amp;" "&amp;F758))),ISNUMBER(SEARCH("alphanodus",(E758&amp;" "&amp;F758)))),"Yes","No"))</f>
        <v/>
      </c>
      <c r="P758" s="34" t="str">
        <f aca="false">IF(D758="","",IF(O758="Yes","No",IF(OR(AND(F758&lt;&gt;"",COUNTIF('Target &amp; Team Lists'!$A$5:$A$504,F758)&gt;0),COUNTIF('Target &amp; Team Lists'!$E$5:$E$504,D758)&gt;0),"Yes",IF(AND(SUMPRODUCT(('Target &amp; Team Lists'!$N$5:$N$60&lt;&gt;"")*ISNUMBER(SEARCH('Target &amp; Team Lists'!$N$5:$N$60,(E758&amp;" "&amp;F758))))&gt;0,SUMPRODUCT(('Target &amp; Team Lists'!$O$5:$O$60&lt;&gt;"")*ISNUMBER(SEARCH('Target &amp; Team Lists'!$O$5:$O$60,(E758&amp;" "&amp;F758))))=0),"Yes","No"))))</f>
        <v/>
      </c>
      <c r="Q758" s="32"/>
    </row>
    <row r="759" customFormat="false" ht="15" hidden="false" customHeight="false" outlineLevel="0" collapsed="false">
      <c r="A759" s="30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3" t="str">
        <f aca="false">IF(D759="","",IF(SUM(I759:L759)&gt;0,1,0))</f>
        <v/>
      </c>
      <c r="O759" s="34" t="str">
        <f aca="false">IF(D759="","",IF(OR(COUNTIF('Target &amp; Team Lists'!$J$5:$J$204,D759)&gt;0,AND(H759&lt;&gt;"",COUNTIF('Target &amp; Team Lists'!$L$5:$L$204,H759)&gt;0),ISNUMBER(SEARCH("alpha nodus",(E759&amp;" "&amp;F759))),ISNUMBER(SEARCH("alphanodus",(E759&amp;" "&amp;F759)))),"Yes","No"))</f>
        <v/>
      </c>
      <c r="P759" s="34" t="str">
        <f aca="false">IF(D759="","",IF(O759="Yes","No",IF(OR(AND(F759&lt;&gt;"",COUNTIF('Target &amp; Team Lists'!$A$5:$A$504,F759)&gt;0),COUNTIF('Target &amp; Team Lists'!$E$5:$E$504,D759)&gt;0),"Yes",IF(AND(SUMPRODUCT(('Target &amp; Team Lists'!$N$5:$N$60&lt;&gt;"")*ISNUMBER(SEARCH('Target &amp; Team Lists'!$N$5:$N$60,(E759&amp;" "&amp;F759))))&gt;0,SUMPRODUCT(('Target &amp; Team Lists'!$O$5:$O$60&lt;&gt;"")*ISNUMBER(SEARCH('Target &amp; Team Lists'!$O$5:$O$60,(E759&amp;" "&amp;F759))))=0),"Yes","No"))))</f>
        <v/>
      </c>
      <c r="Q759" s="32"/>
    </row>
    <row r="760" customFormat="false" ht="15" hidden="false" customHeight="false" outlineLevel="0" collapsed="false">
      <c r="A760" s="30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3" t="str">
        <f aca="false">IF(D760="","",IF(SUM(I760:L760)&gt;0,1,0))</f>
        <v/>
      </c>
      <c r="O760" s="34" t="str">
        <f aca="false">IF(D760="","",IF(OR(COUNTIF('Target &amp; Team Lists'!$J$5:$J$204,D760)&gt;0,AND(H760&lt;&gt;"",COUNTIF('Target &amp; Team Lists'!$L$5:$L$204,H760)&gt;0),ISNUMBER(SEARCH("alpha nodus",(E760&amp;" "&amp;F760))),ISNUMBER(SEARCH("alphanodus",(E760&amp;" "&amp;F760)))),"Yes","No"))</f>
        <v/>
      </c>
      <c r="P760" s="34" t="str">
        <f aca="false">IF(D760="","",IF(O760="Yes","No",IF(OR(AND(F760&lt;&gt;"",COUNTIF('Target &amp; Team Lists'!$A$5:$A$504,F760)&gt;0),COUNTIF('Target &amp; Team Lists'!$E$5:$E$504,D760)&gt;0),"Yes",IF(AND(SUMPRODUCT(('Target &amp; Team Lists'!$N$5:$N$60&lt;&gt;"")*ISNUMBER(SEARCH('Target &amp; Team Lists'!$N$5:$N$60,(E760&amp;" "&amp;F760))))&gt;0,SUMPRODUCT(('Target &amp; Team Lists'!$O$5:$O$60&lt;&gt;"")*ISNUMBER(SEARCH('Target &amp; Team Lists'!$O$5:$O$60,(E760&amp;" "&amp;F760))))=0),"Yes","No"))))</f>
        <v/>
      </c>
      <c r="Q760" s="32"/>
    </row>
    <row r="761" customFormat="false" ht="15" hidden="false" customHeight="false" outlineLevel="0" collapsed="false">
      <c r="A761" s="30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3" t="str">
        <f aca="false">IF(D761="","",IF(SUM(I761:L761)&gt;0,1,0))</f>
        <v/>
      </c>
      <c r="O761" s="34" t="str">
        <f aca="false">IF(D761="","",IF(OR(COUNTIF('Target &amp; Team Lists'!$J$5:$J$204,D761)&gt;0,AND(H761&lt;&gt;"",COUNTIF('Target &amp; Team Lists'!$L$5:$L$204,H761)&gt;0),ISNUMBER(SEARCH("alpha nodus",(E761&amp;" "&amp;F761))),ISNUMBER(SEARCH("alphanodus",(E761&amp;" "&amp;F761)))),"Yes","No"))</f>
        <v/>
      </c>
      <c r="P761" s="34" t="str">
        <f aca="false">IF(D761="","",IF(O761="Yes","No",IF(OR(AND(F761&lt;&gt;"",COUNTIF('Target &amp; Team Lists'!$A$5:$A$504,F761)&gt;0),COUNTIF('Target &amp; Team Lists'!$E$5:$E$504,D761)&gt;0),"Yes",IF(AND(SUMPRODUCT(('Target &amp; Team Lists'!$N$5:$N$60&lt;&gt;"")*ISNUMBER(SEARCH('Target &amp; Team Lists'!$N$5:$N$60,(E761&amp;" "&amp;F761))))&gt;0,SUMPRODUCT(('Target &amp; Team Lists'!$O$5:$O$60&lt;&gt;"")*ISNUMBER(SEARCH('Target &amp; Team Lists'!$O$5:$O$60,(E761&amp;" "&amp;F761))))=0),"Yes","No"))))</f>
        <v/>
      </c>
      <c r="Q761" s="32"/>
    </row>
    <row r="762" customFormat="false" ht="15" hidden="false" customHeight="false" outlineLevel="0" collapsed="false">
      <c r="A762" s="30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3" t="str">
        <f aca="false">IF(D762="","",IF(SUM(I762:L762)&gt;0,1,0))</f>
        <v/>
      </c>
      <c r="O762" s="34" t="str">
        <f aca="false">IF(D762="","",IF(OR(COUNTIF('Target &amp; Team Lists'!$J$5:$J$204,D762)&gt;0,AND(H762&lt;&gt;"",COUNTIF('Target &amp; Team Lists'!$L$5:$L$204,H762)&gt;0),ISNUMBER(SEARCH("alpha nodus",(E762&amp;" "&amp;F762))),ISNUMBER(SEARCH("alphanodus",(E762&amp;" "&amp;F762)))),"Yes","No"))</f>
        <v/>
      </c>
      <c r="P762" s="34" t="str">
        <f aca="false">IF(D762="","",IF(O762="Yes","No",IF(OR(AND(F762&lt;&gt;"",COUNTIF('Target &amp; Team Lists'!$A$5:$A$504,F762)&gt;0),COUNTIF('Target &amp; Team Lists'!$E$5:$E$504,D762)&gt;0),"Yes",IF(AND(SUMPRODUCT(('Target &amp; Team Lists'!$N$5:$N$60&lt;&gt;"")*ISNUMBER(SEARCH('Target &amp; Team Lists'!$N$5:$N$60,(E762&amp;" "&amp;F762))))&gt;0,SUMPRODUCT(('Target &amp; Team Lists'!$O$5:$O$60&lt;&gt;"")*ISNUMBER(SEARCH('Target &amp; Team Lists'!$O$5:$O$60,(E762&amp;" "&amp;F762))))=0),"Yes","No"))))</f>
        <v/>
      </c>
      <c r="Q762" s="32"/>
    </row>
    <row r="763" customFormat="false" ht="15" hidden="false" customHeight="false" outlineLevel="0" collapsed="false">
      <c r="A763" s="30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3" t="str">
        <f aca="false">IF(D763="","",IF(SUM(I763:L763)&gt;0,1,0))</f>
        <v/>
      </c>
      <c r="O763" s="34" t="str">
        <f aca="false">IF(D763="","",IF(OR(COUNTIF('Target &amp; Team Lists'!$J$5:$J$204,D763)&gt;0,AND(H763&lt;&gt;"",COUNTIF('Target &amp; Team Lists'!$L$5:$L$204,H763)&gt;0),ISNUMBER(SEARCH("alpha nodus",(E763&amp;" "&amp;F763))),ISNUMBER(SEARCH("alphanodus",(E763&amp;" "&amp;F763)))),"Yes","No"))</f>
        <v/>
      </c>
      <c r="P763" s="34" t="str">
        <f aca="false">IF(D763="","",IF(O763="Yes","No",IF(OR(AND(F763&lt;&gt;"",COUNTIF('Target &amp; Team Lists'!$A$5:$A$504,F763)&gt;0),COUNTIF('Target &amp; Team Lists'!$E$5:$E$504,D763)&gt;0),"Yes",IF(AND(SUMPRODUCT(('Target &amp; Team Lists'!$N$5:$N$60&lt;&gt;"")*ISNUMBER(SEARCH('Target &amp; Team Lists'!$N$5:$N$60,(E763&amp;" "&amp;F763))))&gt;0,SUMPRODUCT(('Target &amp; Team Lists'!$O$5:$O$60&lt;&gt;"")*ISNUMBER(SEARCH('Target &amp; Team Lists'!$O$5:$O$60,(E763&amp;" "&amp;F763))))=0),"Yes","No"))))</f>
        <v/>
      </c>
      <c r="Q763" s="32"/>
    </row>
    <row r="764" customFormat="false" ht="15" hidden="false" customHeight="false" outlineLevel="0" collapsed="false">
      <c r="A764" s="30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3" t="str">
        <f aca="false">IF(D764="","",IF(SUM(I764:L764)&gt;0,1,0))</f>
        <v/>
      </c>
      <c r="O764" s="34" t="str">
        <f aca="false">IF(D764="","",IF(OR(COUNTIF('Target &amp; Team Lists'!$J$5:$J$204,D764)&gt;0,AND(H764&lt;&gt;"",COUNTIF('Target &amp; Team Lists'!$L$5:$L$204,H764)&gt;0),ISNUMBER(SEARCH("alpha nodus",(E764&amp;" "&amp;F764))),ISNUMBER(SEARCH("alphanodus",(E764&amp;" "&amp;F764)))),"Yes","No"))</f>
        <v/>
      </c>
      <c r="P764" s="34" t="str">
        <f aca="false">IF(D764="","",IF(O764="Yes","No",IF(OR(AND(F764&lt;&gt;"",COUNTIF('Target &amp; Team Lists'!$A$5:$A$504,F764)&gt;0),COUNTIF('Target &amp; Team Lists'!$E$5:$E$504,D764)&gt;0),"Yes",IF(AND(SUMPRODUCT(('Target &amp; Team Lists'!$N$5:$N$60&lt;&gt;"")*ISNUMBER(SEARCH('Target &amp; Team Lists'!$N$5:$N$60,(E764&amp;" "&amp;F764))))&gt;0,SUMPRODUCT(('Target &amp; Team Lists'!$O$5:$O$60&lt;&gt;"")*ISNUMBER(SEARCH('Target &amp; Team Lists'!$O$5:$O$60,(E764&amp;" "&amp;F764))))=0),"Yes","No"))))</f>
        <v/>
      </c>
      <c r="Q764" s="32"/>
    </row>
    <row r="765" customFormat="false" ht="15" hidden="false" customHeight="false" outlineLevel="0" collapsed="false">
      <c r="A765" s="30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3" t="str">
        <f aca="false">IF(D765="","",IF(SUM(I765:L765)&gt;0,1,0))</f>
        <v/>
      </c>
      <c r="O765" s="34" t="str">
        <f aca="false">IF(D765="","",IF(OR(COUNTIF('Target &amp; Team Lists'!$J$5:$J$204,D765)&gt;0,AND(H765&lt;&gt;"",COUNTIF('Target &amp; Team Lists'!$L$5:$L$204,H765)&gt;0),ISNUMBER(SEARCH("alpha nodus",(E765&amp;" "&amp;F765))),ISNUMBER(SEARCH("alphanodus",(E765&amp;" "&amp;F765)))),"Yes","No"))</f>
        <v/>
      </c>
      <c r="P765" s="34" t="str">
        <f aca="false">IF(D765="","",IF(O765="Yes","No",IF(OR(AND(F765&lt;&gt;"",COUNTIF('Target &amp; Team Lists'!$A$5:$A$504,F765)&gt;0),COUNTIF('Target &amp; Team Lists'!$E$5:$E$504,D765)&gt;0),"Yes",IF(AND(SUMPRODUCT(('Target &amp; Team Lists'!$N$5:$N$60&lt;&gt;"")*ISNUMBER(SEARCH('Target &amp; Team Lists'!$N$5:$N$60,(E765&amp;" "&amp;F765))))&gt;0,SUMPRODUCT(('Target &amp; Team Lists'!$O$5:$O$60&lt;&gt;"")*ISNUMBER(SEARCH('Target &amp; Team Lists'!$O$5:$O$60,(E765&amp;" "&amp;F765))))=0),"Yes","No"))))</f>
        <v/>
      </c>
      <c r="Q765" s="32"/>
    </row>
    <row r="766" customFormat="false" ht="15" hidden="false" customHeight="false" outlineLevel="0" collapsed="false">
      <c r="A766" s="30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3" t="str">
        <f aca="false">IF(D766="","",IF(SUM(I766:L766)&gt;0,1,0))</f>
        <v/>
      </c>
      <c r="O766" s="34" t="str">
        <f aca="false">IF(D766="","",IF(OR(COUNTIF('Target &amp; Team Lists'!$J$5:$J$204,D766)&gt;0,AND(H766&lt;&gt;"",COUNTIF('Target &amp; Team Lists'!$L$5:$L$204,H766)&gt;0),ISNUMBER(SEARCH("alpha nodus",(E766&amp;" "&amp;F766))),ISNUMBER(SEARCH("alphanodus",(E766&amp;" "&amp;F766)))),"Yes","No"))</f>
        <v/>
      </c>
      <c r="P766" s="34" t="str">
        <f aca="false">IF(D766="","",IF(O766="Yes","No",IF(OR(AND(F766&lt;&gt;"",COUNTIF('Target &amp; Team Lists'!$A$5:$A$504,F766)&gt;0),COUNTIF('Target &amp; Team Lists'!$E$5:$E$504,D766)&gt;0),"Yes",IF(AND(SUMPRODUCT(('Target &amp; Team Lists'!$N$5:$N$60&lt;&gt;"")*ISNUMBER(SEARCH('Target &amp; Team Lists'!$N$5:$N$60,(E766&amp;" "&amp;F766))))&gt;0,SUMPRODUCT(('Target &amp; Team Lists'!$O$5:$O$60&lt;&gt;"")*ISNUMBER(SEARCH('Target &amp; Team Lists'!$O$5:$O$60,(E766&amp;" "&amp;F766))))=0),"Yes","No"))))</f>
        <v/>
      </c>
      <c r="Q766" s="32"/>
    </row>
    <row r="767" customFormat="false" ht="15" hidden="false" customHeight="false" outlineLevel="0" collapsed="false">
      <c r="A767" s="30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3" t="str">
        <f aca="false">IF(D767="","",IF(SUM(I767:L767)&gt;0,1,0))</f>
        <v/>
      </c>
      <c r="O767" s="34" t="str">
        <f aca="false">IF(D767="","",IF(OR(COUNTIF('Target &amp; Team Lists'!$J$5:$J$204,D767)&gt;0,AND(H767&lt;&gt;"",COUNTIF('Target &amp; Team Lists'!$L$5:$L$204,H767)&gt;0),ISNUMBER(SEARCH("alpha nodus",(E767&amp;" "&amp;F767))),ISNUMBER(SEARCH("alphanodus",(E767&amp;" "&amp;F767)))),"Yes","No"))</f>
        <v/>
      </c>
      <c r="P767" s="34" t="str">
        <f aca="false">IF(D767="","",IF(O767="Yes","No",IF(OR(AND(F767&lt;&gt;"",COUNTIF('Target &amp; Team Lists'!$A$5:$A$504,F767)&gt;0),COUNTIF('Target &amp; Team Lists'!$E$5:$E$504,D767)&gt;0),"Yes",IF(AND(SUMPRODUCT(('Target &amp; Team Lists'!$N$5:$N$60&lt;&gt;"")*ISNUMBER(SEARCH('Target &amp; Team Lists'!$N$5:$N$60,(E767&amp;" "&amp;F767))))&gt;0,SUMPRODUCT(('Target &amp; Team Lists'!$O$5:$O$60&lt;&gt;"")*ISNUMBER(SEARCH('Target &amp; Team Lists'!$O$5:$O$60,(E767&amp;" "&amp;F767))))=0),"Yes","No"))))</f>
        <v/>
      </c>
      <c r="Q767" s="32"/>
    </row>
    <row r="768" customFormat="false" ht="15" hidden="false" customHeight="false" outlineLevel="0" collapsed="false">
      <c r="A768" s="30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3" t="str">
        <f aca="false">IF(D768="","",IF(SUM(I768:L768)&gt;0,1,0))</f>
        <v/>
      </c>
      <c r="O768" s="34" t="str">
        <f aca="false">IF(D768="","",IF(OR(COUNTIF('Target &amp; Team Lists'!$J$5:$J$204,D768)&gt;0,AND(H768&lt;&gt;"",COUNTIF('Target &amp; Team Lists'!$L$5:$L$204,H768)&gt;0),ISNUMBER(SEARCH("alpha nodus",(E768&amp;" "&amp;F768))),ISNUMBER(SEARCH("alphanodus",(E768&amp;" "&amp;F768)))),"Yes","No"))</f>
        <v/>
      </c>
      <c r="P768" s="34" t="str">
        <f aca="false">IF(D768="","",IF(O768="Yes","No",IF(OR(AND(F768&lt;&gt;"",COUNTIF('Target &amp; Team Lists'!$A$5:$A$504,F768)&gt;0),COUNTIF('Target &amp; Team Lists'!$E$5:$E$504,D768)&gt;0),"Yes",IF(AND(SUMPRODUCT(('Target &amp; Team Lists'!$N$5:$N$60&lt;&gt;"")*ISNUMBER(SEARCH('Target &amp; Team Lists'!$N$5:$N$60,(E768&amp;" "&amp;F768))))&gt;0,SUMPRODUCT(('Target &amp; Team Lists'!$O$5:$O$60&lt;&gt;"")*ISNUMBER(SEARCH('Target &amp; Team Lists'!$O$5:$O$60,(E768&amp;" "&amp;F768))))=0),"Yes","No"))))</f>
        <v/>
      </c>
      <c r="Q768" s="32"/>
    </row>
    <row r="769" customFormat="false" ht="15" hidden="false" customHeight="false" outlineLevel="0" collapsed="false">
      <c r="A769" s="30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3" t="str">
        <f aca="false">IF(D769="","",IF(SUM(I769:L769)&gt;0,1,0))</f>
        <v/>
      </c>
      <c r="O769" s="34" t="str">
        <f aca="false">IF(D769="","",IF(OR(COUNTIF('Target &amp; Team Lists'!$J$5:$J$204,D769)&gt;0,AND(H769&lt;&gt;"",COUNTIF('Target &amp; Team Lists'!$L$5:$L$204,H769)&gt;0),ISNUMBER(SEARCH("alpha nodus",(E769&amp;" "&amp;F769))),ISNUMBER(SEARCH("alphanodus",(E769&amp;" "&amp;F769)))),"Yes","No"))</f>
        <v/>
      </c>
      <c r="P769" s="34" t="str">
        <f aca="false">IF(D769="","",IF(O769="Yes","No",IF(OR(AND(F769&lt;&gt;"",COUNTIF('Target &amp; Team Lists'!$A$5:$A$504,F769)&gt;0),COUNTIF('Target &amp; Team Lists'!$E$5:$E$504,D769)&gt;0),"Yes",IF(AND(SUMPRODUCT(('Target &amp; Team Lists'!$N$5:$N$60&lt;&gt;"")*ISNUMBER(SEARCH('Target &amp; Team Lists'!$N$5:$N$60,(E769&amp;" "&amp;F769))))&gt;0,SUMPRODUCT(('Target &amp; Team Lists'!$O$5:$O$60&lt;&gt;"")*ISNUMBER(SEARCH('Target &amp; Team Lists'!$O$5:$O$60,(E769&amp;" "&amp;F769))))=0),"Yes","No"))))</f>
        <v/>
      </c>
      <c r="Q769" s="32"/>
    </row>
    <row r="770" customFormat="false" ht="15" hidden="false" customHeight="false" outlineLevel="0" collapsed="false">
      <c r="A770" s="30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3" t="str">
        <f aca="false">IF(D770="","",IF(SUM(I770:L770)&gt;0,1,0))</f>
        <v/>
      </c>
      <c r="O770" s="34" t="str">
        <f aca="false">IF(D770="","",IF(OR(COUNTIF('Target &amp; Team Lists'!$J$5:$J$204,D770)&gt;0,AND(H770&lt;&gt;"",COUNTIF('Target &amp; Team Lists'!$L$5:$L$204,H770)&gt;0),ISNUMBER(SEARCH("alpha nodus",(E770&amp;" "&amp;F770))),ISNUMBER(SEARCH("alphanodus",(E770&amp;" "&amp;F770)))),"Yes","No"))</f>
        <v/>
      </c>
      <c r="P770" s="34" t="str">
        <f aca="false">IF(D770="","",IF(O770="Yes","No",IF(OR(AND(F770&lt;&gt;"",COUNTIF('Target &amp; Team Lists'!$A$5:$A$504,F770)&gt;0),COUNTIF('Target &amp; Team Lists'!$E$5:$E$504,D770)&gt;0),"Yes",IF(AND(SUMPRODUCT(('Target &amp; Team Lists'!$N$5:$N$60&lt;&gt;"")*ISNUMBER(SEARCH('Target &amp; Team Lists'!$N$5:$N$60,(E770&amp;" "&amp;F770))))&gt;0,SUMPRODUCT(('Target &amp; Team Lists'!$O$5:$O$60&lt;&gt;"")*ISNUMBER(SEARCH('Target &amp; Team Lists'!$O$5:$O$60,(E770&amp;" "&amp;F770))))=0),"Yes","No"))))</f>
        <v/>
      </c>
      <c r="Q770" s="32"/>
    </row>
    <row r="771" customFormat="false" ht="15" hidden="false" customHeight="false" outlineLevel="0" collapsed="false">
      <c r="A771" s="30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3" t="str">
        <f aca="false">IF(D771="","",IF(SUM(I771:L771)&gt;0,1,0))</f>
        <v/>
      </c>
      <c r="O771" s="34" t="str">
        <f aca="false">IF(D771="","",IF(OR(COUNTIF('Target &amp; Team Lists'!$J$5:$J$204,D771)&gt;0,AND(H771&lt;&gt;"",COUNTIF('Target &amp; Team Lists'!$L$5:$L$204,H771)&gt;0),ISNUMBER(SEARCH("alpha nodus",(E771&amp;" "&amp;F771))),ISNUMBER(SEARCH("alphanodus",(E771&amp;" "&amp;F771)))),"Yes","No"))</f>
        <v/>
      </c>
      <c r="P771" s="34" t="str">
        <f aca="false">IF(D771="","",IF(O771="Yes","No",IF(OR(AND(F771&lt;&gt;"",COUNTIF('Target &amp; Team Lists'!$A$5:$A$504,F771)&gt;0),COUNTIF('Target &amp; Team Lists'!$E$5:$E$504,D771)&gt;0),"Yes",IF(AND(SUMPRODUCT(('Target &amp; Team Lists'!$N$5:$N$60&lt;&gt;"")*ISNUMBER(SEARCH('Target &amp; Team Lists'!$N$5:$N$60,(E771&amp;" "&amp;F771))))&gt;0,SUMPRODUCT(('Target &amp; Team Lists'!$O$5:$O$60&lt;&gt;"")*ISNUMBER(SEARCH('Target &amp; Team Lists'!$O$5:$O$60,(E771&amp;" "&amp;F771))))=0),"Yes","No"))))</f>
        <v/>
      </c>
      <c r="Q771" s="32"/>
    </row>
    <row r="772" customFormat="false" ht="15" hidden="false" customHeight="false" outlineLevel="0" collapsed="false">
      <c r="A772" s="30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3" t="str">
        <f aca="false">IF(D772="","",IF(SUM(I772:L772)&gt;0,1,0))</f>
        <v/>
      </c>
      <c r="O772" s="34" t="str">
        <f aca="false">IF(D772="","",IF(OR(COUNTIF('Target &amp; Team Lists'!$J$5:$J$204,D772)&gt;0,AND(H772&lt;&gt;"",COUNTIF('Target &amp; Team Lists'!$L$5:$L$204,H772)&gt;0),ISNUMBER(SEARCH("alpha nodus",(E772&amp;" "&amp;F772))),ISNUMBER(SEARCH("alphanodus",(E772&amp;" "&amp;F772)))),"Yes","No"))</f>
        <v/>
      </c>
      <c r="P772" s="34" t="str">
        <f aca="false">IF(D772="","",IF(O772="Yes","No",IF(OR(AND(F772&lt;&gt;"",COUNTIF('Target &amp; Team Lists'!$A$5:$A$504,F772)&gt;0),COUNTIF('Target &amp; Team Lists'!$E$5:$E$504,D772)&gt;0),"Yes",IF(AND(SUMPRODUCT(('Target &amp; Team Lists'!$N$5:$N$60&lt;&gt;"")*ISNUMBER(SEARCH('Target &amp; Team Lists'!$N$5:$N$60,(E772&amp;" "&amp;F772))))&gt;0,SUMPRODUCT(('Target &amp; Team Lists'!$O$5:$O$60&lt;&gt;"")*ISNUMBER(SEARCH('Target &amp; Team Lists'!$O$5:$O$60,(E772&amp;" "&amp;F772))))=0),"Yes","No"))))</f>
        <v/>
      </c>
      <c r="Q772" s="32"/>
    </row>
    <row r="773" customFormat="false" ht="15" hidden="false" customHeight="false" outlineLevel="0" collapsed="false">
      <c r="A773" s="30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3" t="str">
        <f aca="false">IF(D773="","",IF(SUM(I773:L773)&gt;0,1,0))</f>
        <v/>
      </c>
      <c r="O773" s="34" t="str">
        <f aca="false">IF(D773="","",IF(OR(COUNTIF('Target &amp; Team Lists'!$J$5:$J$204,D773)&gt;0,AND(H773&lt;&gt;"",COUNTIF('Target &amp; Team Lists'!$L$5:$L$204,H773)&gt;0),ISNUMBER(SEARCH("alpha nodus",(E773&amp;" "&amp;F773))),ISNUMBER(SEARCH("alphanodus",(E773&amp;" "&amp;F773)))),"Yes","No"))</f>
        <v/>
      </c>
      <c r="P773" s="34" t="str">
        <f aca="false">IF(D773="","",IF(O773="Yes","No",IF(OR(AND(F773&lt;&gt;"",COUNTIF('Target &amp; Team Lists'!$A$5:$A$504,F773)&gt;0),COUNTIF('Target &amp; Team Lists'!$E$5:$E$504,D773)&gt;0),"Yes",IF(AND(SUMPRODUCT(('Target &amp; Team Lists'!$N$5:$N$60&lt;&gt;"")*ISNUMBER(SEARCH('Target &amp; Team Lists'!$N$5:$N$60,(E773&amp;" "&amp;F773))))&gt;0,SUMPRODUCT(('Target &amp; Team Lists'!$O$5:$O$60&lt;&gt;"")*ISNUMBER(SEARCH('Target &amp; Team Lists'!$O$5:$O$60,(E773&amp;" "&amp;F773))))=0),"Yes","No"))))</f>
        <v/>
      </c>
      <c r="Q773" s="32"/>
    </row>
    <row r="774" customFormat="false" ht="15" hidden="false" customHeight="false" outlineLevel="0" collapsed="false">
      <c r="A774" s="30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3" t="str">
        <f aca="false">IF(D774="","",IF(SUM(I774:L774)&gt;0,1,0))</f>
        <v/>
      </c>
      <c r="O774" s="34" t="str">
        <f aca="false">IF(D774="","",IF(OR(COUNTIF('Target &amp; Team Lists'!$J$5:$J$204,D774)&gt;0,AND(H774&lt;&gt;"",COUNTIF('Target &amp; Team Lists'!$L$5:$L$204,H774)&gt;0),ISNUMBER(SEARCH("alpha nodus",(E774&amp;" "&amp;F774))),ISNUMBER(SEARCH("alphanodus",(E774&amp;" "&amp;F774)))),"Yes","No"))</f>
        <v/>
      </c>
      <c r="P774" s="34" t="str">
        <f aca="false">IF(D774="","",IF(O774="Yes","No",IF(OR(AND(F774&lt;&gt;"",COUNTIF('Target &amp; Team Lists'!$A$5:$A$504,F774)&gt;0),COUNTIF('Target &amp; Team Lists'!$E$5:$E$504,D774)&gt;0),"Yes",IF(AND(SUMPRODUCT(('Target &amp; Team Lists'!$N$5:$N$60&lt;&gt;"")*ISNUMBER(SEARCH('Target &amp; Team Lists'!$N$5:$N$60,(E774&amp;" "&amp;F774))))&gt;0,SUMPRODUCT(('Target &amp; Team Lists'!$O$5:$O$60&lt;&gt;"")*ISNUMBER(SEARCH('Target &amp; Team Lists'!$O$5:$O$60,(E774&amp;" "&amp;F774))))=0),"Yes","No"))))</f>
        <v/>
      </c>
      <c r="Q774" s="32"/>
    </row>
    <row r="775" customFormat="false" ht="15" hidden="false" customHeight="false" outlineLevel="0" collapsed="false">
      <c r="A775" s="30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3" t="str">
        <f aca="false">IF(D775="","",IF(SUM(I775:L775)&gt;0,1,0))</f>
        <v/>
      </c>
      <c r="O775" s="34" t="str">
        <f aca="false">IF(D775="","",IF(OR(COUNTIF('Target &amp; Team Lists'!$J$5:$J$204,D775)&gt;0,AND(H775&lt;&gt;"",COUNTIF('Target &amp; Team Lists'!$L$5:$L$204,H775)&gt;0),ISNUMBER(SEARCH("alpha nodus",(E775&amp;" "&amp;F775))),ISNUMBER(SEARCH("alphanodus",(E775&amp;" "&amp;F775)))),"Yes","No"))</f>
        <v/>
      </c>
      <c r="P775" s="34" t="str">
        <f aca="false">IF(D775="","",IF(O775="Yes","No",IF(OR(AND(F775&lt;&gt;"",COUNTIF('Target &amp; Team Lists'!$A$5:$A$504,F775)&gt;0),COUNTIF('Target &amp; Team Lists'!$E$5:$E$504,D775)&gt;0),"Yes",IF(AND(SUMPRODUCT(('Target &amp; Team Lists'!$N$5:$N$60&lt;&gt;"")*ISNUMBER(SEARCH('Target &amp; Team Lists'!$N$5:$N$60,(E775&amp;" "&amp;F775))))&gt;0,SUMPRODUCT(('Target &amp; Team Lists'!$O$5:$O$60&lt;&gt;"")*ISNUMBER(SEARCH('Target &amp; Team Lists'!$O$5:$O$60,(E775&amp;" "&amp;F775))))=0),"Yes","No"))))</f>
        <v/>
      </c>
      <c r="Q775" s="32"/>
    </row>
    <row r="776" customFormat="false" ht="15" hidden="false" customHeight="false" outlineLevel="0" collapsed="false">
      <c r="A776" s="30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3" t="str">
        <f aca="false">IF(D776="","",IF(SUM(I776:L776)&gt;0,1,0))</f>
        <v/>
      </c>
      <c r="O776" s="34" t="str">
        <f aca="false">IF(D776="","",IF(OR(COUNTIF('Target &amp; Team Lists'!$J$5:$J$204,D776)&gt;0,AND(H776&lt;&gt;"",COUNTIF('Target &amp; Team Lists'!$L$5:$L$204,H776)&gt;0),ISNUMBER(SEARCH("alpha nodus",(E776&amp;" "&amp;F776))),ISNUMBER(SEARCH("alphanodus",(E776&amp;" "&amp;F776)))),"Yes","No"))</f>
        <v/>
      </c>
      <c r="P776" s="34" t="str">
        <f aca="false">IF(D776="","",IF(O776="Yes","No",IF(OR(AND(F776&lt;&gt;"",COUNTIF('Target &amp; Team Lists'!$A$5:$A$504,F776)&gt;0),COUNTIF('Target &amp; Team Lists'!$E$5:$E$504,D776)&gt;0),"Yes",IF(AND(SUMPRODUCT(('Target &amp; Team Lists'!$N$5:$N$60&lt;&gt;"")*ISNUMBER(SEARCH('Target &amp; Team Lists'!$N$5:$N$60,(E776&amp;" "&amp;F776))))&gt;0,SUMPRODUCT(('Target &amp; Team Lists'!$O$5:$O$60&lt;&gt;"")*ISNUMBER(SEARCH('Target &amp; Team Lists'!$O$5:$O$60,(E776&amp;" "&amp;F776))))=0),"Yes","No"))))</f>
        <v/>
      </c>
      <c r="Q776" s="32"/>
    </row>
    <row r="777" customFormat="false" ht="15" hidden="false" customHeight="false" outlineLevel="0" collapsed="false">
      <c r="A777" s="30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3" t="str">
        <f aca="false">IF(D777="","",IF(SUM(I777:L777)&gt;0,1,0))</f>
        <v/>
      </c>
      <c r="O777" s="34" t="str">
        <f aca="false">IF(D777="","",IF(OR(COUNTIF('Target &amp; Team Lists'!$J$5:$J$204,D777)&gt;0,AND(H777&lt;&gt;"",COUNTIF('Target &amp; Team Lists'!$L$5:$L$204,H777)&gt;0),ISNUMBER(SEARCH("alpha nodus",(E777&amp;" "&amp;F777))),ISNUMBER(SEARCH("alphanodus",(E777&amp;" "&amp;F777)))),"Yes","No"))</f>
        <v/>
      </c>
      <c r="P777" s="34" t="str">
        <f aca="false">IF(D777="","",IF(O777="Yes","No",IF(OR(AND(F777&lt;&gt;"",COUNTIF('Target &amp; Team Lists'!$A$5:$A$504,F777)&gt;0),COUNTIF('Target &amp; Team Lists'!$E$5:$E$504,D777)&gt;0),"Yes",IF(AND(SUMPRODUCT(('Target &amp; Team Lists'!$N$5:$N$60&lt;&gt;"")*ISNUMBER(SEARCH('Target &amp; Team Lists'!$N$5:$N$60,(E777&amp;" "&amp;F777))))&gt;0,SUMPRODUCT(('Target &amp; Team Lists'!$O$5:$O$60&lt;&gt;"")*ISNUMBER(SEARCH('Target &amp; Team Lists'!$O$5:$O$60,(E777&amp;" "&amp;F777))))=0),"Yes","No"))))</f>
        <v/>
      </c>
      <c r="Q777" s="32"/>
    </row>
    <row r="778" customFormat="false" ht="15" hidden="false" customHeight="false" outlineLevel="0" collapsed="false">
      <c r="A778" s="30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3" t="str">
        <f aca="false">IF(D778="","",IF(SUM(I778:L778)&gt;0,1,0))</f>
        <v/>
      </c>
      <c r="O778" s="34" t="str">
        <f aca="false">IF(D778="","",IF(OR(COUNTIF('Target &amp; Team Lists'!$J$5:$J$204,D778)&gt;0,AND(H778&lt;&gt;"",COUNTIF('Target &amp; Team Lists'!$L$5:$L$204,H778)&gt;0),ISNUMBER(SEARCH("alpha nodus",(E778&amp;" "&amp;F778))),ISNUMBER(SEARCH("alphanodus",(E778&amp;" "&amp;F778)))),"Yes","No"))</f>
        <v/>
      </c>
      <c r="P778" s="34" t="str">
        <f aca="false">IF(D778="","",IF(O778="Yes","No",IF(OR(AND(F778&lt;&gt;"",COUNTIF('Target &amp; Team Lists'!$A$5:$A$504,F778)&gt;0),COUNTIF('Target &amp; Team Lists'!$E$5:$E$504,D778)&gt;0),"Yes",IF(AND(SUMPRODUCT(('Target &amp; Team Lists'!$N$5:$N$60&lt;&gt;"")*ISNUMBER(SEARCH('Target &amp; Team Lists'!$N$5:$N$60,(E778&amp;" "&amp;F778))))&gt;0,SUMPRODUCT(('Target &amp; Team Lists'!$O$5:$O$60&lt;&gt;"")*ISNUMBER(SEARCH('Target &amp; Team Lists'!$O$5:$O$60,(E778&amp;" "&amp;F778))))=0),"Yes","No"))))</f>
        <v/>
      </c>
      <c r="Q778" s="32"/>
    </row>
    <row r="779" customFormat="false" ht="15" hidden="false" customHeight="false" outlineLevel="0" collapsed="false">
      <c r="A779" s="30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3" t="str">
        <f aca="false">IF(D779="","",IF(SUM(I779:L779)&gt;0,1,0))</f>
        <v/>
      </c>
      <c r="O779" s="34" t="str">
        <f aca="false">IF(D779="","",IF(OR(COUNTIF('Target &amp; Team Lists'!$J$5:$J$204,D779)&gt;0,AND(H779&lt;&gt;"",COUNTIF('Target &amp; Team Lists'!$L$5:$L$204,H779)&gt;0),ISNUMBER(SEARCH("alpha nodus",(E779&amp;" "&amp;F779))),ISNUMBER(SEARCH("alphanodus",(E779&amp;" "&amp;F779)))),"Yes","No"))</f>
        <v/>
      </c>
      <c r="P779" s="34" t="str">
        <f aca="false">IF(D779="","",IF(O779="Yes","No",IF(OR(AND(F779&lt;&gt;"",COUNTIF('Target &amp; Team Lists'!$A$5:$A$504,F779)&gt;0),COUNTIF('Target &amp; Team Lists'!$E$5:$E$504,D779)&gt;0),"Yes",IF(AND(SUMPRODUCT(('Target &amp; Team Lists'!$N$5:$N$60&lt;&gt;"")*ISNUMBER(SEARCH('Target &amp; Team Lists'!$N$5:$N$60,(E779&amp;" "&amp;F779))))&gt;0,SUMPRODUCT(('Target &amp; Team Lists'!$O$5:$O$60&lt;&gt;"")*ISNUMBER(SEARCH('Target &amp; Team Lists'!$O$5:$O$60,(E779&amp;" "&amp;F779))))=0),"Yes","No"))))</f>
        <v/>
      </c>
      <c r="Q779" s="32"/>
    </row>
    <row r="780" customFormat="false" ht="15" hidden="false" customHeight="false" outlineLevel="0" collapsed="false">
      <c r="A780" s="30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3" t="str">
        <f aca="false">IF(D780="","",IF(SUM(I780:L780)&gt;0,1,0))</f>
        <v/>
      </c>
      <c r="O780" s="34" t="str">
        <f aca="false">IF(D780="","",IF(OR(COUNTIF('Target &amp; Team Lists'!$J$5:$J$204,D780)&gt;0,AND(H780&lt;&gt;"",COUNTIF('Target &amp; Team Lists'!$L$5:$L$204,H780)&gt;0),ISNUMBER(SEARCH("alpha nodus",(E780&amp;" "&amp;F780))),ISNUMBER(SEARCH("alphanodus",(E780&amp;" "&amp;F780)))),"Yes","No"))</f>
        <v/>
      </c>
      <c r="P780" s="34" t="str">
        <f aca="false">IF(D780="","",IF(O780="Yes","No",IF(OR(AND(F780&lt;&gt;"",COUNTIF('Target &amp; Team Lists'!$A$5:$A$504,F780)&gt;0),COUNTIF('Target &amp; Team Lists'!$E$5:$E$504,D780)&gt;0),"Yes",IF(AND(SUMPRODUCT(('Target &amp; Team Lists'!$N$5:$N$60&lt;&gt;"")*ISNUMBER(SEARCH('Target &amp; Team Lists'!$N$5:$N$60,(E780&amp;" "&amp;F780))))&gt;0,SUMPRODUCT(('Target &amp; Team Lists'!$O$5:$O$60&lt;&gt;"")*ISNUMBER(SEARCH('Target &amp; Team Lists'!$O$5:$O$60,(E780&amp;" "&amp;F780))))=0),"Yes","No"))))</f>
        <v/>
      </c>
      <c r="Q780" s="32"/>
    </row>
    <row r="781" customFormat="false" ht="15" hidden="false" customHeight="false" outlineLevel="0" collapsed="false">
      <c r="A781" s="30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3" t="str">
        <f aca="false">IF(D781="","",IF(SUM(I781:L781)&gt;0,1,0))</f>
        <v/>
      </c>
      <c r="O781" s="34" t="str">
        <f aca="false">IF(D781="","",IF(OR(COUNTIF('Target &amp; Team Lists'!$J$5:$J$204,D781)&gt;0,AND(H781&lt;&gt;"",COUNTIF('Target &amp; Team Lists'!$L$5:$L$204,H781)&gt;0),ISNUMBER(SEARCH("alpha nodus",(E781&amp;" "&amp;F781))),ISNUMBER(SEARCH("alphanodus",(E781&amp;" "&amp;F781)))),"Yes","No"))</f>
        <v/>
      </c>
      <c r="P781" s="34" t="str">
        <f aca="false">IF(D781="","",IF(O781="Yes","No",IF(OR(AND(F781&lt;&gt;"",COUNTIF('Target &amp; Team Lists'!$A$5:$A$504,F781)&gt;0),COUNTIF('Target &amp; Team Lists'!$E$5:$E$504,D781)&gt;0),"Yes",IF(AND(SUMPRODUCT(('Target &amp; Team Lists'!$N$5:$N$60&lt;&gt;"")*ISNUMBER(SEARCH('Target &amp; Team Lists'!$N$5:$N$60,(E781&amp;" "&amp;F781))))&gt;0,SUMPRODUCT(('Target &amp; Team Lists'!$O$5:$O$60&lt;&gt;"")*ISNUMBER(SEARCH('Target &amp; Team Lists'!$O$5:$O$60,(E781&amp;" "&amp;F781))))=0),"Yes","No"))))</f>
        <v/>
      </c>
      <c r="Q781" s="32"/>
    </row>
    <row r="782" customFormat="false" ht="15" hidden="false" customHeight="false" outlineLevel="0" collapsed="false">
      <c r="A782" s="30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3" t="str">
        <f aca="false">IF(D782="","",IF(SUM(I782:L782)&gt;0,1,0))</f>
        <v/>
      </c>
      <c r="O782" s="34" t="str">
        <f aca="false">IF(D782="","",IF(OR(COUNTIF('Target &amp; Team Lists'!$J$5:$J$204,D782)&gt;0,AND(H782&lt;&gt;"",COUNTIF('Target &amp; Team Lists'!$L$5:$L$204,H782)&gt;0),ISNUMBER(SEARCH("alpha nodus",(E782&amp;" "&amp;F782))),ISNUMBER(SEARCH("alphanodus",(E782&amp;" "&amp;F782)))),"Yes","No"))</f>
        <v/>
      </c>
      <c r="P782" s="34" t="str">
        <f aca="false">IF(D782="","",IF(O782="Yes","No",IF(OR(AND(F782&lt;&gt;"",COUNTIF('Target &amp; Team Lists'!$A$5:$A$504,F782)&gt;0),COUNTIF('Target &amp; Team Lists'!$E$5:$E$504,D782)&gt;0),"Yes",IF(AND(SUMPRODUCT(('Target &amp; Team Lists'!$N$5:$N$60&lt;&gt;"")*ISNUMBER(SEARCH('Target &amp; Team Lists'!$N$5:$N$60,(E782&amp;" "&amp;F782))))&gt;0,SUMPRODUCT(('Target &amp; Team Lists'!$O$5:$O$60&lt;&gt;"")*ISNUMBER(SEARCH('Target &amp; Team Lists'!$O$5:$O$60,(E782&amp;" "&amp;F782))))=0),"Yes","No"))))</f>
        <v/>
      </c>
      <c r="Q782" s="32"/>
    </row>
    <row r="783" customFormat="false" ht="15" hidden="false" customHeight="false" outlineLevel="0" collapsed="false">
      <c r="A783" s="30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3" t="str">
        <f aca="false">IF(D783="","",IF(SUM(I783:L783)&gt;0,1,0))</f>
        <v/>
      </c>
      <c r="O783" s="34" t="str">
        <f aca="false">IF(D783="","",IF(OR(COUNTIF('Target &amp; Team Lists'!$J$5:$J$204,D783)&gt;0,AND(H783&lt;&gt;"",COUNTIF('Target &amp; Team Lists'!$L$5:$L$204,H783)&gt;0),ISNUMBER(SEARCH("alpha nodus",(E783&amp;" "&amp;F783))),ISNUMBER(SEARCH("alphanodus",(E783&amp;" "&amp;F783)))),"Yes","No"))</f>
        <v/>
      </c>
      <c r="P783" s="34" t="str">
        <f aca="false">IF(D783="","",IF(O783="Yes","No",IF(OR(AND(F783&lt;&gt;"",COUNTIF('Target &amp; Team Lists'!$A$5:$A$504,F783)&gt;0),COUNTIF('Target &amp; Team Lists'!$E$5:$E$504,D783)&gt;0),"Yes",IF(AND(SUMPRODUCT(('Target &amp; Team Lists'!$N$5:$N$60&lt;&gt;"")*ISNUMBER(SEARCH('Target &amp; Team Lists'!$N$5:$N$60,(E783&amp;" "&amp;F783))))&gt;0,SUMPRODUCT(('Target &amp; Team Lists'!$O$5:$O$60&lt;&gt;"")*ISNUMBER(SEARCH('Target &amp; Team Lists'!$O$5:$O$60,(E783&amp;" "&amp;F783))))=0),"Yes","No"))))</f>
        <v/>
      </c>
      <c r="Q783" s="32"/>
    </row>
    <row r="784" customFormat="false" ht="15" hidden="false" customHeight="false" outlineLevel="0" collapsed="false">
      <c r="A784" s="30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3" t="str">
        <f aca="false">IF(D784="","",IF(SUM(I784:L784)&gt;0,1,0))</f>
        <v/>
      </c>
      <c r="O784" s="34" t="str">
        <f aca="false">IF(D784="","",IF(OR(COUNTIF('Target &amp; Team Lists'!$J$5:$J$204,D784)&gt;0,AND(H784&lt;&gt;"",COUNTIF('Target &amp; Team Lists'!$L$5:$L$204,H784)&gt;0),ISNUMBER(SEARCH("alpha nodus",(E784&amp;" "&amp;F784))),ISNUMBER(SEARCH("alphanodus",(E784&amp;" "&amp;F784)))),"Yes","No"))</f>
        <v/>
      </c>
      <c r="P784" s="34" t="str">
        <f aca="false">IF(D784="","",IF(O784="Yes","No",IF(OR(AND(F784&lt;&gt;"",COUNTIF('Target &amp; Team Lists'!$A$5:$A$504,F784)&gt;0),COUNTIF('Target &amp; Team Lists'!$E$5:$E$504,D784)&gt;0),"Yes",IF(AND(SUMPRODUCT(('Target &amp; Team Lists'!$N$5:$N$60&lt;&gt;"")*ISNUMBER(SEARCH('Target &amp; Team Lists'!$N$5:$N$60,(E784&amp;" "&amp;F784))))&gt;0,SUMPRODUCT(('Target &amp; Team Lists'!$O$5:$O$60&lt;&gt;"")*ISNUMBER(SEARCH('Target &amp; Team Lists'!$O$5:$O$60,(E784&amp;" "&amp;F784))))=0),"Yes","No"))))</f>
        <v/>
      </c>
      <c r="Q784" s="32"/>
    </row>
    <row r="785" customFormat="false" ht="15" hidden="false" customHeight="false" outlineLevel="0" collapsed="false">
      <c r="A785" s="30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3" t="str">
        <f aca="false">IF(D785="","",IF(SUM(I785:L785)&gt;0,1,0))</f>
        <v/>
      </c>
      <c r="O785" s="34" t="str">
        <f aca="false">IF(D785="","",IF(OR(COUNTIF('Target &amp; Team Lists'!$J$5:$J$204,D785)&gt;0,AND(H785&lt;&gt;"",COUNTIF('Target &amp; Team Lists'!$L$5:$L$204,H785)&gt;0),ISNUMBER(SEARCH("alpha nodus",(E785&amp;" "&amp;F785))),ISNUMBER(SEARCH("alphanodus",(E785&amp;" "&amp;F785)))),"Yes","No"))</f>
        <v/>
      </c>
      <c r="P785" s="34" t="str">
        <f aca="false">IF(D785="","",IF(O785="Yes","No",IF(OR(AND(F785&lt;&gt;"",COUNTIF('Target &amp; Team Lists'!$A$5:$A$504,F785)&gt;0),COUNTIF('Target &amp; Team Lists'!$E$5:$E$504,D785)&gt;0),"Yes",IF(AND(SUMPRODUCT(('Target &amp; Team Lists'!$N$5:$N$60&lt;&gt;"")*ISNUMBER(SEARCH('Target &amp; Team Lists'!$N$5:$N$60,(E785&amp;" "&amp;F785))))&gt;0,SUMPRODUCT(('Target &amp; Team Lists'!$O$5:$O$60&lt;&gt;"")*ISNUMBER(SEARCH('Target &amp; Team Lists'!$O$5:$O$60,(E785&amp;" "&amp;F785))))=0),"Yes","No"))))</f>
        <v/>
      </c>
      <c r="Q785" s="32"/>
    </row>
    <row r="786" customFormat="false" ht="15" hidden="false" customHeight="false" outlineLevel="0" collapsed="false">
      <c r="A786" s="30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3" t="str">
        <f aca="false">IF(D786="","",IF(SUM(I786:L786)&gt;0,1,0))</f>
        <v/>
      </c>
      <c r="O786" s="34" t="str">
        <f aca="false">IF(D786="","",IF(OR(COUNTIF('Target &amp; Team Lists'!$J$5:$J$204,D786)&gt;0,AND(H786&lt;&gt;"",COUNTIF('Target &amp; Team Lists'!$L$5:$L$204,H786)&gt;0),ISNUMBER(SEARCH("alpha nodus",(E786&amp;" "&amp;F786))),ISNUMBER(SEARCH("alphanodus",(E786&amp;" "&amp;F786)))),"Yes","No"))</f>
        <v/>
      </c>
      <c r="P786" s="34" t="str">
        <f aca="false">IF(D786="","",IF(O786="Yes","No",IF(OR(AND(F786&lt;&gt;"",COUNTIF('Target &amp; Team Lists'!$A$5:$A$504,F786)&gt;0),COUNTIF('Target &amp; Team Lists'!$E$5:$E$504,D786)&gt;0),"Yes",IF(AND(SUMPRODUCT(('Target &amp; Team Lists'!$N$5:$N$60&lt;&gt;"")*ISNUMBER(SEARCH('Target &amp; Team Lists'!$N$5:$N$60,(E786&amp;" "&amp;F786))))&gt;0,SUMPRODUCT(('Target &amp; Team Lists'!$O$5:$O$60&lt;&gt;"")*ISNUMBER(SEARCH('Target &amp; Team Lists'!$O$5:$O$60,(E786&amp;" "&amp;F786))))=0),"Yes","No"))))</f>
        <v/>
      </c>
      <c r="Q786" s="32"/>
    </row>
    <row r="787" customFormat="false" ht="15" hidden="false" customHeight="false" outlineLevel="0" collapsed="false">
      <c r="A787" s="30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3" t="str">
        <f aca="false">IF(D787="","",IF(SUM(I787:L787)&gt;0,1,0))</f>
        <v/>
      </c>
      <c r="O787" s="34" t="str">
        <f aca="false">IF(D787="","",IF(OR(COUNTIF('Target &amp; Team Lists'!$J$5:$J$204,D787)&gt;0,AND(H787&lt;&gt;"",COUNTIF('Target &amp; Team Lists'!$L$5:$L$204,H787)&gt;0),ISNUMBER(SEARCH("alpha nodus",(E787&amp;" "&amp;F787))),ISNUMBER(SEARCH("alphanodus",(E787&amp;" "&amp;F787)))),"Yes","No"))</f>
        <v/>
      </c>
      <c r="P787" s="34" t="str">
        <f aca="false">IF(D787="","",IF(O787="Yes","No",IF(OR(AND(F787&lt;&gt;"",COUNTIF('Target &amp; Team Lists'!$A$5:$A$504,F787)&gt;0),COUNTIF('Target &amp; Team Lists'!$E$5:$E$504,D787)&gt;0),"Yes",IF(AND(SUMPRODUCT(('Target &amp; Team Lists'!$N$5:$N$60&lt;&gt;"")*ISNUMBER(SEARCH('Target &amp; Team Lists'!$N$5:$N$60,(E787&amp;" "&amp;F787))))&gt;0,SUMPRODUCT(('Target &amp; Team Lists'!$O$5:$O$60&lt;&gt;"")*ISNUMBER(SEARCH('Target &amp; Team Lists'!$O$5:$O$60,(E787&amp;" "&amp;F787))))=0),"Yes","No"))))</f>
        <v/>
      </c>
      <c r="Q787" s="32"/>
    </row>
    <row r="788" customFormat="false" ht="15" hidden="false" customHeight="false" outlineLevel="0" collapsed="false">
      <c r="A788" s="30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3" t="str">
        <f aca="false">IF(D788="","",IF(SUM(I788:L788)&gt;0,1,0))</f>
        <v/>
      </c>
      <c r="O788" s="34" t="str">
        <f aca="false">IF(D788="","",IF(OR(COUNTIF('Target &amp; Team Lists'!$J$5:$J$204,D788)&gt;0,AND(H788&lt;&gt;"",COUNTIF('Target &amp; Team Lists'!$L$5:$L$204,H788)&gt;0),ISNUMBER(SEARCH("alpha nodus",(E788&amp;" "&amp;F788))),ISNUMBER(SEARCH("alphanodus",(E788&amp;" "&amp;F788)))),"Yes","No"))</f>
        <v/>
      </c>
      <c r="P788" s="34" t="str">
        <f aca="false">IF(D788="","",IF(O788="Yes","No",IF(OR(AND(F788&lt;&gt;"",COUNTIF('Target &amp; Team Lists'!$A$5:$A$504,F788)&gt;0),COUNTIF('Target &amp; Team Lists'!$E$5:$E$504,D788)&gt;0),"Yes",IF(AND(SUMPRODUCT(('Target &amp; Team Lists'!$N$5:$N$60&lt;&gt;"")*ISNUMBER(SEARCH('Target &amp; Team Lists'!$N$5:$N$60,(E788&amp;" "&amp;F788))))&gt;0,SUMPRODUCT(('Target &amp; Team Lists'!$O$5:$O$60&lt;&gt;"")*ISNUMBER(SEARCH('Target &amp; Team Lists'!$O$5:$O$60,(E788&amp;" "&amp;F788))))=0),"Yes","No"))))</f>
        <v/>
      </c>
      <c r="Q788" s="32"/>
    </row>
    <row r="789" customFormat="false" ht="15" hidden="false" customHeight="false" outlineLevel="0" collapsed="false">
      <c r="A789" s="30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3" t="str">
        <f aca="false">IF(D789="","",IF(SUM(I789:L789)&gt;0,1,0))</f>
        <v/>
      </c>
      <c r="O789" s="34" t="str">
        <f aca="false">IF(D789="","",IF(OR(COUNTIF('Target &amp; Team Lists'!$J$5:$J$204,D789)&gt;0,AND(H789&lt;&gt;"",COUNTIF('Target &amp; Team Lists'!$L$5:$L$204,H789)&gt;0),ISNUMBER(SEARCH("alpha nodus",(E789&amp;" "&amp;F789))),ISNUMBER(SEARCH("alphanodus",(E789&amp;" "&amp;F789)))),"Yes","No"))</f>
        <v/>
      </c>
      <c r="P789" s="34" t="str">
        <f aca="false">IF(D789="","",IF(O789="Yes","No",IF(OR(AND(F789&lt;&gt;"",COUNTIF('Target &amp; Team Lists'!$A$5:$A$504,F789)&gt;0),COUNTIF('Target &amp; Team Lists'!$E$5:$E$504,D789)&gt;0),"Yes",IF(AND(SUMPRODUCT(('Target &amp; Team Lists'!$N$5:$N$60&lt;&gt;"")*ISNUMBER(SEARCH('Target &amp; Team Lists'!$N$5:$N$60,(E789&amp;" "&amp;F789))))&gt;0,SUMPRODUCT(('Target &amp; Team Lists'!$O$5:$O$60&lt;&gt;"")*ISNUMBER(SEARCH('Target &amp; Team Lists'!$O$5:$O$60,(E789&amp;" "&amp;F789))))=0),"Yes","No"))))</f>
        <v/>
      </c>
      <c r="Q789" s="32"/>
    </row>
    <row r="790" customFormat="false" ht="15" hidden="false" customHeight="false" outlineLevel="0" collapsed="false">
      <c r="A790" s="30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3" t="str">
        <f aca="false">IF(D790="","",IF(SUM(I790:L790)&gt;0,1,0))</f>
        <v/>
      </c>
      <c r="O790" s="34" t="str">
        <f aca="false">IF(D790="","",IF(OR(COUNTIF('Target &amp; Team Lists'!$J$5:$J$204,D790)&gt;0,AND(H790&lt;&gt;"",COUNTIF('Target &amp; Team Lists'!$L$5:$L$204,H790)&gt;0),ISNUMBER(SEARCH("alpha nodus",(E790&amp;" "&amp;F790))),ISNUMBER(SEARCH("alphanodus",(E790&amp;" "&amp;F790)))),"Yes","No"))</f>
        <v/>
      </c>
      <c r="P790" s="34" t="str">
        <f aca="false">IF(D790="","",IF(O790="Yes","No",IF(OR(AND(F790&lt;&gt;"",COUNTIF('Target &amp; Team Lists'!$A$5:$A$504,F790)&gt;0),COUNTIF('Target &amp; Team Lists'!$E$5:$E$504,D790)&gt;0),"Yes",IF(AND(SUMPRODUCT(('Target &amp; Team Lists'!$N$5:$N$60&lt;&gt;"")*ISNUMBER(SEARCH('Target &amp; Team Lists'!$N$5:$N$60,(E790&amp;" "&amp;F790))))&gt;0,SUMPRODUCT(('Target &amp; Team Lists'!$O$5:$O$60&lt;&gt;"")*ISNUMBER(SEARCH('Target &amp; Team Lists'!$O$5:$O$60,(E790&amp;" "&amp;F790))))=0),"Yes","No"))))</f>
        <v/>
      </c>
      <c r="Q790" s="32"/>
    </row>
    <row r="791" customFormat="false" ht="15" hidden="false" customHeight="false" outlineLevel="0" collapsed="false">
      <c r="A791" s="30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3" t="str">
        <f aca="false">IF(D791="","",IF(SUM(I791:L791)&gt;0,1,0))</f>
        <v/>
      </c>
      <c r="O791" s="34" t="str">
        <f aca="false">IF(D791="","",IF(OR(COUNTIF('Target &amp; Team Lists'!$J$5:$J$204,D791)&gt;0,AND(H791&lt;&gt;"",COUNTIF('Target &amp; Team Lists'!$L$5:$L$204,H791)&gt;0),ISNUMBER(SEARCH("alpha nodus",(E791&amp;" "&amp;F791))),ISNUMBER(SEARCH("alphanodus",(E791&amp;" "&amp;F791)))),"Yes","No"))</f>
        <v/>
      </c>
      <c r="P791" s="34" t="str">
        <f aca="false">IF(D791="","",IF(O791="Yes","No",IF(OR(AND(F791&lt;&gt;"",COUNTIF('Target &amp; Team Lists'!$A$5:$A$504,F791)&gt;0),COUNTIF('Target &amp; Team Lists'!$E$5:$E$504,D791)&gt;0),"Yes",IF(AND(SUMPRODUCT(('Target &amp; Team Lists'!$N$5:$N$60&lt;&gt;"")*ISNUMBER(SEARCH('Target &amp; Team Lists'!$N$5:$N$60,(E791&amp;" "&amp;F791))))&gt;0,SUMPRODUCT(('Target &amp; Team Lists'!$O$5:$O$60&lt;&gt;"")*ISNUMBER(SEARCH('Target &amp; Team Lists'!$O$5:$O$60,(E791&amp;" "&amp;F791))))=0),"Yes","No"))))</f>
        <v/>
      </c>
      <c r="Q791" s="32"/>
    </row>
    <row r="792" customFormat="false" ht="15" hidden="false" customHeight="false" outlineLevel="0" collapsed="false">
      <c r="A792" s="30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3" t="str">
        <f aca="false">IF(D792="","",IF(SUM(I792:L792)&gt;0,1,0))</f>
        <v/>
      </c>
      <c r="O792" s="34" t="str">
        <f aca="false">IF(D792="","",IF(OR(COUNTIF('Target &amp; Team Lists'!$J$5:$J$204,D792)&gt;0,AND(H792&lt;&gt;"",COUNTIF('Target &amp; Team Lists'!$L$5:$L$204,H792)&gt;0),ISNUMBER(SEARCH("alpha nodus",(E792&amp;" "&amp;F792))),ISNUMBER(SEARCH("alphanodus",(E792&amp;" "&amp;F792)))),"Yes","No"))</f>
        <v/>
      </c>
      <c r="P792" s="34" t="str">
        <f aca="false">IF(D792="","",IF(O792="Yes","No",IF(OR(AND(F792&lt;&gt;"",COUNTIF('Target &amp; Team Lists'!$A$5:$A$504,F792)&gt;0),COUNTIF('Target &amp; Team Lists'!$E$5:$E$504,D792)&gt;0),"Yes",IF(AND(SUMPRODUCT(('Target &amp; Team Lists'!$N$5:$N$60&lt;&gt;"")*ISNUMBER(SEARCH('Target &amp; Team Lists'!$N$5:$N$60,(E792&amp;" "&amp;F792))))&gt;0,SUMPRODUCT(('Target &amp; Team Lists'!$O$5:$O$60&lt;&gt;"")*ISNUMBER(SEARCH('Target &amp; Team Lists'!$O$5:$O$60,(E792&amp;" "&amp;F792))))=0),"Yes","No"))))</f>
        <v/>
      </c>
      <c r="Q792" s="32"/>
    </row>
    <row r="793" customFormat="false" ht="15" hidden="false" customHeight="false" outlineLevel="0" collapsed="false">
      <c r="A793" s="30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3" t="str">
        <f aca="false">IF(D793="","",IF(SUM(I793:L793)&gt;0,1,0))</f>
        <v/>
      </c>
      <c r="O793" s="34" t="str">
        <f aca="false">IF(D793="","",IF(OR(COUNTIF('Target &amp; Team Lists'!$J$5:$J$204,D793)&gt;0,AND(H793&lt;&gt;"",COUNTIF('Target &amp; Team Lists'!$L$5:$L$204,H793)&gt;0),ISNUMBER(SEARCH("alpha nodus",(E793&amp;" "&amp;F793))),ISNUMBER(SEARCH("alphanodus",(E793&amp;" "&amp;F793)))),"Yes","No"))</f>
        <v/>
      </c>
      <c r="P793" s="34" t="str">
        <f aca="false">IF(D793="","",IF(O793="Yes","No",IF(OR(AND(F793&lt;&gt;"",COUNTIF('Target &amp; Team Lists'!$A$5:$A$504,F793)&gt;0),COUNTIF('Target &amp; Team Lists'!$E$5:$E$504,D793)&gt;0),"Yes",IF(AND(SUMPRODUCT(('Target &amp; Team Lists'!$N$5:$N$60&lt;&gt;"")*ISNUMBER(SEARCH('Target &amp; Team Lists'!$N$5:$N$60,(E793&amp;" "&amp;F793))))&gt;0,SUMPRODUCT(('Target &amp; Team Lists'!$O$5:$O$60&lt;&gt;"")*ISNUMBER(SEARCH('Target &amp; Team Lists'!$O$5:$O$60,(E793&amp;" "&amp;F793))))=0),"Yes","No"))))</f>
        <v/>
      </c>
      <c r="Q793" s="32"/>
    </row>
    <row r="794" customFormat="false" ht="15" hidden="false" customHeight="false" outlineLevel="0" collapsed="false">
      <c r="A794" s="30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3" t="str">
        <f aca="false">IF(D794="","",IF(SUM(I794:L794)&gt;0,1,0))</f>
        <v/>
      </c>
      <c r="O794" s="34" t="str">
        <f aca="false">IF(D794="","",IF(OR(COUNTIF('Target &amp; Team Lists'!$J$5:$J$204,D794)&gt;0,AND(H794&lt;&gt;"",COUNTIF('Target &amp; Team Lists'!$L$5:$L$204,H794)&gt;0),ISNUMBER(SEARCH("alpha nodus",(E794&amp;" "&amp;F794))),ISNUMBER(SEARCH("alphanodus",(E794&amp;" "&amp;F794)))),"Yes","No"))</f>
        <v/>
      </c>
      <c r="P794" s="34" t="str">
        <f aca="false">IF(D794="","",IF(O794="Yes","No",IF(OR(AND(F794&lt;&gt;"",COUNTIF('Target &amp; Team Lists'!$A$5:$A$504,F794)&gt;0),COUNTIF('Target &amp; Team Lists'!$E$5:$E$504,D794)&gt;0),"Yes",IF(AND(SUMPRODUCT(('Target &amp; Team Lists'!$N$5:$N$60&lt;&gt;"")*ISNUMBER(SEARCH('Target &amp; Team Lists'!$N$5:$N$60,(E794&amp;" "&amp;F794))))&gt;0,SUMPRODUCT(('Target &amp; Team Lists'!$O$5:$O$60&lt;&gt;"")*ISNUMBER(SEARCH('Target &amp; Team Lists'!$O$5:$O$60,(E794&amp;" "&amp;F794))))=0),"Yes","No"))))</f>
        <v/>
      </c>
      <c r="Q794" s="32"/>
    </row>
    <row r="795" customFormat="false" ht="15" hidden="false" customHeight="false" outlineLevel="0" collapsed="false">
      <c r="A795" s="30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3" t="str">
        <f aca="false">IF(D795="","",IF(SUM(I795:L795)&gt;0,1,0))</f>
        <v/>
      </c>
      <c r="O795" s="34" t="str">
        <f aca="false">IF(D795="","",IF(OR(COUNTIF('Target &amp; Team Lists'!$J$5:$J$204,D795)&gt;0,AND(H795&lt;&gt;"",COUNTIF('Target &amp; Team Lists'!$L$5:$L$204,H795)&gt;0),ISNUMBER(SEARCH("alpha nodus",(E795&amp;" "&amp;F795))),ISNUMBER(SEARCH("alphanodus",(E795&amp;" "&amp;F795)))),"Yes","No"))</f>
        <v/>
      </c>
      <c r="P795" s="34" t="str">
        <f aca="false">IF(D795="","",IF(O795="Yes","No",IF(OR(AND(F795&lt;&gt;"",COUNTIF('Target &amp; Team Lists'!$A$5:$A$504,F795)&gt;0),COUNTIF('Target &amp; Team Lists'!$E$5:$E$504,D795)&gt;0),"Yes",IF(AND(SUMPRODUCT(('Target &amp; Team Lists'!$N$5:$N$60&lt;&gt;"")*ISNUMBER(SEARCH('Target &amp; Team Lists'!$N$5:$N$60,(E795&amp;" "&amp;F795))))&gt;0,SUMPRODUCT(('Target &amp; Team Lists'!$O$5:$O$60&lt;&gt;"")*ISNUMBER(SEARCH('Target &amp; Team Lists'!$O$5:$O$60,(E795&amp;" "&amp;F795))))=0),"Yes","No"))))</f>
        <v/>
      </c>
      <c r="Q795" s="32"/>
    </row>
    <row r="796" customFormat="false" ht="15" hidden="false" customHeight="false" outlineLevel="0" collapsed="false">
      <c r="A796" s="30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3" t="str">
        <f aca="false">IF(D796="","",IF(SUM(I796:L796)&gt;0,1,0))</f>
        <v/>
      </c>
      <c r="O796" s="34" t="str">
        <f aca="false">IF(D796="","",IF(OR(COUNTIF('Target &amp; Team Lists'!$J$5:$J$204,D796)&gt;0,AND(H796&lt;&gt;"",COUNTIF('Target &amp; Team Lists'!$L$5:$L$204,H796)&gt;0),ISNUMBER(SEARCH("alpha nodus",(E796&amp;" "&amp;F796))),ISNUMBER(SEARCH("alphanodus",(E796&amp;" "&amp;F796)))),"Yes","No"))</f>
        <v/>
      </c>
      <c r="P796" s="34" t="str">
        <f aca="false">IF(D796="","",IF(O796="Yes","No",IF(OR(AND(F796&lt;&gt;"",COUNTIF('Target &amp; Team Lists'!$A$5:$A$504,F796)&gt;0),COUNTIF('Target &amp; Team Lists'!$E$5:$E$504,D796)&gt;0),"Yes",IF(AND(SUMPRODUCT(('Target &amp; Team Lists'!$N$5:$N$60&lt;&gt;"")*ISNUMBER(SEARCH('Target &amp; Team Lists'!$N$5:$N$60,(E796&amp;" "&amp;F796))))&gt;0,SUMPRODUCT(('Target &amp; Team Lists'!$O$5:$O$60&lt;&gt;"")*ISNUMBER(SEARCH('Target &amp; Team Lists'!$O$5:$O$60,(E796&amp;" "&amp;F796))))=0),"Yes","No"))))</f>
        <v/>
      </c>
      <c r="Q796" s="32"/>
    </row>
    <row r="797" customFormat="false" ht="15" hidden="false" customHeight="false" outlineLevel="0" collapsed="false">
      <c r="A797" s="30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3" t="str">
        <f aca="false">IF(D797="","",IF(SUM(I797:L797)&gt;0,1,0))</f>
        <v/>
      </c>
      <c r="O797" s="34" t="str">
        <f aca="false">IF(D797="","",IF(OR(COUNTIF('Target &amp; Team Lists'!$J$5:$J$204,D797)&gt;0,AND(H797&lt;&gt;"",COUNTIF('Target &amp; Team Lists'!$L$5:$L$204,H797)&gt;0),ISNUMBER(SEARCH("alpha nodus",(E797&amp;" "&amp;F797))),ISNUMBER(SEARCH("alphanodus",(E797&amp;" "&amp;F797)))),"Yes","No"))</f>
        <v/>
      </c>
      <c r="P797" s="34" t="str">
        <f aca="false">IF(D797="","",IF(O797="Yes","No",IF(OR(AND(F797&lt;&gt;"",COUNTIF('Target &amp; Team Lists'!$A$5:$A$504,F797)&gt;0),COUNTIF('Target &amp; Team Lists'!$E$5:$E$504,D797)&gt;0),"Yes",IF(AND(SUMPRODUCT(('Target &amp; Team Lists'!$N$5:$N$60&lt;&gt;"")*ISNUMBER(SEARCH('Target &amp; Team Lists'!$N$5:$N$60,(E797&amp;" "&amp;F797))))&gt;0,SUMPRODUCT(('Target &amp; Team Lists'!$O$5:$O$60&lt;&gt;"")*ISNUMBER(SEARCH('Target &amp; Team Lists'!$O$5:$O$60,(E797&amp;" "&amp;F797))))=0),"Yes","No"))))</f>
        <v/>
      </c>
      <c r="Q797" s="32"/>
    </row>
    <row r="798" customFormat="false" ht="15" hidden="false" customHeight="false" outlineLevel="0" collapsed="false">
      <c r="A798" s="30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3" t="str">
        <f aca="false">IF(D798="","",IF(SUM(I798:L798)&gt;0,1,0))</f>
        <v/>
      </c>
      <c r="O798" s="34" t="str">
        <f aca="false">IF(D798="","",IF(OR(COUNTIF('Target &amp; Team Lists'!$J$5:$J$204,D798)&gt;0,AND(H798&lt;&gt;"",COUNTIF('Target &amp; Team Lists'!$L$5:$L$204,H798)&gt;0),ISNUMBER(SEARCH("alpha nodus",(E798&amp;" "&amp;F798))),ISNUMBER(SEARCH("alphanodus",(E798&amp;" "&amp;F798)))),"Yes","No"))</f>
        <v/>
      </c>
      <c r="P798" s="34" t="str">
        <f aca="false">IF(D798="","",IF(O798="Yes","No",IF(OR(AND(F798&lt;&gt;"",COUNTIF('Target &amp; Team Lists'!$A$5:$A$504,F798)&gt;0),COUNTIF('Target &amp; Team Lists'!$E$5:$E$504,D798)&gt;0),"Yes",IF(AND(SUMPRODUCT(('Target &amp; Team Lists'!$N$5:$N$60&lt;&gt;"")*ISNUMBER(SEARCH('Target &amp; Team Lists'!$N$5:$N$60,(E798&amp;" "&amp;F798))))&gt;0,SUMPRODUCT(('Target &amp; Team Lists'!$O$5:$O$60&lt;&gt;"")*ISNUMBER(SEARCH('Target &amp; Team Lists'!$O$5:$O$60,(E798&amp;" "&amp;F798))))=0),"Yes","No"))))</f>
        <v/>
      </c>
      <c r="Q798" s="32"/>
    </row>
    <row r="799" customFormat="false" ht="15" hidden="false" customHeight="false" outlineLevel="0" collapsed="false">
      <c r="A799" s="30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3" t="str">
        <f aca="false">IF(D799="","",IF(SUM(I799:L799)&gt;0,1,0))</f>
        <v/>
      </c>
      <c r="O799" s="34" t="str">
        <f aca="false">IF(D799="","",IF(OR(COUNTIF('Target &amp; Team Lists'!$J$5:$J$204,D799)&gt;0,AND(H799&lt;&gt;"",COUNTIF('Target &amp; Team Lists'!$L$5:$L$204,H799)&gt;0),ISNUMBER(SEARCH("alpha nodus",(E799&amp;" "&amp;F799))),ISNUMBER(SEARCH("alphanodus",(E799&amp;" "&amp;F799)))),"Yes","No"))</f>
        <v/>
      </c>
      <c r="P799" s="34" t="str">
        <f aca="false">IF(D799="","",IF(O799="Yes","No",IF(OR(AND(F799&lt;&gt;"",COUNTIF('Target &amp; Team Lists'!$A$5:$A$504,F799)&gt;0),COUNTIF('Target &amp; Team Lists'!$E$5:$E$504,D799)&gt;0),"Yes",IF(AND(SUMPRODUCT(('Target &amp; Team Lists'!$N$5:$N$60&lt;&gt;"")*ISNUMBER(SEARCH('Target &amp; Team Lists'!$N$5:$N$60,(E799&amp;" "&amp;F799))))&gt;0,SUMPRODUCT(('Target &amp; Team Lists'!$O$5:$O$60&lt;&gt;"")*ISNUMBER(SEARCH('Target &amp; Team Lists'!$O$5:$O$60,(E799&amp;" "&amp;F799))))=0),"Yes","No"))))</f>
        <v/>
      </c>
      <c r="Q799" s="32"/>
    </row>
    <row r="800" customFormat="false" ht="15" hidden="false" customHeight="false" outlineLevel="0" collapsed="false">
      <c r="A800" s="30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3" t="str">
        <f aca="false">IF(D800="","",IF(SUM(I800:L800)&gt;0,1,0))</f>
        <v/>
      </c>
      <c r="O800" s="34" t="str">
        <f aca="false">IF(D800="","",IF(OR(COUNTIF('Target &amp; Team Lists'!$J$5:$J$204,D800)&gt;0,AND(H800&lt;&gt;"",COUNTIF('Target &amp; Team Lists'!$L$5:$L$204,H800)&gt;0),ISNUMBER(SEARCH("alpha nodus",(E800&amp;" "&amp;F800))),ISNUMBER(SEARCH("alphanodus",(E800&amp;" "&amp;F800)))),"Yes","No"))</f>
        <v/>
      </c>
      <c r="P800" s="34" t="str">
        <f aca="false">IF(D800="","",IF(O800="Yes","No",IF(OR(AND(F800&lt;&gt;"",COUNTIF('Target &amp; Team Lists'!$A$5:$A$504,F800)&gt;0),COUNTIF('Target &amp; Team Lists'!$E$5:$E$504,D800)&gt;0),"Yes",IF(AND(SUMPRODUCT(('Target &amp; Team Lists'!$N$5:$N$60&lt;&gt;"")*ISNUMBER(SEARCH('Target &amp; Team Lists'!$N$5:$N$60,(E800&amp;" "&amp;F800))))&gt;0,SUMPRODUCT(('Target &amp; Team Lists'!$O$5:$O$60&lt;&gt;"")*ISNUMBER(SEARCH('Target &amp; Team Lists'!$O$5:$O$60,(E800&amp;" "&amp;F800))))=0),"Yes","No"))))</f>
        <v/>
      </c>
      <c r="Q800" s="32"/>
    </row>
    <row r="801" customFormat="false" ht="15" hidden="false" customHeight="false" outlineLevel="0" collapsed="false">
      <c r="A801" s="30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3" t="str">
        <f aca="false">IF(D801="","",IF(SUM(I801:L801)&gt;0,1,0))</f>
        <v/>
      </c>
      <c r="O801" s="34" t="str">
        <f aca="false">IF(D801="","",IF(OR(COUNTIF('Target &amp; Team Lists'!$J$5:$J$204,D801)&gt;0,AND(H801&lt;&gt;"",COUNTIF('Target &amp; Team Lists'!$L$5:$L$204,H801)&gt;0),ISNUMBER(SEARCH("alpha nodus",(E801&amp;" "&amp;F801))),ISNUMBER(SEARCH("alphanodus",(E801&amp;" "&amp;F801)))),"Yes","No"))</f>
        <v/>
      </c>
      <c r="P801" s="34" t="str">
        <f aca="false">IF(D801="","",IF(O801="Yes","No",IF(OR(AND(F801&lt;&gt;"",COUNTIF('Target &amp; Team Lists'!$A$5:$A$504,F801)&gt;0),COUNTIF('Target &amp; Team Lists'!$E$5:$E$504,D801)&gt;0),"Yes",IF(AND(SUMPRODUCT(('Target &amp; Team Lists'!$N$5:$N$60&lt;&gt;"")*ISNUMBER(SEARCH('Target &amp; Team Lists'!$N$5:$N$60,(E801&amp;" "&amp;F801))))&gt;0,SUMPRODUCT(('Target &amp; Team Lists'!$O$5:$O$60&lt;&gt;"")*ISNUMBER(SEARCH('Target &amp; Team Lists'!$O$5:$O$60,(E801&amp;" "&amp;F801))))=0),"Yes","No"))))</f>
        <v/>
      </c>
      <c r="Q801" s="32"/>
    </row>
    <row r="802" customFormat="false" ht="15" hidden="false" customHeight="false" outlineLevel="0" collapsed="false">
      <c r="A802" s="30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3" t="str">
        <f aca="false">IF(D802="","",IF(SUM(I802:L802)&gt;0,1,0))</f>
        <v/>
      </c>
      <c r="O802" s="34" t="str">
        <f aca="false">IF(D802="","",IF(OR(COUNTIF('Target &amp; Team Lists'!$J$5:$J$204,D802)&gt;0,AND(H802&lt;&gt;"",COUNTIF('Target &amp; Team Lists'!$L$5:$L$204,H802)&gt;0),ISNUMBER(SEARCH("alpha nodus",(E802&amp;" "&amp;F802))),ISNUMBER(SEARCH("alphanodus",(E802&amp;" "&amp;F802)))),"Yes","No"))</f>
        <v/>
      </c>
      <c r="P802" s="34" t="str">
        <f aca="false">IF(D802="","",IF(O802="Yes","No",IF(OR(AND(F802&lt;&gt;"",COUNTIF('Target &amp; Team Lists'!$A$5:$A$504,F802)&gt;0),COUNTIF('Target &amp; Team Lists'!$E$5:$E$504,D802)&gt;0),"Yes",IF(AND(SUMPRODUCT(('Target &amp; Team Lists'!$N$5:$N$60&lt;&gt;"")*ISNUMBER(SEARCH('Target &amp; Team Lists'!$N$5:$N$60,(E802&amp;" "&amp;F802))))&gt;0,SUMPRODUCT(('Target &amp; Team Lists'!$O$5:$O$60&lt;&gt;"")*ISNUMBER(SEARCH('Target &amp; Team Lists'!$O$5:$O$60,(E802&amp;" "&amp;F802))))=0),"Yes","No"))))</f>
        <v/>
      </c>
      <c r="Q802" s="32"/>
    </row>
    <row r="803" customFormat="false" ht="15" hidden="false" customHeight="false" outlineLevel="0" collapsed="false">
      <c r="A803" s="30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3" t="str">
        <f aca="false">IF(D803="","",IF(SUM(I803:L803)&gt;0,1,0))</f>
        <v/>
      </c>
      <c r="O803" s="34" t="str">
        <f aca="false">IF(D803="","",IF(OR(COUNTIF('Target &amp; Team Lists'!$J$5:$J$204,D803)&gt;0,AND(H803&lt;&gt;"",COUNTIF('Target &amp; Team Lists'!$L$5:$L$204,H803)&gt;0),ISNUMBER(SEARCH("alpha nodus",(E803&amp;" "&amp;F803))),ISNUMBER(SEARCH("alphanodus",(E803&amp;" "&amp;F803)))),"Yes","No"))</f>
        <v/>
      </c>
      <c r="P803" s="34" t="str">
        <f aca="false">IF(D803="","",IF(O803="Yes","No",IF(OR(AND(F803&lt;&gt;"",COUNTIF('Target &amp; Team Lists'!$A$5:$A$504,F803)&gt;0),COUNTIF('Target &amp; Team Lists'!$E$5:$E$504,D803)&gt;0),"Yes",IF(AND(SUMPRODUCT(('Target &amp; Team Lists'!$N$5:$N$60&lt;&gt;"")*ISNUMBER(SEARCH('Target &amp; Team Lists'!$N$5:$N$60,(E803&amp;" "&amp;F803))))&gt;0,SUMPRODUCT(('Target &amp; Team Lists'!$O$5:$O$60&lt;&gt;"")*ISNUMBER(SEARCH('Target &amp; Team Lists'!$O$5:$O$60,(E803&amp;" "&amp;F803))))=0),"Yes","No"))))</f>
        <v/>
      </c>
      <c r="Q803" s="32"/>
    </row>
    <row r="804" customFormat="false" ht="15" hidden="false" customHeight="false" outlineLevel="0" collapsed="false">
      <c r="A804" s="30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3" t="str">
        <f aca="false">IF(D804="","",IF(SUM(I804:L804)&gt;0,1,0))</f>
        <v/>
      </c>
      <c r="O804" s="34" t="str">
        <f aca="false">IF(D804="","",IF(OR(COUNTIF('Target &amp; Team Lists'!$J$5:$J$204,D804)&gt;0,AND(H804&lt;&gt;"",COUNTIF('Target &amp; Team Lists'!$L$5:$L$204,H804)&gt;0),ISNUMBER(SEARCH("alpha nodus",(E804&amp;" "&amp;F804))),ISNUMBER(SEARCH("alphanodus",(E804&amp;" "&amp;F804)))),"Yes","No"))</f>
        <v/>
      </c>
      <c r="P804" s="34" t="str">
        <f aca="false">IF(D804="","",IF(O804="Yes","No",IF(OR(AND(F804&lt;&gt;"",COUNTIF('Target &amp; Team Lists'!$A$5:$A$504,F804)&gt;0),COUNTIF('Target &amp; Team Lists'!$E$5:$E$504,D804)&gt;0),"Yes",IF(AND(SUMPRODUCT(('Target &amp; Team Lists'!$N$5:$N$60&lt;&gt;"")*ISNUMBER(SEARCH('Target &amp; Team Lists'!$N$5:$N$60,(E804&amp;" "&amp;F804))))&gt;0,SUMPRODUCT(('Target &amp; Team Lists'!$O$5:$O$60&lt;&gt;"")*ISNUMBER(SEARCH('Target &amp; Team Lists'!$O$5:$O$60,(E804&amp;" "&amp;F804))))=0),"Yes","No"))))</f>
        <v/>
      </c>
      <c r="Q804" s="32"/>
    </row>
    <row r="805" customFormat="false" ht="15" hidden="false" customHeight="false" outlineLevel="0" collapsed="false">
      <c r="A805" s="30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3" t="str">
        <f aca="false">IF(D805="","",IF(SUM(I805:L805)&gt;0,1,0))</f>
        <v/>
      </c>
      <c r="O805" s="34" t="str">
        <f aca="false">IF(D805="","",IF(OR(COUNTIF('Target &amp; Team Lists'!$J$5:$J$204,D805)&gt;0,AND(H805&lt;&gt;"",COUNTIF('Target &amp; Team Lists'!$L$5:$L$204,H805)&gt;0),ISNUMBER(SEARCH("alpha nodus",(E805&amp;" "&amp;F805))),ISNUMBER(SEARCH("alphanodus",(E805&amp;" "&amp;F805)))),"Yes","No"))</f>
        <v/>
      </c>
      <c r="P805" s="34" t="str">
        <f aca="false">IF(D805="","",IF(O805="Yes","No",IF(OR(AND(F805&lt;&gt;"",COUNTIF('Target &amp; Team Lists'!$A$5:$A$504,F805)&gt;0),COUNTIF('Target &amp; Team Lists'!$E$5:$E$504,D805)&gt;0),"Yes",IF(AND(SUMPRODUCT(('Target &amp; Team Lists'!$N$5:$N$60&lt;&gt;"")*ISNUMBER(SEARCH('Target &amp; Team Lists'!$N$5:$N$60,(E805&amp;" "&amp;F805))))&gt;0,SUMPRODUCT(('Target &amp; Team Lists'!$O$5:$O$60&lt;&gt;"")*ISNUMBER(SEARCH('Target &amp; Team Lists'!$O$5:$O$60,(E805&amp;" "&amp;F805))))=0),"Yes","No"))))</f>
        <v/>
      </c>
      <c r="Q805" s="32"/>
    </row>
    <row r="806" customFormat="false" ht="15" hidden="false" customHeight="false" outlineLevel="0" collapsed="false">
      <c r="A806" s="30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3" t="str">
        <f aca="false">IF(D806="","",IF(SUM(I806:L806)&gt;0,1,0))</f>
        <v/>
      </c>
      <c r="O806" s="34" t="str">
        <f aca="false">IF(D806="","",IF(OR(COUNTIF('Target &amp; Team Lists'!$J$5:$J$204,D806)&gt;0,AND(H806&lt;&gt;"",COUNTIF('Target &amp; Team Lists'!$L$5:$L$204,H806)&gt;0),ISNUMBER(SEARCH("alpha nodus",(E806&amp;" "&amp;F806))),ISNUMBER(SEARCH("alphanodus",(E806&amp;" "&amp;F806)))),"Yes","No"))</f>
        <v/>
      </c>
      <c r="P806" s="34" t="str">
        <f aca="false">IF(D806="","",IF(O806="Yes","No",IF(OR(AND(F806&lt;&gt;"",COUNTIF('Target &amp; Team Lists'!$A$5:$A$504,F806)&gt;0),COUNTIF('Target &amp; Team Lists'!$E$5:$E$504,D806)&gt;0),"Yes",IF(AND(SUMPRODUCT(('Target &amp; Team Lists'!$N$5:$N$60&lt;&gt;"")*ISNUMBER(SEARCH('Target &amp; Team Lists'!$N$5:$N$60,(E806&amp;" "&amp;F806))))&gt;0,SUMPRODUCT(('Target &amp; Team Lists'!$O$5:$O$60&lt;&gt;"")*ISNUMBER(SEARCH('Target &amp; Team Lists'!$O$5:$O$60,(E806&amp;" "&amp;F806))))=0),"Yes","No"))))</f>
        <v/>
      </c>
      <c r="Q806" s="32"/>
    </row>
    <row r="807" customFormat="false" ht="15" hidden="false" customHeight="false" outlineLevel="0" collapsed="false">
      <c r="A807" s="30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3" t="str">
        <f aca="false">IF(D807="","",IF(SUM(I807:L807)&gt;0,1,0))</f>
        <v/>
      </c>
      <c r="O807" s="34" t="str">
        <f aca="false">IF(D807="","",IF(OR(COUNTIF('Target &amp; Team Lists'!$J$5:$J$204,D807)&gt;0,AND(H807&lt;&gt;"",COUNTIF('Target &amp; Team Lists'!$L$5:$L$204,H807)&gt;0),ISNUMBER(SEARCH("alpha nodus",(E807&amp;" "&amp;F807))),ISNUMBER(SEARCH("alphanodus",(E807&amp;" "&amp;F807)))),"Yes","No"))</f>
        <v/>
      </c>
      <c r="P807" s="34" t="str">
        <f aca="false">IF(D807="","",IF(O807="Yes","No",IF(OR(AND(F807&lt;&gt;"",COUNTIF('Target &amp; Team Lists'!$A$5:$A$504,F807)&gt;0),COUNTIF('Target &amp; Team Lists'!$E$5:$E$504,D807)&gt;0),"Yes",IF(AND(SUMPRODUCT(('Target &amp; Team Lists'!$N$5:$N$60&lt;&gt;"")*ISNUMBER(SEARCH('Target &amp; Team Lists'!$N$5:$N$60,(E807&amp;" "&amp;F807))))&gt;0,SUMPRODUCT(('Target &amp; Team Lists'!$O$5:$O$60&lt;&gt;"")*ISNUMBER(SEARCH('Target &amp; Team Lists'!$O$5:$O$60,(E807&amp;" "&amp;F807))))=0),"Yes","No"))))</f>
        <v/>
      </c>
      <c r="Q807" s="32"/>
    </row>
    <row r="808" customFormat="false" ht="15" hidden="false" customHeight="false" outlineLevel="0" collapsed="false">
      <c r="A808" s="30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3" t="str">
        <f aca="false">IF(D808="","",IF(SUM(I808:L808)&gt;0,1,0))</f>
        <v/>
      </c>
      <c r="O808" s="34" t="str">
        <f aca="false">IF(D808="","",IF(OR(COUNTIF('Target &amp; Team Lists'!$J$5:$J$204,D808)&gt;0,AND(H808&lt;&gt;"",COUNTIF('Target &amp; Team Lists'!$L$5:$L$204,H808)&gt;0),ISNUMBER(SEARCH("alpha nodus",(E808&amp;" "&amp;F808))),ISNUMBER(SEARCH("alphanodus",(E808&amp;" "&amp;F808)))),"Yes","No"))</f>
        <v/>
      </c>
      <c r="P808" s="34" t="str">
        <f aca="false">IF(D808="","",IF(O808="Yes","No",IF(OR(AND(F808&lt;&gt;"",COUNTIF('Target &amp; Team Lists'!$A$5:$A$504,F808)&gt;0),COUNTIF('Target &amp; Team Lists'!$E$5:$E$504,D808)&gt;0),"Yes",IF(AND(SUMPRODUCT(('Target &amp; Team Lists'!$N$5:$N$60&lt;&gt;"")*ISNUMBER(SEARCH('Target &amp; Team Lists'!$N$5:$N$60,(E808&amp;" "&amp;F808))))&gt;0,SUMPRODUCT(('Target &amp; Team Lists'!$O$5:$O$60&lt;&gt;"")*ISNUMBER(SEARCH('Target &amp; Team Lists'!$O$5:$O$60,(E808&amp;" "&amp;F808))))=0),"Yes","No"))))</f>
        <v/>
      </c>
      <c r="Q808" s="32"/>
    </row>
    <row r="809" customFormat="false" ht="15" hidden="false" customHeight="false" outlineLevel="0" collapsed="false">
      <c r="A809" s="30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3" t="str">
        <f aca="false">IF(D809="","",IF(SUM(I809:L809)&gt;0,1,0))</f>
        <v/>
      </c>
      <c r="O809" s="34" t="str">
        <f aca="false">IF(D809="","",IF(OR(COUNTIF('Target &amp; Team Lists'!$J$5:$J$204,D809)&gt;0,AND(H809&lt;&gt;"",COUNTIF('Target &amp; Team Lists'!$L$5:$L$204,H809)&gt;0),ISNUMBER(SEARCH("alpha nodus",(E809&amp;" "&amp;F809))),ISNUMBER(SEARCH("alphanodus",(E809&amp;" "&amp;F809)))),"Yes","No"))</f>
        <v/>
      </c>
      <c r="P809" s="34" t="str">
        <f aca="false">IF(D809="","",IF(O809="Yes","No",IF(OR(AND(F809&lt;&gt;"",COUNTIF('Target &amp; Team Lists'!$A$5:$A$504,F809)&gt;0),COUNTIF('Target &amp; Team Lists'!$E$5:$E$504,D809)&gt;0),"Yes",IF(AND(SUMPRODUCT(('Target &amp; Team Lists'!$N$5:$N$60&lt;&gt;"")*ISNUMBER(SEARCH('Target &amp; Team Lists'!$N$5:$N$60,(E809&amp;" "&amp;F809))))&gt;0,SUMPRODUCT(('Target &amp; Team Lists'!$O$5:$O$60&lt;&gt;"")*ISNUMBER(SEARCH('Target &amp; Team Lists'!$O$5:$O$60,(E809&amp;" "&amp;F809))))=0),"Yes","No"))))</f>
        <v/>
      </c>
      <c r="Q809" s="32"/>
    </row>
    <row r="810" customFormat="false" ht="15" hidden="false" customHeight="false" outlineLevel="0" collapsed="false">
      <c r="A810" s="30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3" t="str">
        <f aca="false">IF(D810="","",IF(SUM(I810:L810)&gt;0,1,0))</f>
        <v/>
      </c>
      <c r="O810" s="34" t="str">
        <f aca="false">IF(D810="","",IF(OR(COUNTIF('Target &amp; Team Lists'!$J$5:$J$204,D810)&gt;0,AND(H810&lt;&gt;"",COUNTIF('Target &amp; Team Lists'!$L$5:$L$204,H810)&gt;0),ISNUMBER(SEARCH("alpha nodus",(E810&amp;" "&amp;F810))),ISNUMBER(SEARCH("alphanodus",(E810&amp;" "&amp;F810)))),"Yes","No"))</f>
        <v/>
      </c>
      <c r="P810" s="34" t="str">
        <f aca="false">IF(D810="","",IF(O810="Yes","No",IF(OR(AND(F810&lt;&gt;"",COUNTIF('Target &amp; Team Lists'!$A$5:$A$504,F810)&gt;0),COUNTIF('Target &amp; Team Lists'!$E$5:$E$504,D810)&gt;0),"Yes",IF(AND(SUMPRODUCT(('Target &amp; Team Lists'!$N$5:$N$60&lt;&gt;"")*ISNUMBER(SEARCH('Target &amp; Team Lists'!$N$5:$N$60,(E810&amp;" "&amp;F810))))&gt;0,SUMPRODUCT(('Target &amp; Team Lists'!$O$5:$O$60&lt;&gt;"")*ISNUMBER(SEARCH('Target &amp; Team Lists'!$O$5:$O$60,(E810&amp;" "&amp;F810))))=0),"Yes","No"))))</f>
        <v/>
      </c>
      <c r="Q810" s="32"/>
    </row>
    <row r="811" customFormat="false" ht="15" hidden="false" customHeight="false" outlineLevel="0" collapsed="false">
      <c r="A811" s="30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3" t="str">
        <f aca="false">IF(D811="","",IF(SUM(I811:L811)&gt;0,1,0))</f>
        <v/>
      </c>
      <c r="O811" s="34" t="str">
        <f aca="false">IF(D811="","",IF(OR(COUNTIF('Target &amp; Team Lists'!$J$5:$J$204,D811)&gt;0,AND(H811&lt;&gt;"",COUNTIF('Target &amp; Team Lists'!$L$5:$L$204,H811)&gt;0),ISNUMBER(SEARCH("alpha nodus",(E811&amp;" "&amp;F811))),ISNUMBER(SEARCH("alphanodus",(E811&amp;" "&amp;F811)))),"Yes","No"))</f>
        <v/>
      </c>
      <c r="P811" s="34" t="str">
        <f aca="false">IF(D811="","",IF(O811="Yes","No",IF(OR(AND(F811&lt;&gt;"",COUNTIF('Target &amp; Team Lists'!$A$5:$A$504,F811)&gt;0),COUNTIF('Target &amp; Team Lists'!$E$5:$E$504,D811)&gt;0),"Yes",IF(AND(SUMPRODUCT(('Target &amp; Team Lists'!$N$5:$N$60&lt;&gt;"")*ISNUMBER(SEARCH('Target &amp; Team Lists'!$N$5:$N$60,(E811&amp;" "&amp;F811))))&gt;0,SUMPRODUCT(('Target &amp; Team Lists'!$O$5:$O$60&lt;&gt;"")*ISNUMBER(SEARCH('Target &amp; Team Lists'!$O$5:$O$60,(E811&amp;" "&amp;F811))))=0),"Yes","No"))))</f>
        <v/>
      </c>
      <c r="Q811" s="32"/>
    </row>
    <row r="812" customFormat="false" ht="15" hidden="false" customHeight="false" outlineLevel="0" collapsed="false">
      <c r="A812" s="30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3" t="str">
        <f aca="false">IF(D812="","",IF(SUM(I812:L812)&gt;0,1,0))</f>
        <v/>
      </c>
      <c r="O812" s="34" t="str">
        <f aca="false">IF(D812="","",IF(OR(COUNTIF('Target &amp; Team Lists'!$J$5:$J$204,D812)&gt;0,AND(H812&lt;&gt;"",COUNTIF('Target &amp; Team Lists'!$L$5:$L$204,H812)&gt;0),ISNUMBER(SEARCH("alpha nodus",(E812&amp;" "&amp;F812))),ISNUMBER(SEARCH("alphanodus",(E812&amp;" "&amp;F812)))),"Yes","No"))</f>
        <v/>
      </c>
      <c r="P812" s="34" t="str">
        <f aca="false">IF(D812="","",IF(O812="Yes","No",IF(OR(AND(F812&lt;&gt;"",COUNTIF('Target &amp; Team Lists'!$A$5:$A$504,F812)&gt;0),COUNTIF('Target &amp; Team Lists'!$E$5:$E$504,D812)&gt;0),"Yes",IF(AND(SUMPRODUCT(('Target &amp; Team Lists'!$N$5:$N$60&lt;&gt;"")*ISNUMBER(SEARCH('Target &amp; Team Lists'!$N$5:$N$60,(E812&amp;" "&amp;F812))))&gt;0,SUMPRODUCT(('Target &amp; Team Lists'!$O$5:$O$60&lt;&gt;"")*ISNUMBER(SEARCH('Target &amp; Team Lists'!$O$5:$O$60,(E812&amp;" "&amp;F812))))=0),"Yes","No"))))</f>
        <v/>
      </c>
      <c r="Q812" s="32"/>
    </row>
    <row r="813" customFormat="false" ht="15" hidden="false" customHeight="false" outlineLevel="0" collapsed="false">
      <c r="A813" s="30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3" t="str">
        <f aca="false">IF(D813="","",IF(SUM(I813:L813)&gt;0,1,0))</f>
        <v/>
      </c>
      <c r="O813" s="34" t="str">
        <f aca="false">IF(D813="","",IF(OR(COUNTIF('Target &amp; Team Lists'!$J$5:$J$204,D813)&gt;0,AND(H813&lt;&gt;"",COUNTIF('Target &amp; Team Lists'!$L$5:$L$204,H813)&gt;0),ISNUMBER(SEARCH("alpha nodus",(E813&amp;" "&amp;F813))),ISNUMBER(SEARCH("alphanodus",(E813&amp;" "&amp;F813)))),"Yes","No"))</f>
        <v/>
      </c>
      <c r="P813" s="34" t="str">
        <f aca="false">IF(D813="","",IF(O813="Yes","No",IF(OR(AND(F813&lt;&gt;"",COUNTIF('Target &amp; Team Lists'!$A$5:$A$504,F813)&gt;0),COUNTIF('Target &amp; Team Lists'!$E$5:$E$504,D813)&gt;0),"Yes",IF(AND(SUMPRODUCT(('Target &amp; Team Lists'!$N$5:$N$60&lt;&gt;"")*ISNUMBER(SEARCH('Target &amp; Team Lists'!$N$5:$N$60,(E813&amp;" "&amp;F813))))&gt;0,SUMPRODUCT(('Target &amp; Team Lists'!$O$5:$O$60&lt;&gt;"")*ISNUMBER(SEARCH('Target &amp; Team Lists'!$O$5:$O$60,(E813&amp;" "&amp;F813))))=0),"Yes","No"))))</f>
        <v/>
      </c>
      <c r="Q813" s="32"/>
    </row>
    <row r="814" customFormat="false" ht="15" hidden="false" customHeight="false" outlineLevel="0" collapsed="false">
      <c r="A814" s="30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3" t="str">
        <f aca="false">IF(D814="","",IF(SUM(I814:L814)&gt;0,1,0))</f>
        <v/>
      </c>
      <c r="O814" s="34" t="str">
        <f aca="false">IF(D814="","",IF(OR(COUNTIF('Target &amp; Team Lists'!$J$5:$J$204,D814)&gt;0,AND(H814&lt;&gt;"",COUNTIF('Target &amp; Team Lists'!$L$5:$L$204,H814)&gt;0),ISNUMBER(SEARCH("alpha nodus",(E814&amp;" "&amp;F814))),ISNUMBER(SEARCH("alphanodus",(E814&amp;" "&amp;F814)))),"Yes","No"))</f>
        <v/>
      </c>
      <c r="P814" s="34" t="str">
        <f aca="false">IF(D814="","",IF(O814="Yes","No",IF(OR(AND(F814&lt;&gt;"",COUNTIF('Target &amp; Team Lists'!$A$5:$A$504,F814)&gt;0),COUNTIF('Target &amp; Team Lists'!$E$5:$E$504,D814)&gt;0),"Yes",IF(AND(SUMPRODUCT(('Target &amp; Team Lists'!$N$5:$N$60&lt;&gt;"")*ISNUMBER(SEARCH('Target &amp; Team Lists'!$N$5:$N$60,(E814&amp;" "&amp;F814))))&gt;0,SUMPRODUCT(('Target &amp; Team Lists'!$O$5:$O$60&lt;&gt;"")*ISNUMBER(SEARCH('Target &amp; Team Lists'!$O$5:$O$60,(E814&amp;" "&amp;F814))))=0),"Yes","No"))))</f>
        <v/>
      </c>
      <c r="Q814" s="32"/>
    </row>
    <row r="815" customFormat="false" ht="15" hidden="false" customHeight="false" outlineLevel="0" collapsed="false">
      <c r="A815" s="30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3" t="str">
        <f aca="false">IF(D815="","",IF(SUM(I815:L815)&gt;0,1,0))</f>
        <v/>
      </c>
      <c r="O815" s="34" t="str">
        <f aca="false">IF(D815="","",IF(OR(COUNTIF('Target &amp; Team Lists'!$J$5:$J$204,D815)&gt;0,AND(H815&lt;&gt;"",COUNTIF('Target &amp; Team Lists'!$L$5:$L$204,H815)&gt;0),ISNUMBER(SEARCH("alpha nodus",(E815&amp;" "&amp;F815))),ISNUMBER(SEARCH("alphanodus",(E815&amp;" "&amp;F815)))),"Yes","No"))</f>
        <v/>
      </c>
      <c r="P815" s="34" t="str">
        <f aca="false">IF(D815="","",IF(O815="Yes","No",IF(OR(AND(F815&lt;&gt;"",COUNTIF('Target &amp; Team Lists'!$A$5:$A$504,F815)&gt;0),COUNTIF('Target &amp; Team Lists'!$E$5:$E$504,D815)&gt;0),"Yes",IF(AND(SUMPRODUCT(('Target &amp; Team Lists'!$N$5:$N$60&lt;&gt;"")*ISNUMBER(SEARCH('Target &amp; Team Lists'!$N$5:$N$60,(E815&amp;" "&amp;F815))))&gt;0,SUMPRODUCT(('Target &amp; Team Lists'!$O$5:$O$60&lt;&gt;"")*ISNUMBER(SEARCH('Target &amp; Team Lists'!$O$5:$O$60,(E815&amp;" "&amp;F815))))=0),"Yes","No"))))</f>
        <v/>
      </c>
      <c r="Q815" s="32"/>
    </row>
    <row r="816" customFormat="false" ht="15" hidden="false" customHeight="false" outlineLevel="0" collapsed="false">
      <c r="A816" s="30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3" t="str">
        <f aca="false">IF(D816="","",IF(SUM(I816:L816)&gt;0,1,0))</f>
        <v/>
      </c>
      <c r="O816" s="34" t="str">
        <f aca="false">IF(D816="","",IF(OR(COUNTIF('Target &amp; Team Lists'!$J$5:$J$204,D816)&gt;0,AND(H816&lt;&gt;"",COUNTIF('Target &amp; Team Lists'!$L$5:$L$204,H816)&gt;0),ISNUMBER(SEARCH("alpha nodus",(E816&amp;" "&amp;F816))),ISNUMBER(SEARCH("alphanodus",(E816&amp;" "&amp;F816)))),"Yes","No"))</f>
        <v/>
      </c>
      <c r="P816" s="34" t="str">
        <f aca="false">IF(D816="","",IF(O816="Yes","No",IF(OR(AND(F816&lt;&gt;"",COUNTIF('Target &amp; Team Lists'!$A$5:$A$504,F816)&gt;0),COUNTIF('Target &amp; Team Lists'!$E$5:$E$504,D816)&gt;0),"Yes",IF(AND(SUMPRODUCT(('Target &amp; Team Lists'!$N$5:$N$60&lt;&gt;"")*ISNUMBER(SEARCH('Target &amp; Team Lists'!$N$5:$N$60,(E816&amp;" "&amp;F816))))&gt;0,SUMPRODUCT(('Target &amp; Team Lists'!$O$5:$O$60&lt;&gt;"")*ISNUMBER(SEARCH('Target &amp; Team Lists'!$O$5:$O$60,(E816&amp;" "&amp;F816))))=0),"Yes","No"))))</f>
        <v/>
      </c>
      <c r="Q816" s="32"/>
    </row>
    <row r="817" customFormat="false" ht="15" hidden="false" customHeight="false" outlineLevel="0" collapsed="false">
      <c r="A817" s="30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3" t="str">
        <f aca="false">IF(D817="","",IF(SUM(I817:L817)&gt;0,1,0))</f>
        <v/>
      </c>
      <c r="O817" s="34" t="str">
        <f aca="false">IF(D817="","",IF(OR(COUNTIF('Target &amp; Team Lists'!$J$5:$J$204,D817)&gt;0,AND(H817&lt;&gt;"",COUNTIF('Target &amp; Team Lists'!$L$5:$L$204,H817)&gt;0),ISNUMBER(SEARCH("alpha nodus",(E817&amp;" "&amp;F817))),ISNUMBER(SEARCH("alphanodus",(E817&amp;" "&amp;F817)))),"Yes","No"))</f>
        <v/>
      </c>
      <c r="P817" s="34" t="str">
        <f aca="false">IF(D817="","",IF(O817="Yes","No",IF(OR(AND(F817&lt;&gt;"",COUNTIF('Target &amp; Team Lists'!$A$5:$A$504,F817)&gt;0),COUNTIF('Target &amp; Team Lists'!$E$5:$E$504,D817)&gt;0),"Yes",IF(AND(SUMPRODUCT(('Target &amp; Team Lists'!$N$5:$N$60&lt;&gt;"")*ISNUMBER(SEARCH('Target &amp; Team Lists'!$N$5:$N$60,(E817&amp;" "&amp;F817))))&gt;0,SUMPRODUCT(('Target &amp; Team Lists'!$O$5:$O$60&lt;&gt;"")*ISNUMBER(SEARCH('Target &amp; Team Lists'!$O$5:$O$60,(E817&amp;" "&amp;F817))))=0),"Yes","No"))))</f>
        <v/>
      </c>
      <c r="Q817" s="32"/>
    </row>
    <row r="818" customFormat="false" ht="15" hidden="false" customHeight="false" outlineLevel="0" collapsed="false">
      <c r="A818" s="30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3" t="str">
        <f aca="false">IF(D818="","",IF(SUM(I818:L818)&gt;0,1,0))</f>
        <v/>
      </c>
      <c r="O818" s="34" t="str">
        <f aca="false">IF(D818="","",IF(OR(COUNTIF('Target &amp; Team Lists'!$J$5:$J$204,D818)&gt;0,AND(H818&lt;&gt;"",COUNTIF('Target &amp; Team Lists'!$L$5:$L$204,H818)&gt;0),ISNUMBER(SEARCH("alpha nodus",(E818&amp;" "&amp;F818))),ISNUMBER(SEARCH("alphanodus",(E818&amp;" "&amp;F818)))),"Yes","No"))</f>
        <v/>
      </c>
      <c r="P818" s="34" t="str">
        <f aca="false">IF(D818="","",IF(O818="Yes","No",IF(OR(AND(F818&lt;&gt;"",COUNTIF('Target &amp; Team Lists'!$A$5:$A$504,F818)&gt;0),COUNTIF('Target &amp; Team Lists'!$E$5:$E$504,D818)&gt;0),"Yes",IF(AND(SUMPRODUCT(('Target &amp; Team Lists'!$N$5:$N$60&lt;&gt;"")*ISNUMBER(SEARCH('Target &amp; Team Lists'!$N$5:$N$60,(E818&amp;" "&amp;F818))))&gt;0,SUMPRODUCT(('Target &amp; Team Lists'!$O$5:$O$60&lt;&gt;"")*ISNUMBER(SEARCH('Target &amp; Team Lists'!$O$5:$O$60,(E818&amp;" "&amp;F818))))=0),"Yes","No"))))</f>
        <v/>
      </c>
      <c r="Q818" s="32"/>
    </row>
    <row r="819" customFormat="false" ht="15" hidden="false" customHeight="false" outlineLevel="0" collapsed="false">
      <c r="A819" s="30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3" t="str">
        <f aca="false">IF(D819="","",IF(SUM(I819:L819)&gt;0,1,0))</f>
        <v/>
      </c>
      <c r="O819" s="34" t="str">
        <f aca="false">IF(D819="","",IF(OR(COUNTIF('Target &amp; Team Lists'!$J$5:$J$204,D819)&gt;0,AND(H819&lt;&gt;"",COUNTIF('Target &amp; Team Lists'!$L$5:$L$204,H819)&gt;0),ISNUMBER(SEARCH("alpha nodus",(E819&amp;" "&amp;F819))),ISNUMBER(SEARCH("alphanodus",(E819&amp;" "&amp;F819)))),"Yes","No"))</f>
        <v/>
      </c>
      <c r="P819" s="34" t="str">
        <f aca="false">IF(D819="","",IF(O819="Yes","No",IF(OR(AND(F819&lt;&gt;"",COUNTIF('Target &amp; Team Lists'!$A$5:$A$504,F819)&gt;0),COUNTIF('Target &amp; Team Lists'!$E$5:$E$504,D819)&gt;0),"Yes",IF(AND(SUMPRODUCT(('Target &amp; Team Lists'!$N$5:$N$60&lt;&gt;"")*ISNUMBER(SEARCH('Target &amp; Team Lists'!$N$5:$N$60,(E819&amp;" "&amp;F819))))&gt;0,SUMPRODUCT(('Target &amp; Team Lists'!$O$5:$O$60&lt;&gt;"")*ISNUMBER(SEARCH('Target &amp; Team Lists'!$O$5:$O$60,(E819&amp;" "&amp;F819))))=0),"Yes","No"))))</f>
        <v/>
      </c>
      <c r="Q819" s="32"/>
    </row>
    <row r="820" customFormat="false" ht="15" hidden="false" customHeight="false" outlineLevel="0" collapsed="false">
      <c r="A820" s="30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3" t="str">
        <f aca="false">IF(D820="","",IF(SUM(I820:L820)&gt;0,1,0))</f>
        <v/>
      </c>
      <c r="O820" s="34" t="str">
        <f aca="false">IF(D820="","",IF(OR(COUNTIF('Target &amp; Team Lists'!$J$5:$J$204,D820)&gt;0,AND(H820&lt;&gt;"",COUNTIF('Target &amp; Team Lists'!$L$5:$L$204,H820)&gt;0),ISNUMBER(SEARCH("alpha nodus",(E820&amp;" "&amp;F820))),ISNUMBER(SEARCH("alphanodus",(E820&amp;" "&amp;F820)))),"Yes","No"))</f>
        <v/>
      </c>
      <c r="P820" s="34" t="str">
        <f aca="false">IF(D820="","",IF(O820="Yes","No",IF(OR(AND(F820&lt;&gt;"",COUNTIF('Target &amp; Team Lists'!$A$5:$A$504,F820)&gt;0),COUNTIF('Target &amp; Team Lists'!$E$5:$E$504,D820)&gt;0),"Yes",IF(AND(SUMPRODUCT(('Target &amp; Team Lists'!$N$5:$N$60&lt;&gt;"")*ISNUMBER(SEARCH('Target &amp; Team Lists'!$N$5:$N$60,(E820&amp;" "&amp;F820))))&gt;0,SUMPRODUCT(('Target &amp; Team Lists'!$O$5:$O$60&lt;&gt;"")*ISNUMBER(SEARCH('Target &amp; Team Lists'!$O$5:$O$60,(E820&amp;" "&amp;F820))))=0),"Yes","No"))))</f>
        <v/>
      </c>
      <c r="Q820" s="32"/>
    </row>
    <row r="821" customFormat="false" ht="15" hidden="false" customHeight="false" outlineLevel="0" collapsed="false">
      <c r="A821" s="30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3" t="str">
        <f aca="false">IF(D821="","",IF(SUM(I821:L821)&gt;0,1,0))</f>
        <v/>
      </c>
      <c r="O821" s="34" t="str">
        <f aca="false">IF(D821="","",IF(OR(COUNTIF('Target &amp; Team Lists'!$J$5:$J$204,D821)&gt;0,AND(H821&lt;&gt;"",COUNTIF('Target &amp; Team Lists'!$L$5:$L$204,H821)&gt;0),ISNUMBER(SEARCH("alpha nodus",(E821&amp;" "&amp;F821))),ISNUMBER(SEARCH("alphanodus",(E821&amp;" "&amp;F821)))),"Yes","No"))</f>
        <v/>
      </c>
      <c r="P821" s="34" t="str">
        <f aca="false">IF(D821="","",IF(O821="Yes","No",IF(OR(AND(F821&lt;&gt;"",COUNTIF('Target &amp; Team Lists'!$A$5:$A$504,F821)&gt;0),COUNTIF('Target &amp; Team Lists'!$E$5:$E$504,D821)&gt;0),"Yes",IF(AND(SUMPRODUCT(('Target &amp; Team Lists'!$N$5:$N$60&lt;&gt;"")*ISNUMBER(SEARCH('Target &amp; Team Lists'!$N$5:$N$60,(E821&amp;" "&amp;F821))))&gt;0,SUMPRODUCT(('Target &amp; Team Lists'!$O$5:$O$60&lt;&gt;"")*ISNUMBER(SEARCH('Target &amp; Team Lists'!$O$5:$O$60,(E821&amp;" "&amp;F821))))=0),"Yes","No"))))</f>
        <v/>
      </c>
      <c r="Q821" s="32"/>
    </row>
    <row r="822" customFormat="false" ht="15" hidden="false" customHeight="false" outlineLevel="0" collapsed="false">
      <c r="A822" s="30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3" t="str">
        <f aca="false">IF(D822="","",IF(SUM(I822:L822)&gt;0,1,0))</f>
        <v/>
      </c>
      <c r="O822" s="34" t="str">
        <f aca="false">IF(D822="","",IF(OR(COUNTIF('Target &amp; Team Lists'!$J$5:$J$204,D822)&gt;0,AND(H822&lt;&gt;"",COUNTIF('Target &amp; Team Lists'!$L$5:$L$204,H822)&gt;0),ISNUMBER(SEARCH("alpha nodus",(E822&amp;" "&amp;F822))),ISNUMBER(SEARCH("alphanodus",(E822&amp;" "&amp;F822)))),"Yes","No"))</f>
        <v/>
      </c>
      <c r="P822" s="34" t="str">
        <f aca="false">IF(D822="","",IF(O822="Yes","No",IF(OR(AND(F822&lt;&gt;"",COUNTIF('Target &amp; Team Lists'!$A$5:$A$504,F822)&gt;0),COUNTIF('Target &amp; Team Lists'!$E$5:$E$504,D822)&gt;0),"Yes",IF(AND(SUMPRODUCT(('Target &amp; Team Lists'!$N$5:$N$60&lt;&gt;"")*ISNUMBER(SEARCH('Target &amp; Team Lists'!$N$5:$N$60,(E822&amp;" "&amp;F822))))&gt;0,SUMPRODUCT(('Target &amp; Team Lists'!$O$5:$O$60&lt;&gt;"")*ISNUMBER(SEARCH('Target &amp; Team Lists'!$O$5:$O$60,(E822&amp;" "&amp;F822))))=0),"Yes","No"))))</f>
        <v/>
      </c>
      <c r="Q822" s="32"/>
    </row>
    <row r="823" customFormat="false" ht="15" hidden="false" customHeight="false" outlineLevel="0" collapsed="false">
      <c r="A823" s="30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3" t="str">
        <f aca="false">IF(D823="","",IF(SUM(I823:L823)&gt;0,1,0))</f>
        <v/>
      </c>
      <c r="O823" s="34" t="str">
        <f aca="false">IF(D823="","",IF(OR(COUNTIF('Target &amp; Team Lists'!$J$5:$J$204,D823)&gt;0,AND(H823&lt;&gt;"",COUNTIF('Target &amp; Team Lists'!$L$5:$L$204,H823)&gt;0),ISNUMBER(SEARCH("alpha nodus",(E823&amp;" "&amp;F823))),ISNUMBER(SEARCH("alphanodus",(E823&amp;" "&amp;F823)))),"Yes","No"))</f>
        <v/>
      </c>
      <c r="P823" s="34" t="str">
        <f aca="false">IF(D823="","",IF(O823="Yes","No",IF(OR(AND(F823&lt;&gt;"",COUNTIF('Target &amp; Team Lists'!$A$5:$A$504,F823)&gt;0),COUNTIF('Target &amp; Team Lists'!$E$5:$E$504,D823)&gt;0),"Yes",IF(AND(SUMPRODUCT(('Target &amp; Team Lists'!$N$5:$N$60&lt;&gt;"")*ISNUMBER(SEARCH('Target &amp; Team Lists'!$N$5:$N$60,(E823&amp;" "&amp;F823))))&gt;0,SUMPRODUCT(('Target &amp; Team Lists'!$O$5:$O$60&lt;&gt;"")*ISNUMBER(SEARCH('Target &amp; Team Lists'!$O$5:$O$60,(E823&amp;" "&amp;F823))))=0),"Yes","No"))))</f>
        <v/>
      </c>
      <c r="Q823" s="32"/>
    </row>
    <row r="824" customFormat="false" ht="15" hidden="false" customHeight="false" outlineLevel="0" collapsed="false">
      <c r="A824" s="30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3" t="str">
        <f aca="false">IF(D824="","",IF(SUM(I824:L824)&gt;0,1,0))</f>
        <v/>
      </c>
      <c r="O824" s="34" t="str">
        <f aca="false">IF(D824="","",IF(OR(COUNTIF('Target &amp; Team Lists'!$J$5:$J$204,D824)&gt;0,AND(H824&lt;&gt;"",COUNTIF('Target &amp; Team Lists'!$L$5:$L$204,H824)&gt;0),ISNUMBER(SEARCH("alpha nodus",(E824&amp;" "&amp;F824))),ISNUMBER(SEARCH("alphanodus",(E824&amp;" "&amp;F824)))),"Yes","No"))</f>
        <v/>
      </c>
      <c r="P824" s="34" t="str">
        <f aca="false">IF(D824="","",IF(O824="Yes","No",IF(OR(AND(F824&lt;&gt;"",COUNTIF('Target &amp; Team Lists'!$A$5:$A$504,F824)&gt;0),COUNTIF('Target &amp; Team Lists'!$E$5:$E$504,D824)&gt;0),"Yes",IF(AND(SUMPRODUCT(('Target &amp; Team Lists'!$N$5:$N$60&lt;&gt;"")*ISNUMBER(SEARCH('Target &amp; Team Lists'!$N$5:$N$60,(E824&amp;" "&amp;F824))))&gt;0,SUMPRODUCT(('Target &amp; Team Lists'!$O$5:$O$60&lt;&gt;"")*ISNUMBER(SEARCH('Target &amp; Team Lists'!$O$5:$O$60,(E824&amp;" "&amp;F824))))=0),"Yes","No"))))</f>
        <v/>
      </c>
      <c r="Q824" s="32"/>
    </row>
    <row r="825" customFormat="false" ht="15" hidden="false" customHeight="false" outlineLevel="0" collapsed="false">
      <c r="A825" s="30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3" t="str">
        <f aca="false">IF(D825="","",IF(SUM(I825:L825)&gt;0,1,0))</f>
        <v/>
      </c>
      <c r="O825" s="34" t="str">
        <f aca="false">IF(D825="","",IF(OR(COUNTIF('Target &amp; Team Lists'!$J$5:$J$204,D825)&gt;0,AND(H825&lt;&gt;"",COUNTIF('Target &amp; Team Lists'!$L$5:$L$204,H825)&gt;0),ISNUMBER(SEARCH("alpha nodus",(E825&amp;" "&amp;F825))),ISNUMBER(SEARCH("alphanodus",(E825&amp;" "&amp;F825)))),"Yes","No"))</f>
        <v/>
      </c>
      <c r="P825" s="34" t="str">
        <f aca="false">IF(D825="","",IF(O825="Yes","No",IF(OR(AND(F825&lt;&gt;"",COUNTIF('Target &amp; Team Lists'!$A$5:$A$504,F825)&gt;0),COUNTIF('Target &amp; Team Lists'!$E$5:$E$504,D825)&gt;0),"Yes",IF(AND(SUMPRODUCT(('Target &amp; Team Lists'!$N$5:$N$60&lt;&gt;"")*ISNUMBER(SEARCH('Target &amp; Team Lists'!$N$5:$N$60,(E825&amp;" "&amp;F825))))&gt;0,SUMPRODUCT(('Target &amp; Team Lists'!$O$5:$O$60&lt;&gt;"")*ISNUMBER(SEARCH('Target &amp; Team Lists'!$O$5:$O$60,(E825&amp;" "&amp;F825))))=0),"Yes","No"))))</f>
        <v/>
      </c>
      <c r="Q825" s="32"/>
    </row>
    <row r="826" customFormat="false" ht="15" hidden="false" customHeight="false" outlineLevel="0" collapsed="false">
      <c r="A826" s="30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3" t="str">
        <f aca="false">IF(D826="","",IF(SUM(I826:L826)&gt;0,1,0))</f>
        <v/>
      </c>
      <c r="O826" s="34" t="str">
        <f aca="false">IF(D826="","",IF(OR(COUNTIF('Target &amp; Team Lists'!$J$5:$J$204,D826)&gt;0,AND(H826&lt;&gt;"",COUNTIF('Target &amp; Team Lists'!$L$5:$L$204,H826)&gt;0),ISNUMBER(SEARCH("alpha nodus",(E826&amp;" "&amp;F826))),ISNUMBER(SEARCH("alphanodus",(E826&amp;" "&amp;F826)))),"Yes","No"))</f>
        <v/>
      </c>
      <c r="P826" s="34" t="str">
        <f aca="false">IF(D826="","",IF(O826="Yes","No",IF(OR(AND(F826&lt;&gt;"",COUNTIF('Target &amp; Team Lists'!$A$5:$A$504,F826)&gt;0),COUNTIF('Target &amp; Team Lists'!$E$5:$E$504,D826)&gt;0),"Yes",IF(AND(SUMPRODUCT(('Target &amp; Team Lists'!$N$5:$N$60&lt;&gt;"")*ISNUMBER(SEARCH('Target &amp; Team Lists'!$N$5:$N$60,(E826&amp;" "&amp;F826))))&gt;0,SUMPRODUCT(('Target &amp; Team Lists'!$O$5:$O$60&lt;&gt;"")*ISNUMBER(SEARCH('Target &amp; Team Lists'!$O$5:$O$60,(E826&amp;" "&amp;F826))))=0),"Yes","No"))))</f>
        <v/>
      </c>
      <c r="Q826" s="32"/>
    </row>
    <row r="827" customFormat="false" ht="15" hidden="false" customHeight="false" outlineLevel="0" collapsed="false">
      <c r="A827" s="30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3" t="str">
        <f aca="false">IF(D827="","",IF(SUM(I827:L827)&gt;0,1,0))</f>
        <v/>
      </c>
      <c r="O827" s="34" t="str">
        <f aca="false">IF(D827="","",IF(OR(COUNTIF('Target &amp; Team Lists'!$J$5:$J$204,D827)&gt;0,AND(H827&lt;&gt;"",COUNTIF('Target &amp; Team Lists'!$L$5:$L$204,H827)&gt;0),ISNUMBER(SEARCH("alpha nodus",(E827&amp;" "&amp;F827))),ISNUMBER(SEARCH("alphanodus",(E827&amp;" "&amp;F827)))),"Yes","No"))</f>
        <v/>
      </c>
      <c r="P827" s="34" t="str">
        <f aca="false">IF(D827="","",IF(O827="Yes","No",IF(OR(AND(F827&lt;&gt;"",COUNTIF('Target &amp; Team Lists'!$A$5:$A$504,F827)&gt;0),COUNTIF('Target &amp; Team Lists'!$E$5:$E$504,D827)&gt;0),"Yes",IF(AND(SUMPRODUCT(('Target &amp; Team Lists'!$N$5:$N$60&lt;&gt;"")*ISNUMBER(SEARCH('Target &amp; Team Lists'!$N$5:$N$60,(E827&amp;" "&amp;F827))))&gt;0,SUMPRODUCT(('Target &amp; Team Lists'!$O$5:$O$60&lt;&gt;"")*ISNUMBER(SEARCH('Target &amp; Team Lists'!$O$5:$O$60,(E827&amp;" "&amp;F827))))=0),"Yes","No"))))</f>
        <v/>
      </c>
      <c r="Q827" s="32"/>
    </row>
    <row r="828" customFormat="false" ht="15" hidden="false" customHeight="false" outlineLevel="0" collapsed="false">
      <c r="A828" s="30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3" t="str">
        <f aca="false">IF(D828="","",IF(SUM(I828:L828)&gt;0,1,0))</f>
        <v/>
      </c>
      <c r="O828" s="34" t="str">
        <f aca="false">IF(D828="","",IF(OR(COUNTIF('Target &amp; Team Lists'!$J$5:$J$204,D828)&gt;0,AND(H828&lt;&gt;"",COUNTIF('Target &amp; Team Lists'!$L$5:$L$204,H828)&gt;0),ISNUMBER(SEARCH("alpha nodus",(E828&amp;" "&amp;F828))),ISNUMBER(SEARCH("alphanodus",(E828&amp;" "&amp;F828)))),"Yes","No"))</f>
        <v/>
      </c>
      <c r="P828" s="34" t="str">
        <f aca="false">IF(D828="","",IF(O828="Yes","No",IF(OR(AND(F828&lt;&gt;"",COUNTIF('Target &amp; Team Lists'!$A$5:$A$504,F828)&gt;0),COUNTIF('Target &amp; Team Lists'!$E$5:$E$504,D828)&gt;0),"Yes",IF(AND(SUMPRODUCT(('Target &amp; Team Lists'!$N$5:$N$60&lt;&gt;"")*ISNUMBER(SEARCH('Target &amp; Team Lists'!$N$5:$N$60,(E828&amp;" "&amp;F828))))&gt;0,SUMPRODUCT(('Target &amp; Team Lists'!$O$5:$O$60&lt;&gt;"")*ISNUMBER(SEARCH('Target &amp; Team Lists'!$O$5:$O$60,(E828&amp;" "&amp;F828))))=0),"Yes","No"))))</f>
        <v/>
      </c>
      <c r="Q828" s="32"/>
    </row>
    <row r="829" customFormat="false" ht="15" hidden="false" customHeight="false" outlineLevel="0" collapsed="false">
      <c r="A829" s="30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3" t="str">
        <f aca="false">IF(D829="","",IF(SUM(I829:L829)&gt;0,1,0))</f>
        <v/>
      </c>
      <c r="O829" s="34" t="str">
        <f aca="false">IF(D829="","",IF(OR(COUNTIF('Target &amp; Team Lists'!$J$5:$J$204,D829)&gt;0,AND(H829&lt;&gt;"",COUNTIF('Target &amp; Team Lists'!$L$5:$L$204,H829)&gt;0),ISNUMBER(SEARCH("alpha nodus",(E829&amp;" "&amp;F829))),ISNUMBER(SEARCH("alphanodus",(E829&amp;" "&amp;F829)))),"Yes","No"))</f>
        <v/>
      </c>
      <c r="P829" s="34" t="str">
        <f aca="false">IF(D829="","",IF(O829="Yes","No",IF(OR(AND(F829&lt;&gt;"",COUNTIF('Target &amp; Team Lists'!$A$5:$A$504,F829)&gt;0),COUNTIF('Target &amp; Team Lists'!$E$5:$E$504,D829)&gt;0),"Yes",IF(AND(SUMPRODUCT(('Target &amp; Team Lists'!$N$5:$N$60&lt;&gt;"")*ISNUMBER(SEARCH('Target &amp; Team Lists'!$N$5:$N$60,(E829&amp;" "&amp;F829))))&gt;0,SUMPRODUCT(('Target &amp; Team Lists'!$O$5:$O$60&lt;&gt;"")*ISNUMBER(SEARCH('Target &amp; Team Lists'!$O$5:$O$60,(E829&amp;" "&amp;F829))))=0),"Yes","No"))))</f>
        <v/>
      </c>
      <c r="Q829" s="32"/>
    </row>
    <row r="830" customFormat="false" ht="15" hidden="false" customHeight="false" outlineLevel="0" collapsed="false">
      <c r="A830" s="30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3" t="str">
        <f aca="false">IF(D830="","",IF(SUM(I830:L830)&gt;0,1,0))</f>
        <v/>
      </c>
      <c r="O830" s="34" t="str">
        <f aca="false">IF(D830="","",IF(OR(COUNTIF('Target &amp; Team Lists'!$J$5:$J$204,D830)&gt;0,AND(H830&lt;&gt;"",COUNTIF('Target &amp; Team Lists'!$L$5:$L$204,H830)&gt;0),ISNUMBER(SEARCH("alpha nodus",(E830&amp;" "&amp;F830))),ISNUMBER(SEARCH("alphanodus",(E830&amp;" "&amp;F830)))),"Yes","No"))</f>
        <v/>
      </c>
      <c r="P830" s="34" t="str">
        <f aca="false">IF(D830="","",IF(O830="Yes","No",IF(OR(AND(F830&lt;&gt;"",COUNTIF('Target &amp; Team Lists'!$A$5:$A$504,F830)&gt;0),COUNTIF('Target &amp; Team Lists'!$E$5:$E$504,D830)&gt;0),"Yes",IF(AND(SUMPRODUCT(('Target &amp; Team Lists'!$N$5:$N$60&lt;&gt;"")*ISNUMBER(SEARCH('Target &amp; Team Lists'!$N$5:$N$60,(E830&amp;" "&amp;F830))))&gt;0,SUMPRODUCT(('Target &amp; Team Lists'!$O$5:$O$60&lt;&gt;"")*ISNUMBER(SEARCH('Target &amp; Team Lists'!$O$5:$O$60,(E830&amp;" "&amp;F830))))=0),"Yes","No"))))</f>
        <v/>
      </c>
      <c r="Q830" s="32"/>
    </row>
    <row r="831" customFormat="false" ht="15" hidden="false" customHeight="false" outlineLevel="0" collapsed="false">
      <c r="A831" s="30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3" t="str">
        <f aca="false">IF(D831="","",IF(SUM(I831:L831)&gt;0,1,0))</f>
        <v/>
      </c>
      <c r="O831" s="34" t="str">
        <f aca="false">IF(D831="","",IF(OR(COUNTIF('Target &amp; Team Lists'!$J$5:$J$204,D831)&gt;0,AND(H831&lt;&gt;"",COUNTIF('Target &amp; Team Lists'!$L$5:$L$204,H831)&gt;0),ISNUMBER(SEARCH("alpha nodus",(E831&amp;" "&amp;F831))),ISNUMBER(SEARCH("alphanodus",(E831&amp;" "&amp;F831)))),"Yes","No"))</f>
        <v/>
      </c>
      <c r="P831" s="34" t="str">
        <f aca="false">IF(D831="","",IF(O831="Yes","No",IF(OR(AND(F831&lt;&gt;"",COUNTIF('Target &amp; Team Lists'!$A$5:$A$504,F831)&gt;0),COUNTIF('Target &amp; Team Lists'!$E$5:$E$504,D831)&gt;0),"Yes",IF(AND(SUMPRODUCT(('Target &amp; Team Lists'!$N$5:$N$60&lt;&gt;"")*ISNUMBER(SEARCH('Target &amp; Team Lists'!$N$5:$N$60,(E831&amp;" "&amp;F831))))&gt;0,SUMPRODUCT(('Target &amp; Team Lists'!$O$5:$O$60&lt;&gt;"")*ISNUMBER(SEARCH('Target &amp; Team Lists'!$O$5:$O$60,(E831&amp;" "&amp;F831))))=0),"Yes","No"))))</f>
        <v/>
      </c>
      <c r="Q831" s="32"/>
    </row>
    <row r="832" customFormat="false" ht="15" hidden="false" customHeight="false" outlineLevel="0" collapsed="false">
      <c r="A832" s="30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3" t="str">
        <f aca="false">IF(D832="","",IF(SUM(I832:L832)&gt;0,1,0))</f>
        <v/>
      </c>
      <c r="O832" s="34" t="str">
        <f aca="false">IF(D832="","",IF(OR(COUNTIF('Target &amp; Team Lists'!$J$5:$J$204,D832)&gt;0,AND(H832&lt;&gt;"",COUNTIF('Target &amp; Team Lists'!$L$5:$L$204,H832)&gt;0),ISNUMBER(SEARCH("alpha nodus",(E832&amp;" "&amp;F832))),ISNUMBER(SEARCH("alphanodus",(E832&amp;" "&amp;F832)))),"Yes","No"))</f>
        <v/>
      </c>
      <c r="P832" s="34" t="str">
        <f aca="false">IF(D832="","",IF(O832="Yes","No",IF(OR(AND(F832&lt;&gt;"",COUNTIF('Target &amp; Team Lists'!$A$5:$A$504,F832)&gt;0),COUNTIF('Target &amp; Team Lists'!$E$5:$E$504,D832)&gt;0),"Yes",IF(AND(SUMPRODUCT(('Target &amp; Team Lists'!$N$5:$N$60&lt;&gt;"")*ISNUMBER(SEARCH('Target &amp; Team Lists'!$N$5:$N$60,(E832&amp;" "&amp;F832))))&gt;0,SUMPRODUCT(('Target &amp; Team Lists'!$O$5:$O$60&lt;&gt;"")*ISNUMBER(SEARCH('Target &amp; Team Lists'!$O$5:$O$60,(E832&amp;" "&amp;F832))))=0),"Yes","No"))))</f>
        <v/>
      </c>
      <c r="Q832" s="32"/>
    </row>
    <row r="833" customFormat="false" ht="15" hidden="false" customHeight="false" outlineLevel="0" collapsed="false">
      <c r="A833" s="30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3" t="str">
        <f aca="false">IF(D833="","",IF(SUM(I833:L833)&gt;0,1,0))</f>
        <v/>
      </c>
      <c r="O833" s="34" t="str">
        <f aca="false">IF(D833="","",IF(OR(COUNTIF('Target &amp; Team Lists'!$J$5:$J$204,D833)&gt;0,AND(H833&lt;&gt;"",COUNTIF('Target &amp; Team Lists'!$L$5:$L$204,H833)&gt;0),ISNUMBER(SEARCH("alpha nodus",(E833&amp;" "&amp;F833))),ISNUMBER(SEARCH("alphanodus",(E833&amp;" "&amp;F833)))),"Yes","No"))</f>
        <v/>
      </c>
      <c r="P833" s="34" t="str">
        <f aca="false">IF(D833="","",IF(O833="Yes","No",IF(OR(AND(F833&lt;&gt;"",COUNTIF('Target &amp; Team Lists'!$A$5:$A$504,F833)&gt;0),COUNTIF('Target &amp; Team Lists'!$E$5:$E$504,D833)&gt;0),"Yes",IF(AND(SUMPRODUCT(('Target &amp; Team Lists'!$N$5:$N$60&lt;&gt;"")*ISNUMBER(SEARCH('Target &amp; Team Lists'!$N$5:$N$60,(E833&amp;" "&amp;F833))))&gt;0,SUMPRODUCT(('Target &amp; Team Lists'!$O$5:$O$60&lt;&gt;"")*ISNUMBER(SEARCH('Target &amp; Team Lists'!$O$5:$O$60,(E833&amp;" "&amp;F833))))=0),"Yes","No"))))</f>
        <v/>
      </c>
      <c r="Q833" s="32"/>
    </row>
    <row r="834" customFormat="false" ht="15" hidden="false" customHeight="false" outlineLevel="0" collapsed="false">
      <c r="A834" s="30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3" t="str">
        <f aca="false">IF(D834="","",IF(SUM(I834:L834)&gt;0,1,0))</f>
        <v/>
      </c>
      <c r="O834" s="34" t="str">
        <f aca="false">IF(D834="","",IF(OR(COUNTIF('Target &amp; Team Lists'!$J$5:$J$204,D834)&gt;0,AND(H834&lt;&gt;"",COUNTIF('Target &amp; Team Lists'!$L$5:$L$204,H834)&gt;0),ISNUMBER(SEARCH("alpha nodus",(E834&amp;" "&amp;F834))),ISNUMBER(SEARCH("alphanodus",(E834&amp;" "&amp;F834)))),"Yes","No"))</f>
        <v/>
      </c>
      <c r="P834" s="34" t="str">
        <f aca="false">IF(D834="","",IF(O834="Yes","No",IF(OR(AND(F834&lt;&gt;"",COUNTIF('Target &amp; Team Lists'!$A$5:$A$504,F834)&gt;0),COUNTIF('Target &amp; Team Lists'!$E$5:$E$504,D834)&gt;0),"Yes",IF(AND(SUMPRODUCT(('Target &amp; Team Lists'!$N$5:$N$60&lt;&gt;"")*ISNUMBER(SEARCH('Target &amp; Team Lists'!$N$5:$N$60,(E834&amp;" "&amp;F834))))&gt;0,SUMPRODUCT(('Target &amp; Team Lists'!$O$5:$O$60&lt;&gt;"")*ISNUMBER(SEARCH('Target &amp; Team Lists'!$O$5:$O$60,(E834&amp;" "&amp;F834))))=0),"Yes","No"))))</f>
        <v/>
      </c>
      <c r="Q834" s="32"/>
    </row>
    <row r="835" customFormat="false" ht="15" hidden="false" customHeight="false" outlineLevel="0" collapsed="false">
      <c r="A835" s="30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3" t="str">
        <f aca="false">IF(D835="","",IF(SUM(I835:L835)&gt;0,1,0))</f>
        <v/>
      </c>
      <c r="O835" s="34" t="str">
        <f aca="false">IF(D835="","",IF(OR(COUNTIF('Target &amp; Team Lists'!$J$5:$J$204,D835)&gt;0,AND(H835&lt;&gt;"",COUNTIF('Target &amp; Team Lists'!$L$5:$L$204,H835)&gt;0),ISNUMBER(SEARCH("alpha nodus",(E835&amp;" "&amp;F835))),ISNUMBER(SEARCH("alphanodus",(E835&amp;" "&amp;F835)))),"Yes","No"))</f>
        <v/>
      </c>
      <c r="P835" s="34" t="str">
        <f aca="false">IF(D835="","",IF(O835="Yes","No",IF(OR(AND(F835&lt;&gt;"",COUNTIF('Target &amp; Team Lists'!$A$5:$A$504,F835)&gt;0),COUNTIF('Target &amp; Team Lists'!$E$5:$E$504,D835)&gt;0),"Yes",IF(AND(SUMPRODUCT(('Target &amp; Team Lists'!$N$5:$N$60&lt;&gt;"")*ISNUMBER(SEARCH('Target &amp; Team Lists'!$N$5:$N$60,(E835&amp;" "&amp;F835))))&gt;0,SUMPRODUCT(('Target &amp; Team Lists'!$O$5:$O$60&lt;&gt;"")*ISNUMBER(SEARCH('Target &amp; Team Lists'!$O$5:$O$60,(E835&amp;" "&amp;F835))))=0),"Yes","No"))))</f>
        <v/>
      </c>
      <c r="Q835" s="32"/>
    </row>
    <row r="836" customFormat="false" ht="15" hidden="false" customHeight="false" outlineLevel="0" collapsed="false">
      <c r="A836" s="30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3" t="str">
        <f aca="false">IF(D836="","",IF(SUM(I836:L836)&gt;0,1,0))</f>
        <v/>
      </c>
      <c r="O836" s="34" t="str">
        <f aca="false">IF(D836="","",IF(OR(COUNTIF('Target &amp; Team Lists'!$J$5:$J$204,D836)&gt;0,AND(H836&lt;&gt;"",COUNTIF('Target &amp; Team Lists'!$L$5:$L$204,H836)&gt;0),ISNUMBER(SEARCH("alpha nodus",(E836&amp;" "&amp;F836))),ISNUMBER(SEARCH("alphanodus",(E836&amp;" "&amp;F836)))),"Yes","No"))</f>
        <v/>
      </c>
      <c r="P836" s="34" t="str">
        <f aca="false">IF(D836="","",IF(O836="Yes","No",IF(OR(AND(F836&lt;&gt;"",COUNTIF('Target &amp; Team Lists'!$A$5:$A$504,F836)&gt;0),COUNTIF('Target &amp; Team Lists'!$E$5:$E$504,D836)&gt;0),"Yes",IF(AND(SUMPRODUCT(('Target &amp; Team Lists'!$N$5:$N$60&lt;&gt;"")*ISNUMBER(SEARCH('Target &amp; Team Lists'!$N$5:$N$60,(E836&amp;" "&amp;F836))))&gt;0,SUMPRODUCT(('Target &amp; Team Lists'!$O$5:$O$60&lt;&gt;"")*ISNUMBER(SEARCH('Target &amp; Team Lists'!$O$5:$O$60,(E836&amp;" "&amp;F836))))=0),"Yes","No"))))</f>
        <v/>
      </c>
      <c r="Q836" s="32"/>
    </row>
    <row r="837" customFormat="false" ht="15" hidden="false" customHeight="false" outlineLevel="0" collapsed="false">
      <c r="A837" s="30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3" t="str">
        <f aca="false">IF(D837="","",IF(SUM(I837:L837)&gt;0,1,0))</f>
        <v/>
      </c>
      <c r="O837" s="34" t="str">
        <f aca="false">IF(D837="","",IF(OR(COUNTIF('Target &amp; Team Lists'!$J$5:$J$204,D837)&gt;0,AND(H837&lt;&gt;"",COUNTIF('Target &amp; Team Lists'!$L$5:$L$204,H837)&gt;0),ISNUMBER(SEARCH("alpha nodus",(E837&amp;" "&amp;F837))),ISNUMBER(SEARCH("alphanodus",(E837&amp;" "&amp;F837)))),"Yes","No"))</f>
        <v/>
      </c>
      <c r="P837" s="34" t="str">
        <f aca="false">IF(D837="","",IF(O837="Yes","No",IF(OR(AND(F837&lt;&gt;"",COUNTIF('Target &amp; Team Lists'!$A$5:$A$504,F837)&gt;0),COUNTIF('Target &amp; Team Lists'!$E$5:$E$504,D837)&gt;0),"Yes",IF(AND(SUMPRODUCT(('Target &amp; Team Lists'!$N$5:$N$60&lt;&gt;"")*ISNUMBER(SEARCH('Target &amp; Team Lists'!$N$5:$N$60,(E837&amp;" "&amp;F837))))&gt;0,SUMPRODUCT(('Target &amp; Team Lists'!$O$5:$O$60&lt;&gt;"")*ISNUMBER(SEARCH('Target &amp; Team Lists'!$O$5:$O$60,(E837&amp;" "&amp;F837))))=0),"Yes","No"))))</f>
        <v/>
      </c>
      <c r="Q837" s="32"/>
    </row>
    <row r="838" customFormat="false" ht="15" hidden="false" customHeight="false" outlineLevel="0" collapsed="false">
      <c r="A838" s="30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3" t="str">
        <f aca="false">IF(D838="","",IF(SUM(I838:L838)&gt;0,1,0))</f>
        <v/>
      </c>
      <c r="O838" s="34" t="str">
        <f aca="false">IF(D838="","",IF(OR(COUNTIF('Target &amp; Team Lists'!$J$5:$J$204,D838)&gt;0,AND(H838&lt;&gt;"",COUNTIF('Target &amp; Team Lists'!$L$5:$L$204,H838)&gt;0),ISNUMBER(SEARCH("alpha nodus",(E838&amp;" "&amp;F838))),ISNUMBER(SEARCH("alphanodus",(E838&amp;" "&amp;F838)))),"Yes","No"))</f>
        <v/>
      </c>
      <c r="P838" s="34" t="str">
        <f aca="false">IF(D838="","",IF(O838="Yes","No",IF(OR(AND(F838&lt;&gt;"",COUNTIF('Target &amp; Team Lists'!$A$5:$A$504,F838)&gt;0),COUNTIF('Target &amp; Team Lists'!$E$5:$E$504,D838)&gt;0),"Yes",IF(AND(SUMPRODUCT(('Target &amp; Team Lists'!$N$5:$N$60&lt;&gt;"")*ISNUMBER(SEARCH('Target &amp; Team Lists'!$N$5:$N$60,(E838&amp;" "&amp;F838))))&gt;0,SUMPRODUCT(('Target &amp; Team Lists'!$O$5:$O$60&lt;&gt;"")*ISNUMBER(SEARCH('Target &amp; Team Lists'!$O$5:$O$60,(E838&amp;" "&amp;F838))))=0),"Yes","No"))))</f>
        <v/>
      </c>
      <c r="Q838" s="32"/>
    </row>
    <row r="839" customFormat="false" ht="15" hidden="false" customHeight="false" outlineLevel="0" collapsed="false">
      <c r="A839" s="30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3" t="str">
        <f aca="false">IF(D839="","",IF(SUM(I839:L839)&gt;0,1,0))</f>
        <v/>
      </c>
      <c r="O839" s="34" t="str">
        <f aca="false">IF(D839="","",IF(OR(COUNTIF('Target &amp; Team Lists'!$J$5:$J$204,D839)&gt;0,AND(H839&lt;&gt;"",COUNTIF('Target &amp; Team Lists'!$L$5:$L$204,H839)&gt;0),ISNUMBER(SEARCH("alpha nodus",(E839&amp;" "&amp;F839))),ISNUMBER(SEARCH("alphanodus",(E839&amp;" "&amp;F839)))),"Yes","No"))</f>
        <v/>
      </c>
      <c r="P839" s="34" t="str">
        <f aca="false">IF(D839="","",IF(O839="Yes","No",IF(OR(AND(F839&lt;&gt;"",COUNTIF('Target &amp; Team Lists'!$A$5:$A$504,F839)&gt;0),COUNTIF('Target &amp; Team Lists'!$E$5:$E$504,D839)&gt;0),"Yes",IF(AND(SUMPRODUCT(('Target &amp; Team Lists'!$N$5:$N$60&lt;&gt;"")*ISNUMBER(SEARCH('Target &amp; Team Lists'!$N$5:$N$60,(E839&amp;" "&amp;F839))))&gt;0,SUMPRODUCT(('Target &amp; Team Lists'!$O$5:$O$60&lt;&gt;"")*ISNUMBER(SEARCH('Target &amp; Team Lists'!$O$5:$O$60,(E839&amp;" "&amp;F839))))=0),"Yes","No"))))</f>
        <v/>
      </c>
      <c r="Q839" s="32"/>
    </row>
    <row r="840" customFormat="false" ht="15" hidden="false" customHeight="false" outlineLevel="0" collapsed="false">
      <c r="A840" s="30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3" t="str">
        <f aca="false">IF(D840="","",IF(SUM(I840:L840)&gt;0,1,0))</f>
        <v/>
      </c>
      <c r="O840" s="34" t="str">
        <f aca="false">IF(D840="","",IF(OR(COUNTIF('Target &amp; Team Lists'!$J$5:$J$204,D840)&gt;0,AND(H840&lt;&gt;"",COUNTIF('Target &amp; Team Lists'!$L$5:$L$204,H840)&gt;0),ISNUMBER(SEARCH("alpha nodus",(E840&amp;" "&amp;F840))),ISNUMBER(SEARCH("alphanodus",(E840&amp;" "&amp;F840)))),"Yes","No"))</f>
        <v/>
      </c>
      <c r="P840" s="34" t="str">
        <f aca="false">IF(D840="","",IF(O840="Yes","No",IF(OR(AND(F840&lt;&gt;"",COUNTIF('Target &amp; Team Lists'!$A$5:$A$504,F840)&gt;0),COUNTIF('Target &amp; Team Lists'!$E$5:$E$504,D840)&gt;0),"Yes",IF(AND(SUMPRODUCT(('Target &amp; Team Lists'!$N$5:$N$60&lt;&gt;"")*ISNUMBER(SEARCH('Target &amp; Team Lists'!$N$5:$N$60,(E840&amp;" "&amp;F840))))&gt;0,SUMPRODUCT(('Target &amp; Team Lists'!$O$5:$O$60&lt;&gt;"")*ISNUMBER(SEARCH('Target &amp; Team Lists'!$O$5:$O$60,(E840&amp;" "&amp;F840))))=0),"Yes","No"))))</f>
        <v/>
      </c>
      <c r="Q840" s="32"/>
    </row>
    <row r="841" customFormat="false" ht="15" hidden="false" customHeight="false" outlineLevel="0" collapsed="false">
      <c r="A841" s="30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3" t="str">
        <f aca="false">IF(D841="","",IF(SUM(I841:L841)&gt;0,1,0))</f>
        <v/>
      </c>
      <c r="O841" s="34" t="str">
        <f aca="false">IF(D841="","",IF(OR(COUNTIF('Target &amp; Team Lists'!$J$5:$J$204,D841)&gt;0,AND(H841&lt;&gt;"",COUNTIF('Target &amp; Team Lists'!$L$5:$L$204,H841)&gt;0),ISNUMBER(SEARCH("alpha nodus",(E841&amp;" "&amp;F841))),ISNUMBER(SEARCH("alphanodus",(E841&amp;" "&amp;F841)))),"Yes","No"))</f>
        <v/>
      </c>
      <c r="P841" s="34" t="str">
        <f aca="false">IF(D841="","",IF(O841="Yes","No",IF(OR(AND(F841&lt;&gt;"",COUNTIF('Target &amp; Team Lists'!$A$5:$A$504,F841)&gt;0),COUNTIF('Target &amp; Team Lists'!$E$5:$E$504,D841)&gt;0),"Yes",IF(AND(SUMPRODUCT(('Target &amp; Team Lists'!$N$5:$N$60&lt;&gt;"")*ISNUMBER(SEARCH('Target &amp; Team Lists'!$N$5:$N$60,(E841&amp;" "&amp;F841))))&gt;0,SUMPRODUCT(('Target &amp; Team Lists'!$O$5:$O$60&lt;&gt;"")*ISNUMBER(SEARCH('Target &amp; Team Lists'!$O$5:$O$60,(E841&amp;" "&amp;F841))))=0),"Yes","No"))))</f>
        <v/>
      </c>
      <c r="Q841" s="32"/>
    </row>
    <row r="842" customFormat="false" ht="15" hidden="false" customHeight="false" outlineLevel="0" collapsed="false">
      <c r="A842" s="30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3" t="str">
        <f aca="false">IF(D842="","",IF(SUM(I842:L842)&gt;0,1,0))</f>
        <v/>
      </c>
      <c r="O842" s="34" t="str">
        <f aca="false">IF(D842="","",IF(OR(COUNTIF('Target &amp; Team Lists'!$J$5:$J$204,D842)&gt;0,AND(H842&lt;&gt;"",COUNTIF('Target &amp; Team Lists'!$L$5:$L$204,H842)&gt;0),ISNUMBER(SEARCH("alpha nodus",(E842&amp;" "&amp;F842))),ISNUMBER(SEARCH("alphanodus",(E842&amp;" "&amp;F842)))),"Yes","No"))</f>
        <v/>
      </c>
      <c r="P842" s="34" t="str">
        <f aca="false">IF(D842="","",IF(O842="Yes","No",IF(OR(AND(F842&lt;&gt;"",COUNTIF('Target &amp; Team Lists'!$A$5:$A$504,F842)&gt;0),COUNTIF('Target &amp; Team Lists'!$E$5:$E$504,D842)&gt;0),"Yes",IF(AND(SUMPRODUCT(('Target &amp; Team Lists'!$N$5:$N$60&lt;&gt;"")*ISNUMBER(SEARCH('Target &amp; Team Lists'!$N$5:$N$60,(E842&amp;" "&amp;F842))))&gt;0,SUMPRODUCT(('Target &amp; Team Lists'!$O$5:$O$60&lt;&gt;"")*ISNUMBER(SEARCH('Target &amp; Team Lists'!$O$5:$O$60,(E842&amp;" "&amp;F842))))=0),"Yes","No"))))</f>
        <v/>
      </c>
      <c r="Q842" s="32"/>
    </row>
    <row r="843" customFormat="false" ht="15" hidden="false" customHeight="false" outlineLevel="0" collapsed="false">
      <c r="A843" s="30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3" t="str">
        <f aca="false">IF(D843="","",IF(SUM(I843:L843)&gt;0,1,0))</f>
        <v/>
      </c>
      <c r="O843" s="34" t="str">
        <f aca="false">IF(D843="","",IF(OR(COUNTIF('Target &amp; Team Lists'!$J$5:$J$204,D843)&gt;0,AND(H843&lt;&gt;"",COUNTIF('Target &amp; Team Lists'!$L$5:$L$204,H843)&gt;0),ISNUMBER(SEARCH("alpha nodus",(E843&amp;" "&amp;F843))),ISNUMBER(SEARCH("alphanodus",(E843&amp;" "&amp;F843)))),"Yes","No"))</f>
        <v/>
      </c>
      <c r="P843" s="34" t="str">
        <f aca="false">IF(D843="","",IF(O843="Yes","No",IF(OR(AND(F843&lt;&gt;"",COUNTIF('Target &amp; Team Lists'!$A$5:$A$504,F843)&gt;0),COUNTIF('Target &amp; Team Lists'!$E$5:$E$504,D843)&gt;0),"Yes",IF(AND(SUMPRODUCT(('Target &amp; Team Lists'!$N$5:$N$60&lt;&gt;"")*ISNUMBER(SEARCH('Target &amp; Team Lists'!$N$5:$N$60,(E843&amp;" "&amp;F843))))&gt;0,SUMPRODUCT(('Target &amp; Team Lists'!$O$5:$O$60&lt;&gt;"")*ISNUMBER(SEARCH('Target &amp; Team Lists'!$O$5:$O$60,(E843&amp;" "&amp;F843))))=0),"Yes","No"))))</f>
        <v/>
      </c>
      <c r="Q843" s="32"/>
    </row>
    <row r="844" customFormat="false" ht="15" hidden="false" customHeight="false" outlineLevel="0" collapsed="false">
      <c r="A844" s="30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3" t="str">
        <f aca="false">IF(D844="","",IF(SUM(I844:L844)&gt;0,1,0))</f>
        <v/>
      </c>
      <c r="O844" s="34" t="str">
        <f aca="false">IF(D844="","",IF(OR(COUNTIF('Target &amp; Team Lists'!$J$5:$J$204,D844)&gt;0,AND(H844&lt;&gt;"",COUNTIF('Target &amp; Team Lists'!$L$5:$L$204,H844)&gt;0),ISNUMBER(SEARCH("alpha nodus",(E844&amp;" "&amp;F844))),ISNUMBER(SEARCH("alphanodus",(E844&amp;" "&amp;F844)))),"Yes","No"))</f>
        <v/>
      </c>
      <c r="P844" s="34" t="str">
        <f aca="false">IF(D844="","",IF(O844="Yes","No",IF(OR(AND(F844&lt;&gt;"",COUNTIF('Target &amp; Team Lists'!$A$5:$A$504,F844)&gt;0),COUNTIF('Target &amp; Team Lists'!$E$5:$E$504,D844)&gt;0),"Yes",IF(AND(SUMPRODUCT(('Target &amp; Team Lists'!$N$5:$N$60&lt;&gt;"")*ISNUMBER(SEARCH('Target &amp; Team Lists'!$N$5:$N$60,(E844&amp;" "&amp;F844))))&gt;0,SUMPRODUCT(('Target &amp; Team Lists'!$O$5:$O$60&lt;&gt;"")*ISNUMBER(SEARCH('Target &amp; Team Lists'!$O$5:$O$60,(E844&amp;" "&amp;F844))))=0),"Yes","No"))))</f>
        <v/>
      </c>
      <c r="Q844" s="32"/>
    </row>
    <row r="845" customFormat="false" ht="15" hidden="false" customHeight="false" outlineLevel="0" collapsed="false">
      <c r="A845" s="30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3" t="str">
        <f aca="false">IF(D845="","",IF(SUM(I845:L845)&gt;0,1,0))</f>
        <v/>
      </c>
      <c r="O845" s="34" t="str">
        <f aca="false">IF(D845="","",IF(OR(COUNTIF('Target &amp; Team Lists'!$J$5:$J$204,D845)&gt;0,AND(H845&lt;&gt;"",COUNTIF('Target &amp; Team Lists'!$L$5:$L$204,H845)&gt;0),ISNUMBER(SEARCH("alpha nodus",(E845&amp;" "&amp;F845))),ISNUMBER(SEARCH("alphanodus",(E845&amp;" "&amp;F845)))),"Yes","No"))</f>
        <v/>
      </c>
      <c r="P845" s="34" t="str">
        <f aca="false">IF(D845="","",IF(O845="Yes","No",IF(OR(AND(F845&lt;&gt;"",COUNTIF('Target &amp; Team Lists'!$A$5:$A$504,F845)&gt;0),COUNTIF('Target &amp; Team Lists'!$E$5:$E$504,D845)&gt;0),"Yes",IF(AND(SUMPRODUCT(('Target &amp; Team Lists'!$N$5:$N$60&lt;&gt;"")*ISNUMBER(SEARCH('Target &amp; Team Lists'!$N$5:$N$60,(E845&amp;" "&amp;F845))))&gt;0,SUMPRODUCT(('Target &amp; Team Lists'!$O$5:$O$60&lt;&gt;"")*ISNUMBER(SEARCH('Target &amp; Team Lists'!$O$5:$O$60,(E845&amp;" "&amp;F845))))=0),"Yes","No"))))</f>
        <v/>
      </c>
      <c r="Q845" s="32"/>
    </row>
    <row r="846" customFormat="false" ht="15" hidden="false" customHeight="false" outlineLevel="0" collapsed="false">
      <c r="A846" s="30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3" t="str">
        <f aca="false">IF(D846="","",IF(SUM(I846:L846)&gt;0,1,0))</f>
        <v/>
      </c>
      <c r="O846" s="34" t="str">
        <f aca="false">IF(D846="","",IF(OR(COUNTIF('Target &amp; Team Lists'!$J$5:$J$204,D846)&gt;0,AND(H846&lt;&gt;"",COUNTIF('Target &amp; Team Lists'!$L$5:$L$204,H846)&gt;0),ISNUMBER(SEARCH("alpha nodus",(E846&amp;" "&amp;F846))),ISNUMBER(SEARCH("alphanodus",(E846&amp;" "&amp;F846)))),"Yes","No"))</f>
        <v/>
      </c>
      <c r="P846" s="34" t="str">
        <f aca="false">IF(D846="","",IF(O846="Yes","No",IF(OR(AND(F846&lt;&gt;"",COUNTIF('Target &amp; Team Lists'!$A$5:$A$504,F846)&gt;0),COUNTIF('Target &amp; Team Lists'!$E$5:$E$504,D846)&gt;0),"Yes",IF(AND(SUMPRODUCT(('Target &amp; Team Lists'!$N$5:$N$60&lt;&gt;"")*ISNUMBER(SEARCH('Target &amp; Team Lists'!$N$5:$N$60,(E846&amp;" "&amp;F846))))&gt;0,SUMPRODUCT(('Target &amp; Team Lists'!$O$5:$O$60&lt;&gt;"")*ISNUMBER(SEARCH('Target &amp; Team Lists'!$O$5:$O$60,(E846&amp;" "&amp;F846))))=0),"Yes","No"))))</f>
        <v/>
      </c>
      <c r="Q846" s="32"/>
    </row>
    <row r="847" customFormat="false" ht="15" hidden="false" customHeight="false" outlineLevel="0" collapsed="false">
      <c r="A847" s="30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3" t="str">
        <f aca="false">IF(D847="","",IF(SUM(I847:L847)&gt;0,1,0))</f>
        <v/>
      </c>
      <c r="O847" s="34" t="str">
        <f aca="false">IF(D847="","",IF(OR(COUNTIF('Target &amp; Team Lists'!$J$5:$J$204,D847)&gt;0,AND(H847&lt;&gt;"",COUNTIF('Target &amp; Team Lists'!$L$5:$L$204,H847)&gt;0),ISNUMBER(SEARCH("alpha nodus",(E847&amp;" "&amp;F847))),ISNUMBER(SEARCH("alphanodus",(E847&amp;" "&amp;F847)))),"Yes","No"))</f>
        <v/>
      </c>
      <c r="P847" s="34" t="str">
        <f aca="false">IF(D847="","",IF(O847="Yes","No",IF(OR(AND(F847&lt;&gt;"",COUNTIF('Target &amp; Team Lists'!$A$5:$A$504,F847)&gt;0),COUNTIF('Target &amp; Team Lists'!$E$5:$E$504,D847)&gt;0),"Yes",IF(AND(SUMPRODUCT(('Target &amp; Team Lists'!$N$5:$N$60&lt;&gt;"")*ISNUMBER(SEARCH('Target &amp; Team Lists'!$N$5:$N$60,(E847&amp;" "&amp;F847))))&gt;0,SUMPRODUCT(('Target &amp; Team Lists'!$O$5:$O$60&lt;&gt;"")*ISNUMBER(SEARCH('Target &amp; Team Lists'!$O$5:$O$60,(E847&amp;" "&amp;F847))))=0),"Yes","No"))))</f>
        <v/>
      </c>
      <c r="Q847" s="32"/>
    </row>
    <row r="848" customFormat="false" ht="15" hidden="false" customHeight="false" outlineLevel="0" collapsed="false">
      <c r="A848" s="30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3" t="str">
        <f aca="false">IF(D848="","",IF(SUM(I848:L848)&gt;0,1,0))</f>
        <v/>
      </c>
      <c r="O848" s="34" t="str">
        <f aca="false">IF(D848="","",IF(OR(COUNTIF('Target &amp; Team Lists'!$J$5:$J$204,D848)&gt;0,AND(H848&lt;&gt;"",COUNTIF('Target &amp; Team Lists'!$L$5:$L$204,H848)&gt;0),ISNUMBER(SEARCH("alpha nodus",(E848&amp;" "&amp;F848))),ISNUMBER(SEARCH("alphanodus",(E848&amp;" "&amp;F848)))),"Yes","No"))</f>
        <v/>
      </c>
      <c r="P848" s="34" t="str">
        <f aca="false">IF(D848="","",IF(O848="Yes","No",IF(OR(AND(F848&lt;&gt;"",COUNTIF('Target &amp; Team Lists'!$A$5:$A$504,F848)&gt;0),COUNTIF('Target &amp; Team Lists'!$E$5:$E$504,D848)&gt;0),"Yes",IF(AND(SUMPRODUCT(('Target &amp; Team Lists'!$N$5:$N$60&lt;&gt;"")*ISNUMBER(SEARCH('Target &amp; Team Lists'!$N$5:$N$60,(E848&amp;" "&amp;F848))))&gt;0,SUMPRODUCT(('Target &amp; Team Lists'!$O$5:$O$60&lt;&gt;"")*ISNUMBER(SEARCH('Target &amp; Team Lists'!$O$5:$O$60,(E848&amp;" "&amp;F848))))=0),"Yes","No"))))</f>
        <v/>
      </c>
      <c r="Q848" s="32"/>
    </row>
    <row r="849" customFormat="false" ht="15" hidden="false" customHeight="false" outlineLevel="0" collapsed="false">
      <c r="A849" s="30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3" t="str">
        <f aca="false">IF(D849="","",IF(SUM(I849:L849)&gt;0,1,0))</f>
        <v/>
      </c>
      <c r="O849" s="34" t="str">
        <f aca="false">IF(D849="","",IF(OR(COUNTIF('Target &amp; Team Lists'!$J$5:$J$204,D849)&gt;0,AND(H849&lt;&gt;"",COUNTIF('Target &amp; Team Lists'!$L$5:$L$204,H849)&gt;0),ISNUMBER(SEARCH("alpha nodus",(E849&amp;" "&amp;F849))),ISNUMBER(SEARCH("alphanodus",(E849&amp;" "&amp;F849)))),"Yes","No"))</f>
        <v/>
      </c>
      <c r="P849" s="34" t="str">
        <f aca="false">IF(D849="","",IF(O849="Yes","No",IF(OR(AND(F849&lt;&gt;"",COUNTIF('Target &amp; Team Lists'!$A$5:$A$504,F849)&gt;0),COUNTIF('Target &amp; Team Lists'!$E$5:$E$504,D849)&gt;0),"Yes",IF(AND(SUMPRODUCT(('Target &amp; Team Lists'!$N$5:$N$60&lt;&gt;"")*ISNUMBER(SEARCH('Target &amp; Team Lists'!$N$5:$N$60,(E849&amp;" "&amp;F849))))&gt;0,SUMPRODUCT(('Target &amp; Team Lists'!$O$5:$O$60&lt;&gt;"")*ISNUMBER(SEARCH('Target &amp; Team Lists'!$O$5:$O$60,(E849&amp;" "&amp;F849))))=0),"Yes","No"))))</f>
        <v/>
      </c>
      <c r="Q849" s="32"/>
    </row>
    <row r="850" customFormat="false" ht="15" hidden="false" customHeight="false" outlineLevel="0" collapsed="false">
      <c r="A850" s="30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3" t="str">
        <f aca="false">IF(D850="","",IF(SUM(I850:L850)&gt;0,1,0))</f>
        <v/>
      </c>
      <c r="O850" s="34" t="str">
        <f aca="false">IF(D850="","",IF(OR(COUNTIF('Target &amp; Team Lists'!$J$5:$J$204,D850)&gt;0,AND(H850&lt;&gt;"",COUNTIF('Target &amp; Team Lists'!$L$5:$L$204,H850)&gt;0),ISNUMBER(SEARCH("alpha nodus",(E850&amp;" "&amp;F850))),ISNUMBER(SEARCH("alphanodus",(E850&amp;" "&amp;F850)))),"Yes","No"))</f>
        <v/>
      </c>
      <c r="P850" s="34" t="str">
        <f aca="false">IF(D850="","",IF(O850="Yes","No",IF(OR(AND(F850&lt;&gt;"",COUNTIF('Target &amp; Team Lists'!$A$5:$A$504,F850)&gt;0),COUNTIF('Target &amp; Team Lists'!$E$5:$E$504,D850)&gt;0),"Yes",IF(AND(SUMPRODUCT(('Target &amp; Team Lists'!$N$5:$N$60&lt;&gt;"")*ISNUMBER(SEARCH('Target &amp; Team Lists'!$N$5:$N$60,(E850&amp;" "&amp;F850))))&gt;0,SUMPRODUCT(('Target &amp; Team Lists'!$O$5:$O$60&lt;&gt;"")*ISNUMBER(SEARCH('Target &amp; Team Lists'!$O$5:$O$60,(E850&amp;" "&amp;F850))))=0),"Yes","No"))))</f>
        <v/>
      </c>
      <c r="Q850" s="32"/>
    </row>
    <row r="851" customFormat="false" ht="15" hidden="false" customHeight="false" outlineLevel="0" collapsed="false">
      <c r="A851" s="30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3" t="str">
        <f aca="false">IF(D851="","",IF(SUM(I851:L851)&gt;0,1,0))</f>
        <v/>
      </c>
      <c r="O851" s="34" t="str">
        <f aca="false">IF(D851="","",IF(OR(COUNTIF('Target &amp; Team Lists'!$J$5:$J$204,D851)&gt;0,AND(H851&lt;&gt;"",COUNTIF('Target &amp; Team Lists'!$L$5:$L$204,H851)&gt;0),ISNUMBER(SEARCH("alpha nodus",(E851&amp;" "&amp;F851))),ISNUMBER(SEARCH("alphanodus",(E851&amp;" "&amp;F851)))),"Yes","No"))</f>
        <v/>
      </c>
      <c r="P851" s="34" t="str">
        <f aca="false">IF(D851="","",IF(O851="Yes","No",IF(OR(AND(F851&lt;&gt;"",COUNTIF('Target &amp; Team Lists'!$A$5:$A$504,F851)&gt;0),COUNTIF('Target &amp; Team Lists'!$E$5:$E$504,D851)&gt;0),"Yes",IF(AND(SUMPRODUCT(('Target &amp; Team Lists'!$N$5:$N$60&lt;&gt;"")*ISNUMBER(SEARCH('Target &amp; Team Lists'!$N$5:$N$60,(E851&amp;" "&amp;F851))))&gt;0,SUMPRODUCT(('Target &amp; Team Lists'!$O$5:$O$60&lt;&gt;"")*ISNUMBER(SEARCH('Target &amp; Team Lists'!$O$5:$O$60,(E851&amp;" "&amp;F851))))=0),"Yes","No"))))</f>
        <v/>
      </c>
      <c r="Q851" s="32"/>
    </row>
    <row r="852" customFormat="false" ht="15" hidden="false" customHeight="false" outlineLevel="0" collapsed="false">
      <c r="A852" s="30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3" t="str">
        <f aca="false">IF(D852="","",IF(SUM(I852:L852)&gt;0,1,0))</f>
        <v/>
      </c>
      <c r="O852" s="34" t="str">
        <f aca="false">IF(D852="","",IF(OR(COUNTIF('Target &amp; Team Lists'!$J$5:$J$204,D852)&gt;0,AND(H852&lt;&gt;"",COUNTIF('Target &amp; Team Lists'!$L$5:$L$204,H852)&gt;0),ISNUMBER(SEARCH("alpha nodus",(E852&amp;" "&amp;F852))),ISNUMBER(SEARCH("alphanodus",(E852&amp;" "&amp;F852)))),"Yes","No"))</f>
        <v/>
      </c>
      <c r="P852" s="34" t="str">
        <f aca="false">IF(D852="","",IF(O852="Yes","No",IF(OR(AND(F852&lt;&gt;"",COUNTIF('Target &amp; Team Lists'!$A$5:$A$504,F852)&gt;0),COUNTIF('Target &amp; Team Lists'!$E$5:$E$504,D852)&gt;0),"Yes",IF(AND(SUMPRODUCT(('Target &amp; Team Lists'!$N$5:$N$60&lt;&gt;"")*ISNUMBER(SEARCH('Target &amp; Team Lists'!$N$5:$N$60,(E852&amp;" "&amp;F852))))&gt;0,SUMPRODUCT(('Target &amp; Team Lists'!$O$5:$O$60&lt;&gt;"")*ISNUMBER(SEARCH('Target &amp; Team Lists'!$O$5:$O$60,(E852&amp;" "&amp;F852))))=0),"Yes","No"))))</f>
        <v/>
      </c>
      <c r="Q852" s="32"/>
    </row>
    <row r="853" customFormat="false" ht="15" hidden="false" customHeight="false" outlineLevel="0" collapsed="false">
      <c r="A853" s="30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3" t="str">
        <f aca="false">IF(D853="","",IF(SUM(I853:L853)&gt;0,1,0))</f>
        <v/>
      </c>
      <c r="O853" s="34" t="str">
        <f aca="false">IF(D853="","",IF(OR(COUNTIF('Target &amp; Team Lists'!$J$5:$J$204,D853)&gt;0,AND(H853&lt;&gt;"",COUNTIF('Target &amp; Team Lists'!$L$5:$L$204,H853)&gt;0),ISNUMBER(SEARCH("alpha nodus",(E853&amp;" "&amp;F853))),ISNUMBER(SEARCH("alphanodus",(E853&amp;" "&amp;F853)))),"Yes","No"))</f>
        <v/>
      </c>
      <c r="P853" s="34" t="str">
        <f aca="false">IF(D853="","",IF(O853="Yes","No",IF(OR(AND(F853&lt;&gt;"",COUNTIF('Target &amp; Team Lists'!$A$5:$A$504,F853)&gt;0),COUNTIF('Target &amp; Team Lists'!$E$5:$E$504,D853)&gt;0),"Yes",IF(AND(SUMPRODUCT(('Target &amp; Team Lists'!$N$5:$N$60&lt;&gt;"")*ISNUMBER(SEARCH('Target &amp; Team Lists'!$N$5:$N$60,(E853&amp;" "&amp;F853))))&gt;0,SUMPRODUCT(('Target &amp; Team Lists'!$O$5:$O$60&lt;&gt;"")*ISNUMBER(SEARCH('Target &amp; Team Lists'!$O$5:$O$60,(E853&amp;" "&amp;F853))))=0),"Yes","No"))))</f>
        <v/>
      </c>
      <c r="Q853" s="32"/>
    </row>
    <row r="854" customFormat="false" ht="15" hidden="false" customHeight="false" outlineLevel="0" collapsed="false">
      <c r="A854" s="30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3" t="str">
        <f aca="false">IF(D854="","",IF(SUM(I854:L854)&gt;0,1,0))</f>
        <v/>
      </c>
      <c r="O854" s="34" t="str">
        <f aca="false">IF(D854="","",IF(OR(COUNTIF('Target &amp; Team Lists'!$J$5:$J$204,D854)&gt;0,AND(H854&lt;&gt;"",COUNTIF('Target &amp; Team Lists'!$L$5:$L$204,H854)&gt;0),ISNUMBER(SEARCH("alpha nodus",(E854&amp;" "&amp;F854))),ISNUMBER(SEARCH("alphanodus",(E854&amp;" "&amp;F854)))),"Yes","No"))</f>
        <v/>
      </c>
      <c r="P854" s="34" t="str">
        <f aca="false">IF(D854="","",IF(O854="Yes","No",IF(OR(AND(F854&lt;&gt;"",COUNTIF('Target &amp; Team Lists'!$A$5:$A$504,F854)&gt;0),COUNTIF('Target &amp; Team Lists'!$E$5:$E$504,D854)&gt;0),"Yes",IF(AND(SUMPRODUCT(('Target &amp; Team Lists'!$N$5:$N$60&lt;&gt;"")*ISNUMBER(SEARCH('Target &amp; Team Lists'!$N$5:$N$60,(E854&amp;" "&amp;F854))))&gt;0,SUMPRODUCT(('Target &amp; Team Lists'!$O$5:$O$60&lt;&gt;"")*ISNUMBER(SEARCH('Target &amp; Team Lists'!$O$5:$O$60,(E854&amp;" "&amp;F854))))=0),"Yes","No"))))</f>
        <v/>
      </c>
      <c r="Q854" s="32"/>
    </row>
    <row r="855" customFormat="false" ht="15" hidden="false" customHeight="false" outlineLevel="0" collapsed="false">
      <c r="A855" s="30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3" t="str">
        <f aca="false">IF(D855="","",IF(SUM(I855:L855)&gt;0,1,0))</f>
        <v/>
      </c>
      <c r="O855" s="34" t="str">
        <f aca="false">IF(D855="","",IF(OR(COUNTIF('Target &amp; Team Lists'!$J$5:$J$204,D855)&gt;0,AND(H855&lt;&gt;"",COUNTIF('Target &amp; Team Lists'!$L$5:$L$204,H855)&gt;0),ISNUMBER(SEARCH("alpha nodus",(E855&amp;" "&amp;F855))),ISNUMBER(SEARCH("alphanodus",(E855&amp;" "&amp;F855)))),"Yes","No"))</f>
        <v/>
      </c>
      <c r="P855" s="34" t="str">
        <f aca="false">IF(D855="","",IF(O855="Yes","No",IF(OR(AND(F855&lt;&gt;"",COUNTIF('Target &amp; Team Lists'!$A$5:$A$504,F855)&gt;0),COUNTIF('Target &amp; Team Lists'!$E$5:$E$504,D855)&gt;0),"Yes",IF(AND(SUMPRODUCT(('Target &amp; Team Lists'!$N$5:$N$60&lt;&gt;"")*ISNUMBER(SEARCH('Target &amp; Team Lists'!$N$5:$N$60,(E855&amp;" "&amp;F855))))&gt;0,SUMPRODUCT(('Target &amp; Team Lists'!$O$5:$O$60&lt;&gt;"")*ISNUMBER(SEARCH('Target &amp; Team Lists'!$O$5:$O$60,(E855&amp;" "&amp;F855))))=0),"Yes","No"))))</f>
        <v/>
      </c>
      <c r="Q855" s="32"/>
    </row>
    <row r="856" customFormat="false" ht="15" hidden="false" customHeight="false" outlineLevel="0" collapsed="false">
      <c r="A856" s="30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3" t="str">
        <f aca="false">IF(D856="","",IF(SUM(I856:L856)&gt;0,1,0))</f>
        <v/>
      </c>
      <c r="O856" s="34" t="str">
        <f aca="false">IF(D856="","",IF(OR(COUNTIF('Target &amp; Team Lists'!$J$5:$J$204,D856)&gt;0,AND(H856&lt;&gt;"",COUNTIF('Target &amp; Team Lists'!$L$5:$L$204,H856)&gt;0),ISNUMBER(SEARCH("alpha nodus",(E856&amp;" "&amp;F856))),ISNUMBER(SEARCH("alphanodus",(E856&amp;" "&amp;F856)))),"Yes","No"))</f>
        <v/>
      </c>
      <c r="P856" s="34" t="str">
        <f aca="false">IF(D856="","",IF(O856="Yes","No",IF(OR(AND(F856&lt;&gt;"",COUNTIF('Target &amp; Team Lists'!$A$5:$A$504,F856)&gt;0),COUNTIF('Target &amp; Team Lists'!$E$5:$E$504,D856)&gt;0),"Yes",IF(AND(SUMPRODUCT(('Target &amp; Team Lists'!$N$5:$N$60&lt;&gt;"")*ISNUMBER(SEARCH('Target &amp; Team Lists'!$N$5:$N$60,(E856&amp;" "&amp;F856))))&gt;0,SUMPRODUCT(('Target &amp; Team Lists'!$O$5:$O$60&lt;&gt;"")*ISNUMBER(SEARCH('Target &amp; Team Lists'!$O$5:$O$60,(E856&amp;" "&amp;F856))))=0),"Yes","No"))))</f>
        <v/>
      </c>
      <c r="Q856" s="32"/>
    </row>
    <row r="857" customFormat="false" ht="15" hidden="false" customHeight="false" outlineLevel="0" collapsed="false">
      <c r="A857" s="30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3" t="str">
        <f aca="false">IF(D857="","",IF(SUM(I857:L857)&gt;0,1,0))</f>
        <v/>
      </c>
      <c r="O857" s="34" t="str">
        <f aca="false">IF(D857="","",IF(OR(COUNTIF('Target &amp; Team Lists'!$J$5:$J$204,D857)&gt;0,AND(H857&lt;&gt;"",COUNTIF('Target &amp; Team Lists'!$L$5:$L$204,H857)&gt;0),ISNUMBER(SEARCH("alpha nodus",(E857&amp;" "&amp;F857))),ISNUMBER(SEARCH("alphanodus",(E857&amp;" "&amp;F857)))),"Yes","No"))</f>
        <v/>
      </c>
      <c r="P857" s="34" t="str">
        <f aca="false">IF(D857="","",IF(O857="Yes","No",IF(OR(AND(F857&lt;&gt;"",COUNTIF('Target &amp; Team Lists'!$A$5:$A$504,F857)&gt;0),COUNTIF('Target &amp; Team Lists'!$E$5:$E$504,D857)&gt;0),"Yes",IF(AND(SUMPRODUCT(('Target &amp; Team Lists'!$N$5:$N$60&lt;&gt;"")*ISNUMBER(SEARCH('Target &amp; Team Lists'!$N$5:$N$60,(E857&amp;" "&amp;F857))))&gt;0,SUMPRODUCT(('Target &amp; Team Lists'!$O$5:$O$60&lt;&gt;"")*ISNUMBER(SEARCH('Target &amp; Team Lists'!$O$5:$O$60,(E857&amp;" "&amp;F857))))=0),"Yes","No"))))</f>
        <v/>
      </c>
      <c r="Q857" s="32"/>
    </row>
    <row r="858" customFormat="false" ht="15" hidden="false" customHeight="false" outlineLevel="0" collapsed="false">
      <c r="A858" s="30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3" t="str">
        <f aca="false">IF(D858="","",IF(SUM(I858:L858)&gt;0,1,0))</f>
        <v/>
      </c>
      <c r="O858" s="34" t="str">
        <f aca="false">IF(D858="","",IF(OR(COUNTIF('Target &amp; Team Lists'!$J$5:$J$204,D858)&gt;0,AND(H858&lt;&gt;"",COUNTIF('Target &amp; Team Lists'!$L$5:$L$204,H858)&gt;0),ISNUMBER(SEARCH("alpha nodus",(E858&amp;" "&amp;F858))),ISNUMBER(SEARCH("alphanodus",(E858&amp;" "&amp;F858)))),"Yes","No"))</f>
        <v/>
      </c>
      <c r="P858" s="34" t="str">
        <f aca="false">IF(D858="","",IF(O858="Yes","No",IF(OR(AND(F858&lt;&gt;"",COUNTIF('Target &amp; Team Lists'!$A$5:$A$504,F858)&gt;0),COUNTIF('Target &amp; Team Lists'!$E$5:$E$504,D858)&gt;0),"Yes",IF(AND(SUMPRODUCT(('Target &amp; Team Lists'!$N$5:$N$60&lt;&gt;"")*ISNUMBER(SEARCH('Target &amp; Team Lists'!$N$5:$N$60,(E858&amp;" "&amp;F858))))&gt;0,SUMPRODUCT(('Target &amp; Team Lists'!$O$5:$O$60&lt;&gt;"")*ISNUMBER(SEARCH('Target &amp; Team Lists'!$O$5:$O$60,(E858&amp;" "&amp;F858))))=0),"Yes","No"))))</f>
        <v/>
      </c>
      <c r="Q858" s="32"/>
    </row>
    <row r="859" customFormat="false" ht="15" hidden="false" customHeight="false" outlineLevel="0" collapsed="false">
      <c r="A859" s="30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3" t="str">
        <f aca="false">IF(D859="","",IF(SUM(I859:L859)&gt;0,1,0))</f>
        <v/>
      </c>
      <c r="O859" s="34" t="str">
        <f aca="false">IF(D859="","",IF(OR(COUNTIF('Target &amp; Team Lists'!$J$5:$J$204,D859)&gt;0,AND(H859&lt;&gt;"",COUNTIF('Target &amp; Team Lists'!$L$5:$L$204,H859)&gt;0),ISNUMBER(SEARCH("alpha nodus",(E859&amp;" "&amp;F859))),ISNUMBER(SEARCH("alphanodus",(E859&amp;" "&amp;F859)))),"Yes","No"))</f>
        <v/>
      </c>
      <c r="P859" s="34" t="str">
        <f aca="false">IF(D859="","",IF(O859="Yes","No",IF(OR(AND(F859&lt;&gt;"",COUNTIF('Target &amp; Team Lists'!$A$5:$A$504,F859)&gt;0),COUNTIF('Target &amp; Team Lists'!$E$5:$E$504,D859)&gt;0),"Yes",IF(AND(SUMPRODUCT(('Target &amp; Team Lists'!$N$5:$N$60&lt;&gt;"")*ISNUMBER(SEARCH('Target &amp; Team Lists'!$N$5:$N$60,(E859&amp;" "&amp;F859))))&gt;0,SUMPRODUCT(('Target &amp; Team Lists'!$O$5:$O$60&lt;&gt;"")*ISNUMBER(SEARCH('Target &amp; Team Lists'!$O$5:$O$60,(E859&amp;" "&amp;F859))))=0),"Yes","No"))))</f>
        <v/>
      </c>
      <c r="Q859" s="32"/>
    </row>
    <row r="860" customFormat="false" ht="15" hidden="false" customHeight="false" outlineLevel="0" collapsed="false">
      <c r="A860" s="30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3" t="str">
        <f aca="false">IF(D860="","",IF(SUM(I860:L860)&gt;0,1,0))</f>
        <v/>
      </c>
      <c r="O860" s="34" t="str">
        <f aca="false">IF(D860="","",IF(OR(COUNTIF('Target &amp; Team Lists'!$J$5:$J$204,D860)&gt;0,AND(H860&lt;&gt;"",COUNTIF('Target &amp; Team Lists'!$L$5:$L$204,H860)&gt;0),ISNUMBER(SEARCH("alpha nodus",(E860&amp;" "&amp;F860))),ISNUMBER(SEARCH("alphanodus",(E860&amp;" "&amp;F860)))),"Yes","No"))</f>
        <v/>
      </c>
      <c r="P860" s="34" t="str">
        <f aca="false">IF(D860="","",IF(O860="Yes","No",IF(OR(AND(F860&lt;&gt;"",COUNTIF('Target &amp; Team Lists'!$A$5:$A$504,F860)&gt;0),COUNTIF('Target &amp; Team Lists'!$E$5:$E$504,D860)&gt;0),"Yes",IF(AND(SUMPRODUCT(('Target &amp; Team Lists'!$N$5:$N$60&lt;&gt;"")*ISNUMBER(SEARCH('Target &amp; Team Lists'!$N$5:$N$60,(E860&amp;" "&amp;F860))))&gt;0,SUMPRODUCT(('Target &amp; Team Lists'!$O$5:$O$60&lt;&gt;"")*ISNUMBER(SEARCH('Target &amp; Team Lists'!$O$5:$O$60,(E860&amp;" "&amp;F860))))=0),"Yes","No"))))</f>
        <v/>
      </c>
      <c r="Q860" s="32"/>
    </row>
    <row r="861" customFormat="false" ht="15" hidden="false" customHeight="false" outlineLevel="0" collapsed="false">
      <c r="A861" s="30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3" t="str">
        <f aca="false">IF(D861="","",IF(SUM(I861:L861)&gt;0,1,0))</f>
        <v/>
      </c>
      <c r="O861" s="34" t="str">
        <f aca="false">IF(D861="","",IF(OR(COUNTIF('Target &amp; Team Lists'!$J$5:$J$204,D861)&gt;0,AND(H861&lt;&gt;"",COUNTIF('Target &amp; Team Lists'!$L$5:$L$204,H861)&gt;0),ISNUMBER(SEARCH("alpha nodus",(E861&amp;" "&amp;F861))),ISNUMBER(SEARCH("alphanodus",(E861&amp;" "&amp;F861)))),"Yes","No"))</f>
        <v/>
      </c>
      <c r="P861" s="34" t="str">
        <f aca="false">IF(D861="","",IF(O861="Yes","No",IF(OR(AND(F861&lt;&gt;"",COUNTIF('Target &amp; Team Lists'!$A$5:$A$504,F861)&gt;0),COUNTIF('Target &amp; Team Lists'!$E$5:$E$504,D861)&gt;0),"Yes",IF(AND(SUMPRODUCT(('Target &amp; Team Lists'!$N$5:$N$60&lt;&gt;"")*ISNUMBER(SEARCH('Target &amp; Team Lists'!$N$5:$N$60,(E861&amp;" "&amp;F861))))&gt;0,SUMPRODUCT(('Target &amp; Team Lists'!$O$5:$O$60&lt;&gt;"")*ISNUMBER(SEARCH('Target &amp; Team Lists'!$O$5:$O$60,(E861&amp;" "&amp;F861))))=0),"Yes","No"))))</f>
        <v/>
      </c>
      <c r="Q861" s="32"/>
    </row>
    <row r="862" customFormat="false" ht="15" hidden="false" customHeight="false" outlineLevel="0" collapsed="false">
      <c r="A862" s="30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3" t="str">
        <f aca="false">IF(D862="","",IF(SUM(I862:L862)&gt;0,1,0))</f>
        <v/>
      </c>
      <c r="O862" s="34" t="str">
        <f aca="false">IF(D862="","",IF(OR(COUNTIF('Target &amp; Team Lists'!$J$5:$J$204,D862)&gt;0,AND(H862&lt;&gt;"",COUNTIF('Target &amp; Team Lists'!$L$5:$L$204,H862)&gt;0),ISNUMBER(SEARCH("alpha nodus",(E862&amp;" "&amp;F862))),ISNUMBER(SEARCH("alphanodus",(E862&amp;" "&amp;F862)))),"Yes","No"))</f>
        <v/>
      </c>
      <c r="P862" s="34" t="str">
        <f aca="false">IF(D862="","",IF(O862="Yes","No",IF(OR(AND(F862&lt;&gt;"",COUNTIF('Target &amp; Team Lists'!$A$5:$A$504,F862)&gt;0),COUNTIF('Target &amp; Team Lists'!$E$5:$E$504,D862)&gt;0),"Yes",IF(AND(SUMPRODUCT(('Target &amp; Team Lists'!$N$5:$N$60&lt;&gt;"")*ISNUMBER(SEARCH('Target &amp; Team Lists'!$N$5:$N$60,(E862&amp;" "&amp;F862))))&gt;0,SUMPRODUCT(('Target &amp; Team Lists'!$O$5:$O$60&lt;&gt;"")*ISNUMBER(SEARCH('Target &amp; Team Lists'!$O$5:$O$60,(E862&amp;" "&amp;F862))))=0),"Yes","No"))))</f>
        <v/>
      </c>
      <c r="Q862" s="32"/>
    </row>
    <row r="863" customFormat="false" ht="15" hidden="false" customHeight="false" outlineLevel="0" collapsed="false">
      <c r="A863" s="30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3" t="str">
        <f aca="false">IF(D863="","",IF(SUM(I863:L863)&gt;0,1,0))</f>
        <v/>
      </c>
      <c r="O863" s="34" t="str">
        <f aca="false">IF(D863="","",IF(OR(COUNTIF('Target &amp; Team Lists'!$J$5:$J$204,D863)&gt;0,AND(H863&lt;&gt;"",COUNTIF('Target &amp; Team Lists'!$L$5:$L$204,H863)&gt;0),ISNUMBER(SEARCH("alpha nodus",(E863&amp;" "&amp;F863))),ISNUMBER(SEARCH("alphanodus",(E863&amp;" "&amp;F863)))),"Yes","No"))</f>
        <v/>
      </c>
      <c r="P863" s="34" t="str">
        <f aca="false">IF(D863="","",IF(O863="Yes","No",IF(OR(AND(F863&lt;&gt;"",COUNTIF('Target &amp; Team Lists'!$A$5:$A$504,F863)&gt;0),COUNTIF('Target &amp; Team Lists'!$E$5:$E$504,D863)&gt;0),"Yes",IF(AND(SUMPRODUCT(('Target &amp; Team Lists'!$N$5:$N$60&lt;&gt;"")*ISNUMBER(SEARCH('Target &amp; Team Lists'!$N$5:$N$60,(E863&amp;" "&amp;F863))))&gt;0,SUMPRODUCT(('Target &amp; Team Lists'!$O$5:$O$60&lt;&gt;"")*ISNUMBER(SEARCH('Target &amp; Team Lists'!$O$5:$O$60,(E863&amp;" "&amp;F863))))=0),"Yes","No"))))</f>
        <v/>
      </c>
      <c r="Q863" s="32"/>
    </row>
    <row r="864" customFormat="false" ht="15" hidden="false" customHeight="false" outlineLevel="0" collapsed="false">
      <c r="A864" s="30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3" t="str">
        <f aca="false">IF(D864="","",IF(SUM(I864:L864)&gt;0,1,0))</f>
        <v/>
      </c>
      <c r="O864" s="34" t="str">
        <f aca="false">IF(D864="","",IF(OR(COUNTIF('Target &amp; Team Lists'!$J$5:$J$204,D864)&gt;0,AND(H864&lt;&gt;"",COUNTIF('Target &amp; Team Lists'!$L$5:$L$204,H864)&gt;0),ISNUMBER(SEARCH("alpha nodus",(E864&amp;" "&amp;F864))),ISNUMBER(SEARCH("alphanodus",(E864&amp;" "&amp;F864)))),"Yes","No"))</f>
        <v/>
      </c>
      <c r="P864" s="34" t="str">
        <f aca="false">IF(D864="","",IF(O864="Yes","No",IF(OR(AND(F864&lt;&gt;"",COUNTIF('Target &amp; Team Lists'!$A$5:$A$504,F864)&gt;0),COUNTIF('Target &amp; Team Lists'!$E$5:$E$504,D864)&gt;0),"Yes",IF(AND(SUMPRODUCT(('Target &amp; Team Lists'!$N$5:$N$60&lt;&gt;"")*ISNUMBER(SEARCH('Target &amp; Team Lists'!$N$5:$N$60,(E864&amp;" "&amp;F864))))&gt;0,SUMPRODUCT(('Target &amp; Team Lists'!$O$5:$O$60&lt;&gt;"")*ISNUMBER(SEARCH('Target &amp; Team Lists'!$O$5:$O$60,(E864&amp;" "&amp;F864))))=0),"Yes","No"))))</f>
        <v/>
      </c>
      <c r="Q864" s="32"/>
    </row>
    <row r="865" customFormat="false" ht="15" hidden="false" customHeight="false" outlineLevel="0" collapsed="false">
      <c r="A865" s="30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3" t="str">
        <f aca="false">IF(D865="","",IF(SUM(I865:L865)&gt;0,1,0))</f>
        <v/>
      </c>
      <c r="O865" s="34" t="str">
        <f aca="false">IF(D865="","",IF(OR(COUNTIF('Target &amp; Team Lists'!$J$5:$J$204,D865)&gt;0,AND(H865&lt;&gt;"",COUNTIF('Target &amp; Team Lists'!$L$5:$L$204,H865)&gt;0),ISNUMBER(SEARCH("alpha nodus",(E865&amp;" "&amp;F865))),ISNUMBER(SEARCH("alphanodus",(E865&amp;" "&amp;F865)))),"Yes","No"))</f>
        <v/>
      </c>
      <c r="P865" s="34" t="str">
        <f aca="false">IF(D865="","",IF(O865="Yes","No",IF(OR(AND(F865&lt;&gt;"",COUNTIF('Target &amp; Team Lists'!$A$5:$A$504,F865)&gt;0),COUNTIF('Target &amp; Team Lists'!$E$5:$E$504,D865)&gt;0),"Yes",IF(AND(SUMPRODUCT(('Target &amp; Team Lists'!$N$5:$N$60&lt;&gt;"")*ISNUMBER(SEARCH('Target &amp; Team Lists'!$N$5:$N$60,(E865&amp;" "&amp;F865))))&gt;0,SUMPRODUCT(('Target &amp; Team Lists'!$O$5:$O$60&lt;&gt;"")*ISNUMBER(SEARCH('Target &amp; Team Lists'!$O$5:$O$60,(E865&amp;" "&amp;F865))))=0),"Yes","No"))))</f>
        <v/>
      </c>
      <c r="Q865" s="32"/>
    </row>
    <row r="866" customFormat="false" ht="15" hidden="false" customHeight="false" outlineLevel="0" collapsed="false">
      <c r="A866" s="30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3" t="str">
        <f aca="false">IF(D866="","",IF(SUM(I866:L866)&gt;0,1,0))</f>
        <v/>
      </c>
      <c r="O866" s="34" t="str">
        <f aca="false">IF(D866="","",IF(OR(COUNTIF('Target &amp; Team Lists'!$J$5:$J$204,D866)&gt;0,AND(H866&lt;&gt;"",COUNTIF('Target &amp; Team Lists'!$L$5:$L$204,H866)&gt;0),ISNUMBER(SEARCH("alpha nodus",(E866&amp;" "&amp;F866))),ISNUMBER(SEARCH("alphanodus",(E866&amp;" "&amp;F866)))),"Yes","No"))</f>
        <v/>
      </c>
      <c r="P866" s="34" t="str">
        <f aca="false">IF(D866="","",IF(O866="Yes","No",IF(OR(AND(F866&lt;&gt;"",COUNTIF('Target &amp; Team Lists'!$A$5:$A$504,F866)&gt;0),COUNTIF('Target &amp; Team Lists'!$E$5:$E$504,D866)&gt;0),"Yes",IF(AND(SUMPRODUCT(('Target &amp; Team Lists'!$N$5:$N$60&lt;&gt;"")*ISNUMBER(SEARCH('Target &amp; Team Lists'!$N$5:$N$60,(E866&amp;" "&amp;F866))))&gt;0,SUMPRODUCT(('Target &amp; Team Lists'!$O$5:$O$60&lt;&gt;"")*ISNUMBER(SEARCH('Target &amp; Team Lists'!$O$5:$O$60,(E866&amp;" "&amp;F866))))=0),"Yes","No"))))</f>
        <v/>
      </c>
      <c r="Q866" s="32"/>
    </row>
    <row r="867" customFormat="false" ht="15" hidden="false" customHeight="false" outlineLevel="0" collapsed="false">
      <c r="A867" s="30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3" t="str">
        <f aca="false">IF(D867="","",IF(SUM(I867:L867)&gt;0,1,0))</f>
        <v/>
      </c>
      <c r="O867" s="34" t="str">
        <f aca="false">IF(D867="","",IF(OR(COUNTIF('Target &amp; Team Lists'!$J$5:$J$204,D867)&gt;0,AND(H867&lt;&gt;"",COUNTIF('Target &amp; Team Lists'!$L$5:$L$204,H867)&gt;0),ISNUMBER(SEARCH("alpha nodus",(E867&amp;" "&amp;F867))),ISNUMBER(SEARCH("alphanodus",(E867&amp;" "&amp;F867)))),"Yes","No"))</f>
        <v/>
      </c>
      <c r="P867" s="34" t="str">
        <f aca="false">IF(D867="","",IF(O867="Yes","No",IF(OR(AND(F867&lt;&gt;"",COUNTIF('Target &amp; Team Lists'!$A$5:$A$504,F867)&gt;0),COUNTIF('Target &amp; Team Lists'!$E$5:$E$504,D867)&gt;0),"Yes",IF(AND(SUMPRODUCT(('Target &amp; Team Lists'!$N$5:$N$60&lt;&gt;"")*ISNUMBER(SEARCH('Target &amp; Team Lists'!$N$5:$N$60,(E867&amp;" "&amp;F867))))&gt;0,SUMPRODUCT(('Target &amp; Team Lists'!$O$5:$O$60&lt;&gt;"")*ISNUMBER(SEARCH('Target &amp; Team Lists'!$O$5:$O$60,(E867&amp;" "&amp;F867))))=0),"Yes","No"))))</f>
        <v/>
      </c>
      <c r="Q867" s="32"/>
    </row>
    <row r="868" customFormat="false" ht="15" hidden="false" customHeight="false" outlineLevel="0" collapsed="false">
      <c r="A868" s="30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3" t="str">
        <f aca="false">IF(D868="","",IF(SUM(I868:L868)&gt;0,1,0))</f>
        <v/>
      </c>
      <c r="O868" s="34" t="str">
        <f aca="false">IF(D868="","",IF(OR(COUNTIF('Target &amp; Team Lists'!$J$5:$J$204,D868)&gt;0,AND(H868&lt;&gt;"",COUNTIF('Target &amp; Team Lists'!$L$5:$L$204,H868)&gt;0),ISNUMBER(SEARCH("alpha nodus",(E868&amp;" "&amp;F868))),ISNUMBER(SEARCH("alphanodus",(E868&amp;" "&amp;F868)))),"Yes","No"))</f>
        <v/>
      </c>
      <c r="P868" s="34" t="str">
        <f aca="false">IF(D868="","",IF(O868="Yes","No",IF(OR(AND(F868&lt;&gt;"",COUNTIF('Target &amp; Team Lists'!$A$5:$A$504,F868)&gt;0),COUNTIF('Target &amp; Team Lists'!$E$5:$E$504,D868)&gt;0),"Yes",IF(AND(SUMPRODUCT(('Target &amp; Team Lists'!$N$5:$N$60&lt;&gt;"")*ISNUMBER(SEARCH('Target &amp; Team Lists'!$N$5:$N$60,(E868&amp;" "&amp;F868))))&gt;0,SUMPRODUCT(('Target &amp; Team Lists'!$O$5:$O$60&lt;&gt;"")*ISNUMBER(SEARCH('Target &amp; Team Lists'!$O$5:$O$60,(E868&amp;" "&amp;F868))))=0),"Yes","No"))))</f>
        <v/>
      </c>
      <c r="Q868" s="32"/>
    </row>
    <row r="869" customFormat="false" ht="15" hidden="false" customHeight="false" outlineLevel="0" collapsed="false">
      <c r="A869" s="30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3" t="str">
        <f aca="false">IF(D869="","",IF(SUM(I869:L869)&gt;0,1,0))</f>
        <v/>
      </c>
      <c r="O869" s="34" t="str">
        <f aca="false">IF(D869="","",IF(OR(COUNTIF('Target &amp; Team Lists'!$J$5:$J$204,D869)&gt;0,AND(H869&lt;&gt;"",COUNTIF('Target &amp; Team Lists'!$L$5:$L$204,H869)&gt;0),ISNUMBER(SEARCH("alpha nodus",(E869&amp;" "&amp;F869))),ISNUMBER(SEARCH("alphanodus",(E869&amp;" "&amp;F869)))),"Yes","No"))</f>
        <v/>
      </c>
      <c r="P869" s="34" t="str">
        <f aca="false">IF(D869="","",IF(O869="Yes","No",IF(OR(AND(F869&lt;&gt;"",COUNTIF('Target &amp; Team Lists'!$A$5:$A$504,F869)&gt;0),COUNTIF('Target &amp; Team Lists'!$E$5:$E$504,D869)&gt;0),"Yes",IF(AND(SUMPRODUCT(('Target &amp; Team Lists'!$N$5:$N$60&lt;&gt;"")*ISNUMBER(SEARCH('Target &amp; Team Lists'!$N$5:$N$60,(E869&amp;" "&amp;F869))))&gt;0,SUMPRODUCT(('Target &amp; Team Lists'!$O$5:$O$60&lt;&gt;"")*ISNUMBER(SEARCH('Target &amp; Team Lists'!$O$5:$O$60,(E869&amp;" "&amp;F869))))=0),"Yes","No"))))</f>
        <v/>
      </c>
      <c r="Q869" s="32"/>
    </row>
    <row r="870" customFormat="false" ht="15" hidden="false" customHeight="false" outlineLevel="0" collapsed="false">
      <c r="A870" s="30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3" t="str">
        <f aca="false">IF(D870="","",IF(SUM(I870:L870)&gt;0,1,0))</f>
        <v/>
      </c>
      <c r="O870" s="34" t="str">
        <f aca="false">IF(D870="","",IF(OR(COUNTIF('Target &amp; Team Lists'!$J$5:$J$204,D870)&gt;0,AND(H870&lt;&gt;"",COUNTIF('Target &amp; Team Lists'!$L$5:$L$204,H870)&gt;0),ISNUMBER(SEARCH("alpha nodus",(E870&amp;" "&amp;F870))),ISNUMBER(SEARCH("alphanodus",(E870&amp;" "&amp;F870)))),"Yes","No"))</f>
        <v/>
      </c>
      <c r="P870" s="34" t="str">
        <f aca="false">IF(D870="","",IF(O870="Yes","No",IF(OR(AND(F870&lt;&gt;"",COUNTIF('Target &amp; Team Lists'!$A$5:$A$504,F870)&gt;0),COUNTIF('Target &amp; Team Lists'!$E$5:$E$504,D870)&gt;0),"Yes",IF(AND(SUMPRODUCT(('Target &amp; Team Lists'!$N$5:$N$60&lt;&gt;"")*ISNUMBER(SEARCH('Target &amp; Team Lists'!$N$5:$N$60,(E870&amp;" "&amp;F870))))&gt;0,SUMPRODUCT(('Target &amp; Team Lists'!$O$5:$O$60&lt;&gt;"")*ISNUMBER(SEARCH('Target &amp; Team Lists'!$O$5:$O$60,(E870&amp;" "&amp;F870))))=0),"Yes","No"))))</f>
        <v/>
      </c>
      <c r="Q870" s="32"/>
    </row>
    <row r="871" customFormat="false" ht="15" hidden="false" customHeight="false" outlineLevel="0" collapsed="false">
      <c r="A871" s="30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3" t="str">
        <f aca="false">IF(D871="","",IF(SUM(I871:L871)&gt;0,1,0))</f>
        <v/>
      </c>
      <c r="O871" s="34" t="str">
        <f aca="false">IF(D871="","",IF(OR(COUNTIF('Target &amp; Team Lists'!$J$5:$J$204,D871)&gt;0,AND(H871&lt;&gt;"",COUNTIF('Target &amp; Team Lists'!$L$5:$L$204,H871)&gt;0),ISNUMBER(SEARCH("alpha nodus",(E871&amp;" "&amp;F871))),ISNUMBER(SEARCH("alphanodus",(E871&amp;" "&amp;F871)))),"Yes","No"))</f>
        <v/>
      </c>
      <c r="P871" s="34" t="str">
        <f aca="false">IF(D871="","",IF(O871="Yes","No",IF(OR(AND(F871&lt;&gt;"",COUNTIF('Target &amp; Team Lists'!$A$5:$A$504,F871)&gt;0),COUNTIF('Target &amp; Team Lists'!$E$5:$E$504,D871)&gt;0),"Yes",IF(AND(SUMPRODUCT(('Target &amp; Team Lists'!$N$5:$N$60&lt;&gt;"")*ISNUMBER(SEARCH('Target &amp; Team Lists'!$N$5:$N$60,(E871&amp;" "&amp;F871))))&gt;0,SUMPRODUCT(('Target &amp; Team Lists'!$O$5:$O$60&lt;&gt;"")*ISNUMBER(SEARCH('Target &amp; Team Lists'!$O$5:$O$60,(E871&amp;" "&amp;F871))))=0),"Yes","No"))))</f>
        <v/>
      </c>
      <c r="Q871" s="32"/>
    </row>
    <row r="872" customFormat="false" ht="15" hidden="false" customHeight="false" outlineLevel="0" collapsed="false">
      <c r="A872" s="30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3" t="str">
        <f aca="false">IF(D872="","",IF(SUM(I872:L872)&gt;0,1,0))</f>
        <v/>
      </c>
      <c r="O872" s="34" t="str">
        <f aca="false">IF(D872="","",IF(OR(COUNTIF('Target &amp; Team Lists'!$J$5:$J$204,D872)&gt;0,AND(H872&lt;&gt;"",COUNTIF('Target &amp; Team Lists'!$L$5:$L$204,H872)&gt;0),ISNUMBER(SEARCH("alpha nodus",(E872&amp;" "&amp;F872))),ISNUMBER(SEARCH("alphanodus",(E872&amp;" "&amp;F872)))),"Yes","No"))</f>
        <v/>
      </c>
      <c r="P872" s="34" t="str">
        <f aca="false">IF(D872="","",IF(O872="Yes","No",IF(OR(AND(F872&lt;&gt;"",COUNTIF('Target &amp; Team Lists'!$A$5:$A$504,F872)&gt;0),COUNTIF('Target &amp; Team Lists'!$E$5:$E$504,D872)&gt;0),"Yes",IF(AND(SUMPRODUCT(('Target &amp; Team Lists'!$N$5:$N$60&lt;&gt;"")*ISNUMBER(SEARCH('Target &amp; Team Lists'!$N$5:$N$60,(E872&amp;" "&amp;F872))))&gt;0,SUMPRODUCT(('Target &amp; Team Lists'!$O$5:$O$60&lt;&gt;"")*ISNUMBER(SEARCH('Target &amp; Team Lists'!$O$5:$O$60,(E872&amp;" "&amp;F872))))=0),"Yes","No"))))</f>
        <v/>
      </c>
      <c r="Q872" s="32"/>
    </row>
    <row r="873" customFormat="false" ht="15" hidden="false" customHeight="false" outlineLevel="0" collapsed="false">
      <c r="A873" s="30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3" t="str">
        <f aca="false">IF(D873="","",IF(SUM(I873:L873)&gt;0,1,0))</f>
        <v/>
      </c>
      <c r="O873" s="34" t="str">
        <f aca="false">IF(D873="","",IF(OR(COUNTIF('Target &amp; Team Lists'!$J$5:$J$204,D873)&gt;0,AND(H873&lt;&gt;"",COUNTIF('Target &amp; Team Lists'!$L$5:$L$204,H873)&gt;0),ISNUMBER(SEARCH("alpha nodus",(E873&amp;" "&amp;F873))),ISNUMBER(SEARCH("alphanodus",(E873&amp;" "&amp;F873)))),"Yes","No"))</f>
        <v/>
      </c>
      <c r="P873" s="34" t="str">
        <f aca="false">IF(D873="","",IF(O873="Yes","No",IF(OR(AND(F873&lt;&gt;"",COUNTIF('Target &amp; Team Lists'!$A$5:$A$504,F873)&gt;0),COUNTIF('Target &amp; Team Lists'!$E$5:$E$504,D873)&gt;0),"Yes",IF(AND(SUMPRODUCT(('Target &amp; Team Lists'!$N$5:$N$60&lt;&gt;"")*ISNUMBER(SEARCH('Target &amp; Team Lists'!$N$5:$N$60,(E873&amp;" "&amp;F873))))&gt;0,SUMPRODUCT(('Target &amp; Team Lists'!$O$5:$O$60&lt;&gt;"")*ISNUMBER(SEARCH('Target &amp; Team Lists'!$O$5:$O$60,(E873&amp;" "&amp;F873))))=0),"Yes","No"))))</f>
        <v/>
      </c>
      <c r="Q873" s="32"/>
    </row>
    <row r="874" customFormat="false" ht="15" hidden="false" customHeight="false" outlineLevel="0" collapsed="false">
      <c r="A874" s="30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3" t="str">
        <f aca="false">IF(D874="","",IF(SUM(I874:L874)&gt;0,1,0))</f>
        <v/>
      </c>
      <c r="O874" s="34" t="str">
        <f aca="false">IF(D874="","",IF(OR(COUNTIF('Target &amp; Team Lists'!$J$5:$J$204,D874)&gt;0,AND(H874&lt;&gt;"",COUNTIF('Target &amp; Team Lists'!$L$5:$L$204,H874)&gt;0),ISNUMBER(SEARCH("alpha nodus",(E874&amp;" "&amp;F874))),ISNUMBER(SEARCH("alphanodus",(E874&amp;" "&amp;F874)))),"Yes","No"))</f>
        <v/>
      </c>
      <c r="P874" s="34" t="str">
        <f aca="false">IF(D874="","",IF(O874="Yes","No",IF(OR(AND(F874&lt;&gt;"",COUNTIF('Target &amp; Team Lists'!$A$5:$A$504,F874)&gt;0),COUNTIF('Target &amp; Team Lists'!$E$5:$E$504,D874)&gt;0),"Yes",IF(AND(SUMPRODUCT(('Target &amp; Team Lists'!$N$5:$N$60&lt;&gt;"")*ISNUMBER(SEARCH('Target &amp; Team Lists'!$N$5:$N$60,(E874&amp;" "&amp;F874))))&gt;0,SUMPRODUCT(('Target &amp; Team Lists'!$O$5:$O$60&lt;&gt;"")*ISNUMBER(SEARCH('Target &amp; Team Lists'!$O$5:$O$60,(E874&amp;" "&amp;F874))))=0),"Yes","No"))))</f>
        <v/>
      </c>
      <c r="Q874" s="32"/>
    </row>
    <row r="875" customFormat="false" ht="15" hidden="false" customHeight="false" outlineLevel="0" collapsed="false">
      <c r="A875" s="30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3" t="str">
        <f aca="false">IF(D875="","",IF(SUM(I875:L875)&gt;0,1,0))</f>
        <v/>
      </c>
      <c r="O875" s="34" t="str">
        <f aca="false">IF(D875="","",IF(OR(COUNTIF('Target &amp; Team Lists'!$J$5:$J$204,D875)&gt;0,AND(H875&lt;&gt;"",COUNTIF('Target &amp; Team Lists'!$L$5:$L$204,H875)&gt;0),ISNUMBER(SEARCH("alpha nodus",(E875&amp;" "&amp;F875))),ISNUMBER(SEARCH("alphanodus",(E875&amp;" "&amp;F875)))),"Yes","No"))</f>
        <v/>
      </c>
      <c r="P875" s="34" t="str">
        <f aca="false">IF(D875="","",IF(O875="Yes","No",IF(OR(AND(F875&lt;&gt;"",COUNTIF('Target &amp; Team Lists'!$A$5:$A$504,F875)&gt;0),COUNTIF('Target &amp; Team Lists'!$E$5:$E$504,D875)&gt;0),"Yes",IF(AND(SUMPRODUCT(('Target &amp; Team Lists'!$N$5:$N$60&lt;&gt;"")*ISNUMBER(SEARCH('Target &amp; Team Lists'!$N$5:$N$60,(E875&amp;" "&amp;F875))))&gt;0,SUMPRODUCT(('Target &amp; Team Lists'!$O$5:$O$60&lt;&gt;"")*ISNUMBER(SEARCH('Target &amp; Team Lists'!$O$5:$O$60,(E875&amp;" "&amp;F875))))=0),"Yes","No"))))</f>
        <v/>
      </c>
      <c r="Q875" s="32"/>
    </row>
    <row r="876" customFormat="false" ht="15" hidden="false" customHeight="false" outlineLevel="0" collapsed="false">
      <c r="A876" s="30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3" t="str">
        <f aca="false">IF(D876="","",IF(SUM(I876:L876)&gt;0,1,0))</f>
        <v/>
      </c>
      <c r="O876" s="34" t="str">
        <f aca="false">IF(D876="","",IF(OR(COUNTIF('Target &amp; Team Lists'!$J$5:$J$204,D876)&gt;0,AND(H876&lt;&gt;"",COUNTIF('Target &amp; Team Lists'!$L$5:$L$204,H876)&gt;0),ISNUMBER(SEARCH("alpha nodus",(E876&amp;" "&amp;F876))),ISNUMBER(SEARCH("alphanodus",(E876&amp;" "&amp;F876)))),"Yes","No"))</f>
        <v/>
      </c>
      <c r="P876" s="34" t="str">
        <f aca="false">IF(D876="","",IF(O876="Yes","No",IF(OR(AND(F876&lt;&gt;"",COUNTIF('Target &amp; Team Lists'!$A$5:$A$504,F876)&gt;0),COUNTIF('Target &amp; Team Lists'!$E$5:$E$504,D876)&gt;0),"Yes",IF(AND(SUMPRODUCT(('Target &amp; Team Lists'!$N$5:$N$60&lt;&gt;"")*ISNUMBER(SEARCH('Target &amp; Team Lists'!$N$5:$N$60,(E876&amp;" "&amp;F876))))&gt;0,SUMPRODUCT(('Target &amp; Team Lists'!$O$5:$O$60&lt;&gt;"")*ISNUMBER(SEARCH('Target &amp; Team Lists'!$O$5:$O$60,(E876&amp;" "&amp;F876))))=0),"Yes","No"))))</f>
        <v/>
      </c>
      <c r="Q876" s="32"/>
    </row>
    <row r="877" customFormat="false" ht="15" hidden="false" customHeight="false" outlineLevel="0" collapsed="false">
      <c r="A877" s="30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3" t="str">
        <f aca="false">IF(D877="","",IF(SUM(I877:L877)&gt;0,1,0))</f>
        <v/>
      </c>
      <c r="O877" s="34" t="str">
        <f aca="false">IF(D877="","",IF(OR(COUNTIF('Target &amp; Team Lists'!$J$5:$J$204,D877)&gt;0,AND(H877&lt;&gt;"",COUNTIF('Target &amp; Team Lists'!$L$5:$L$204,H877)&gt;0),ISNUMBER(SEARCH("alpha nodus",(E877&amp;" "&amp;F877))),ISNUMBER(SEARCH("alphanodus",(E877&amp;" "&amp;F877)))),"Yes","No"))</f>
        <v/>
      </c>
      <c r="P877" s="34" t="str">
        <f aca="false">IF(D877="","",IF(O877="Yes","No",IF(OR(AND(F877&lt;&gt;"",COUNTIF('Target &amp; Team Lists'!$A$5:$A$504,F877)&gt;0),COUNTIF('Target &amp; Team Lists'!$E$5:$E$504,D877)&gt;0),"Yes",IF(AND(SUMPRODUCT(('Target &amp; Team Lists'!$N$5:$N$60&lt;&gt;"")*ISNUMBER(SEARCH('Target &amp; Team Lists'!$N$5:$N$60,(E877&amp;" "&amp;F877))))&gt;0,SUMPRODUCT(('Target &amp; Team Lists'!$O$5:$O$60&lt;&gt;"")*ISNUMBER(SEARCH('Target &amp; Team Lists'!$O$5:$O$60,(E877&amp;" "&amp;F877))))=0),"Yes","No"))))</f>
        <v/>
      </c>
      <c r="Q877" s="32"/>
    </row>
    <row r="878" customFormat="false" ht="15" hidden="false" customHeight="false" outlineLevel="0" collapsed="false">
      <c r="A878" s="30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3" t="str">
        <f aca="false">IF(D878="","",IF(SUM(I878:L878)&gt;0,1,0))</f>
        <v/>
      </c>
      <c r="O878" s="34" t="str">
        <f aca="false">IF(D878="","",IF(OR(COUNTIF('Target &amp; Team Lists'!$J$5:$J$204,D878)&gt;0,AND(H878&lt;&gt;"",COUNTIF('Target &amp; Team Lists'!$L$5:$L$204,H878)&gt;0),ISNUMBER(SEARCH("alpha nodus",(E878&amp;" "&amp;F878))),ISNUMBER(SEARCH("alphanodus",(E878&amp;" "&amp;F878)))),"Yes","No"))</f>
        <v/>
      </c>
      <c r="P878" s="34" t="str">
        <f aca="false">IF(D878="","",IF(O878="Yes","No",IF(OR(AND(F878&lt;&gt;"",COUNTIF('Target &amp; Team Lists'!$A$5:$A$504,F878)&gt;0),COUNTIF('Target &amp; Team Lists'!$E$5:$E$504,D878)&gt;0),"Yes",IF(AND(SUMPRODUCT(('Target &amp; Team Lists'!$N$5:$N$60&lt;&gt;"")*ISNUMBER(SEARCH('Target &amp; Team Lists'!$N$5:$N$60,(E878&amp;" "&amp;F878))))&gt;0,SUMPRODUCT(('Target &amp; Team Lists'!$O$5:$O$60&lt;&gt;"")*ISNUMBER(SEARCH('Target &amp; Team Lists'!$O$5:$O$60,(E878&amp;" "&amp;F878))))=0),"Yes","No"))))</f>
        <v/>
      </c>
      <c r="Q878" s="32"/>
    </row>
    <row r="879" customFormat="false" ht="15" hidden="false" customHeight="false" outlineLevel="0" collapsed="false">
      <c r="A879" s="30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3" t="str">
        <f aca="false">IF(D879="","",IF(SUM(I879:L879)&gt;0,1,0))</f>
        <v/>
      </c>
      <c r="O879" s="34" t="str">
        <f aca="false">IF(D879="","",IF(OR(COUNTIF('Target &amp; Team Lists'!$J$5:$J$204,D879)&gt;0,AND(H879&lt;&gt;"",COUNTIF('Target &amp; Team Lists'!$L$5:$L$204,H879)&gt;0),ISNUMBER(SEARCH("alpha nodus",(E879&amp;" "&amp;F879))),ISNUMBER(SEARCH("alphanodus",(E879&amp;" "&amp;F879)))),"Yes","No"))</f>
        <v/>
      </c>
      <c r="P879" s="34" t="str">
        <f aca="false">IF(D879="","",IF(O879="Yes","No",IF(OR(AND(F879&lt;&gt;"",COUNTIF('Target &amp; Team Lists'!$A$5:$A$504,F879)&gt;0),COUNTIF('Target &amp; Team Lists'!$E$5:$E$504,D879)&gt;0),"Yes",IF(AND(SUMPRODUCT(('Target &amp; Team Lists'!$N$5:$N$60&lt;&gt;"")*ISNUMBER(SEARCH('Target &amp; Team Lists'!$N$5:$N$60,(E879&amp;" "&amp;F879))))&gt;0,SUMPRODUCT(('Target &amp; Team Lists'!$O$5:$O$60&lt;&gt;"")*ISNUMBER(SEARCH('Target &amp; Team Lists'!$O$5:$O$60,(E879&amp;" "&amp;F879))))=0),"Yes","No"))))</f>
        <v/>
      </c>
      <c r="Q879" s="32"/>
    </row>
    <row r="880" customFormat="false" ht="15" hidden="false" customHeight="false" outlineLevel="0" collapsed="false">
      <c r="A880" s="30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3" t="str">
        <f aca="false">IF(D880="","",IF(SUM(I880:L880)&gt;0,1,0))</f>
        <v/>
      </c>
      <c r="O880" s="34" t="str">
        <f aca="false">IF(D880="","",IF(OR(COUNTIF('Target &amp; Team Lists'!$J$5:$J$204,D880)&gt;0,AND(H880&lt;&gt;"",COUNTIF('Target &amp; Team Lists'!$L$5:$L$204,H880)&gt;0),ISNUMBER(SEARCH("alpha nodus",(E880&amp;" "&amp;F880))),ISNUMBER(SEARCH("alphanodus",(E880&amp;" "&amp;F880)))),"Yes","No"))</f>
        <v/>
      </c>
      <c r="P880" s="34" t="str">
        <f aca="false">IF(D880="","",IF(O880="Yes","No",IF(OR(AND(F880&lt;&gt;"",COUNTIF('Target &amp; Team Lists'!$A$5:$A$504,F880)&gt;0),COUNTIF('Target &amp; Team Lists'!$E$5:$E$504,D880)&gt;0),"Yes",IF(AND(SUMPRODUCT(('Target &amp; Team Lists'!$N$5:$N$60&lt;&gt;"")*ISNUMBER(SEARCH('Target &amp; Team Lists'!$N$5:$N$60,(E880&amp;" "&amp;F880))))&gt;0,SUMPRODUCT(('Target &amp; Team Lists'!$O$5:$O$60&lt;&gt;"")*ISNUMBER(SEARCH('Target &amp; Team Lists'!$O$5:$O$60,(E880&amp;" "&amp;F880))))=0),"Yes","No"))))</f>
        <v/>
      </c>
      <c r="Q880" s="32"/>
    </row>
    <row r="881" customFormat="false" ht="15" hidden="false" customHeight="false" outlineLevel="0" collapsed="false">
      <c r="A881" s="30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3" t="str">
        <f aca="false">IF(D881="","",IF(SUM(I881:L881)&gt;0,1,0))</f>
        <v/>
      </c>
      <c r="O881" s="34" t="str">
        <f aca="false">IF(D881="","",IF(OR(COUNTIF('Target &amp; Team Lists'!$J$5:$J$204,D881)&gt;0,AND(H881&lt;&gt;"",COUNTIF('Target &amp; Team Lists'!$L$5:$L$204,H881)&gt;0),ISNUMBER(SEARCH("alpha nodus",(E881&amp;" "&amp;F881))),ISNUMBER(SEARCH("alphanodus",(E881&amp;" "&amp;F881)))),"Yes","No"))</f>
        <v/>
      </c>
      <c r="P881" s="34" t="str">
        <f aca="false">IF(D881="","",IF(O881="Yes","No",IF(OR(AND(F881&lt;&gt;"",COUNTIF('Target &amp; Team Lists'!$A$5:$A$504,F881)&gt;0),COUNTIF('Target &amp; Team Lists'!$E$5:$E$504,D881)&gt;0),"Yes",IF(AND(SUMPRODUCT(('Target &amp; Team Lists'!$N$5:$N$60&lt;&gt;"")*ISNUMBER(SEARCH('Target &amp; Team Lists'!$N$5:$N$60,(E881&amp;" "&amp;F881))))&gt;0,SUMPRODUCT(('Target &amp; Team Lists'!$O$5:$O$60&lt;&gt;"")*ISNUMBER(SEARCH('Target &amp; Team Lists'!$O$5:$O$60,(E881&amp;" "&amp;F881))))=0),"Yes","No"))))</f>
        <v/>
      </c>
      <c r="Q881" s="32"/>
    </row>
    <row r="882" customFormat="false" ht="15" hidden="false" customHeight="false" outlineLevel="0" collapsed="false">
      <c r="A882" s="30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3" t="str">
        <f aca="false">IF(D882="","",IF(SUM(I882:L882)&gt;0,1,0))</f>
        <v/>
      </c>
      <c r="O882" s="34" t="str">
        <f aca="false">IF(D882="","",IF(OR(COUNTIF('Target &amp; Team Lists'!$J$5:$J$204,D882)&gt;0,AND(H882&lt;&gt;"",COUNTIF('Target &amp; Team Lists'!$L$5:$L$204,H882)&gt;0),ISNUMBER(SEARCH("alpha nodus",(E882&amp;" "&amp;F882))),ISNUMBER(SEARCH("alphanodus",(E882&amp;" "&amp;F882)))),"Yes","No"))</f>
        <v/>
      </c>
      <c r="P882" s="34" t="str">
        <f aca="false">IF(D882="","",IF(O882="Yes","No",IF(OR(AND(F882&lt;&gt;"",COUNTIF('Target &amp; Team Lists'!$A$5:$A$504,F882)&gt;0),COUNTIF('Target &amp; Team Lists'!$E$5:$E$504,D882)&gt;0),"Yes",IF(AND(SUMPRODUCT(('Target &amp; Team Lists'!$N$5:$N$60&lt;&gt;"")*ISNUMBER(SEARCH('Target &amp; Team Lists'!$N$5:$N$60,(E882&amp;" "&amp;F882))))&gt;0,SUMPRODUCT(('Target &amp; Team Lists'!$O$5:$O$60&lt;&gt;"")*ISNUMBER(SEARCH('Target &amp; Team Lists'!$O$5:$O$60,(E882&amp;" "&amp;F882))))=0),"Yes","No"))))</f>
        <v/>
      </c>
      <c r="Q882" s="32"/>
    </row>
    <row r="883" customFormat="false" ht="15" hidden="false" customHeight="false" outlineLevel="0" collapsed="false">
      <c r="A883" s="30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3" t="str">
        <f aca="false">IF(D883="","",IF(SUM(I883:L883)&gt;0,1,0))</f>
        <v/>
      </c>
      <c r="O883" s="34" t="str">
        <f aca="false">IF(D883="","",IF(OR(COUNTIF('Target &amp; Team Lists'!$J$5:$J$204,D883)&gt;0,AND(H883&lt;&gt;"",COUNTIF('Target &amp; Team Lists'!$L$5:$L$204,H883)&gt;0),ISNUMBER(SEARCH("alpha nodus",(E883&amp;" "&amp;F883))),ISNUMBER(SEARCH("alphanodus",(E883&amp;" "&amp;F883)))),"Yes","No"))</f>
        <v/>
      </c>
      <c r="P883" s="34" t="str">
        <f aca="false">IF(D883="","",IF(O883="Yes","No",IF(OR(AND(F883&lt;&gt;"",COUNTIF('Target &amp; Team Lists'!$A$5:$A$504,F883)&gt;0),COUNTIF('Target &amp; Team Lists'!$E$5:$E$504,D883)&gt;0),"Yes",IF(AND(SUMPRODUCT(('Target &amp; Team Lists'!$N$5:$N$60&lt;&gt;"")*ISNUMBER(SEARCH('Target &amp; Team Lists'!$N$5:$N$60,(E883&amp;" "&amp;F883))))&gt;0,SUMPRODUCT(('Target &amp; Team Lists'!$O$5:$O$60&lt;&gt;"")*ISNUMBER(SEARCH('Target &amp; Team Lists'!$O$5:$O$60,(E883&amp;" "&amp;F883))))=0),"Yes","No"))))</f>
        <v/>
      </c>
      <c r="Q883" s="32"/>
    </row>
    <row r="884" customFormat="false" ht="15" hidden="false" customHeight="false" outlineLevel="0" collapsed="false">
      <c r="A884" s="30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3" t="str">
        <f aca="false">IF(D884="","",IF(SUM(I884:L884)&gt;0,1,0))</f>
        <v/>
      </c>
      <c r="O884" s="34" t="str">
        <f aca="false">IF(D884="","",IF(OR(COUNTIF('Target &amp; Team Lists'!$J$5:$J$204,D884)&gt;0,AND(H884&lt;&gt;"",COUNTIF('Target &amp; Team Lists'!$L$5:$L$204,H884)&gt;0),ISNUMBER(SEARCH("alpha nodus",(E884&amp;" "&amp;F884))),ISNUMBER(SEARCH("alphanodus",(E884&amp;" "&amp;F884)))),"Yes","No"))</f>
        <v/>
      </c>
      <c r="P884" s="34" t="str">
        <f aca="false">IF(D884="","",IF(O884="Yes","No",IF(OR(AND(F884&lt;&gt;"",COUNTIF('Target &amp; Team Lists'!$A$5:$A$504,F884)&gt;0),COUNTIF('Target &amp; Team Lists'!$E$5:$E$504,D884)&gt;0),"Yes",IF(AND(SUMPRODUCT(('Target &amp; Team Lists'!$N$5:$N$60&lt;&gt;"")*ISNUMBER(SEARCH('Target &amp; Team Lists'!$N$5:$N$60,(E884&amp;" "&amp;F884))))&gt;0,SUMPRODUCT(('Target &amp; Team Lists'!$O$5:$O$60&lt;&gt;"")*ISNUMBER(SEARCH('Target &amp; Team Lists'!$O$5:$O$60,(E884&amp;" "&amp;F884))))=0),"Yes","No"))))</f>
        <v/>
      </c>
      <c r="Q884" s="32"/>
    </row>
    <row r="885" customFormat="false" ht="15" hidden="false" customHeight="false" outlineLevel="0" collapsed="false">
      <c r="A885" s="30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3" t="str">
        <f aca="false">IF(D885="","",IF(SUM(I885:L885)&gt;0,1,0))</f>
        <v/>
      </c>
      <c r="O885" s="34" t="str">
        <f aca="false">IF(D885="","",IF(OR(COUNTIF('Target &amp; Team Lists'!$J$5:$J$204,D885)&gt;0,AND(H885&lt;&gt;"",COUNTIF('Target &amp; Team Lists'!$L$5:$L$204,H885)&gt;0),ISNUMBER(SEARCH("alpha nodus",(E885&amp;" "&amp;F885))),ISNUMBER(SEARCH("alphanodus",(E885&amp;" "&amp;F885)))),"Yes","No"))</f>
        <v/>
      </c>
      <c r="P885" s="34" t="str">
        <f aca="false">IF(D885="","",IF(O885="Yes","No",IF(OR(AND(F885&lt;&gt;"",COUNTIF('Target &amp; Team Lists'!$A$5:$A$504,F885)&gt;0),COUNTIF('Target &amp; Team Lists'!$E$5:$E$504,D885)&gt;0),"Yes",IF(AND(SUMPRODUCT(('Target &amp; Team Lists'!$N$5:$N$60&lt;&gt;"")*ISNUMBER(SEARCH('Target &amp; Team Lists'!$N$5:$N$60,(E885&amp;" "&amp;F885))))&gt;0,SUMPRODUCT(('Target &amp; Team Lists'!$O$5:$O$60&lt;&gt;"")*ISNUMBER(SEARCH('Target &amp; Team Lists'!$O$5:$O$60,(E885&amp;" "&amp;F885))))=0),"Yes","No"))))</f>
        <v/>
      </c>
      <c r="Q885" s="32"/>
    </row>
    <row r="886" customFormat="false" ht="15" hidden="false" customHeight="false" outlineLevel="0" collapsed="false">
      <c r="A886" s="30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3" t="str">
        <f aca="false">IF(D886="","",IF(SUM(I886:L886)&gt;0,1,0))</f>
        <v/>
      </c>
      <c r="O886" s="34" t="str">
        <f aca="false">IF(D886="","",IF(OR(COUNTIF('Target &amp; Team Lists'!$J$5:$J$204,D886)&gt;0,AND(H886&lt;&gt;"",COUNTIF('Target &amp; Team Lists'!$L$5:$L$204,H886)&gt;0),ISNUMBER(SEARCH("alpha nodus",(E886&amp;" "&amp;F886))),ISNUMBER(SEARCH("alphanodus",(E886&amp;" "&amp;F886)))),"Yes","No"))</f>
        <v/>
      </c>
      <c r="P886" s="34" t="str">
        <f aca="false">IF(D886="","",IF(O886="Yes","No",IF(OR(AND(F886&lt;&gt;"",COUNTIF('Target &amp; Team Lists'!$A$5:$A$504,F886)&gt;0),COUNTIF('Target &amp; Team Lists'!$E$5:$E$504,D886)&gt;0),"Yes",IF(AND(SUMPRODUCT(('Target &amp; Team Lists'!$N$5:$N$60&lt;&gt;"")*ISNUMBER(SEARCH('Target &amp; Team Lists'!$N$5:$N$60,(E886&amp;" "&amp;F886))))&gt;0,SUMPRODUCT(('Target &amp; Team Lists'!$O$5:$O$60&lt;&gt;"")*ISNUMBER(SEARCH('Target &amp; Team Lists'!$O$5:$O$60,(E886&amp;" "&amp;F886))))=0),"Yes","No"))))</f>
        <v/>
      </c>
      <c r="Q886" s="32"/>
    </row>
    <row r="887" customFormat="false" ht="15" hidden="false" customHeight="false" outlineLevel="0" collapsed="false">
      <c r="A887" s="30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3" t="str">
        <f aca="false">IF(D887="","",IF(SUM(I887:L887)&gt;0,1,0))</f>
        <v/>
      </c>
      <c r="O887" s="34" t="str">
        <f aca="false">IF(D887="","",IF(OR(COUNTIF('Target &amp; Team Lists'!$J$5:$J$204,D887)&gt;0,AND(H887&lt;&gt;"",COUNTIF('Target &amp; Team Lists'!$L$5:$L$204,H887)&gt;0),ISNUMBER(SEARCH("alpha nodus",(E887&amp;" "&amp;F887))),ISNUMBER(SEARCH("alphanodus",(E887&amp;" "&amp;F887)))),"Yes","No"))</f>
        <v/>
      </c>
      <c r="P887" s="34" t="str">
        <f aca="false">IF(D887="","",IF(O887="Yes","No",IF(OR(AND(F887&lt;&gt;"",COUNTIF('Target &amp; Team Lists'!$A$5:$A$504,F887)&gt;0),COUNTIF('Target &amp; Team Lists'!$E$5:$E$504,D887)&gt;0),"Yes",IF(AND(SUMPRODUCT(('Target &amp; Team Lists'!$N$5:$N$60&lt;&gt;"")*ISNUMBER(SEARCH('Target &amp; Team Lists'!$N$5:$N$60,(E887&amp;" "&amp;F887))))&gt;0,SUMPRODUCT(('Target &amp; Team Lists'!$O$5:$O$60&lt;&gt;"")*ISNUMBER(SEARCH('Target &amp; Team Lists'!$O$5:$O$60,(E887&amp;" "&amp;F887))))=0),"Yes","No"))))</f>
        <v/>
      </c>
      <c r="Q887" s="32"/>
    </row>
    <row r="888" customFormat="false" ht="15" hidden="false" customHeight="false" outlineLevel="0" collapsed="false">
      <c r="A888" s="30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3" t="str">
        <f aca="false">IF(D888="","",IF(SUM(I888:L888)&gt;0,1,0))</f>
        <v/>
      </c>
      <c r="O888" s="34" t="str">
        <f aca="false">IF(D888="","",IF(OR(COUNTIF('Target &amp; Team Lists'!$J$5:$J$204,D888)&gt;0,AND(H888&lt;&gt;"",COUNTIF('Target &amp; Team Lists'!$L$5:$L$204,H888)&gt;0),ISNUMBER(SEARCH("alpha nodus",(E888&amp;" "&amp;F888))),ISNUMBER(SEARCH("alphanodus",(E888&amp;" "&amp;F888)))),"Yes","No"))</f>
        <v/>
      </c>
      <c r="P888" s="34" t="str">
        <f aca="false">IF(D888="","",IF(O888="Yes","No",IF(OR(AND(F888&lt;&gt;"",COUNTIF('Target &amp; Team Lists'!$A$5:$A$504,F888)&gt;0),COUNTIF('Target &amp; Team Lists'!$E$5:$E$504,D888)&gt;0),"Yes",IF(AND(SUMPRODUCT(('Target &amp; Team Lists'!$N$5:$N$60&lt;&gt;"")*ISNUMBER(SEARCH('Target &amp; Team Lists'!$N$5:$N$60,(E888&amp;" "&amp;F888))))&gt;0,SUMPRODUCT(('Target &amp; Team Lists'!$O$5:$O$60&lt;&gt;"")*ISNUMBER(SEARCH('Target &amp; Team Lists'!$O$5:$O$60,(E888&amp;" "&amp;F888))))=0),"Yes","No"))))</f>
        <v/>
      </c>
      <c r="Q888" s="32"/>
    </row>
    <row r="889" customFormat="false" ht="15" hidden="false" customHeight="false" outlineLevel="0" collapsed="false">
      <c r="A889" s="30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3" t="str">
        <f aca="false">IF(D889="","",IF(SUM(I889:L889)&gt;0,1,0))</f>
        <v/>
      </c>
      <c r="O889" s="34" t="str">
        <f aca="false">IF(D889="","",IF(OR(COUNTIF('Target &amp; Team Lists'!$J$5:$J$204,D889)&gt;0,AND(H889&lt;&gt;"",COUNTIF('Target &amp; Team Lists'!$L$5:$L$204,H889)&gt;0),ISNUMBER(SEARCH("alpha nodus",(E889&amp;" "&amp;F889))),ISNUMBER(SEARCH("alphanodus",(E889&amp;" "&amp;F889)))),"Yes","No"))</f>
        <v/>
      </c>
      <c r="P889" s="34" t="str">
        <f aca="false">IF(D889="","",IF(O889="Yes","No",IF(OR(AND(F889&lt;&gt;"",COUNTIF('Target &amp; Team Lists'!$A$5:$A$504,F889)&gt;0),COUNTIF('Target &amp; Team Lists'!$E$5:$E$504,D889)&gt;0),"Yes",IF(AND(SUMPRODUCT(('Target &amp; Team Lists'!$N$5:$N$60&lt;&gt;"")*ISNUMBER(SEARCH('Target &amp; Team Lists'!$N$5:$N$60,(E889&amp;" "&amp;F889))))&gt;0,SUMPRODUCT(('Target &amp; Team Lists'!$O$5:$O$60&lt;&gt;"")*ISNUMBER(SEARCH('Target &amp; Team Lists'!$O$5:$O$60,(E889&amp;" "&amp;F889))))=0),"Yes","No"))))</f>
        <v/>
      </c>
      <c r="Q889" s="32"/>
    </row>
    <row r="890" customFormat="false" ht="15" hidden="false" customHeight="false" outlineLevel="0" collapsed="false">
      <c r="A890" s="30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3" t="str">
        <f aca="false">IF(D890="","",IF(SUM(I890:L890)&gt;0,1,0))</f>
        <v/>
      </c>
      <c r="O890" s="34" t="str">
        <f aca="false">IF(D890="","",IF(OR(COUNTIF('Target &amp; Team Lists'!$J$5:$J$204,D890)&gt;0,AND(H890&lt;&gt;"",COUNTIF('Target &amp; Team Lists'!$L$5:$L$204,H890)&gt;0),ISNUMBER(SEARCH("alpha nodus",(E890&amp;" "&amp;F890))),ISNUMBER(SEARCH("alphanodus",(E890&amp;" "&amp;F890)))),"Yes","No"))</f>
        <v/>
      </c>
      <c r="P890" s="34" t="str">
        <f aca="false">IF(D890="","",IF(O890="Yes","No",IF(OR(AND(F890&lt;&gt;"",COUNTIF('Target &amp; Team Lists'!$A$5:$A$504,F890)&gt;0),COUNTIF('Target &amp; Team Lists'!$E$5:$E$504,D890)&gt;0),"Yes",IF(AND(SUMPRODUCT(('Target &amp; Team Lists'!$N$5:$N$60&lt;&gt;"")*ISNUMBER(SEARCH('Target &amp; Team Lists'!$N$5:$N$60,(E890&amp;" "&amp;F890))))&gt;0,SUMPRODUCT(('Target &amp; Team Lists'!$O$5:$O$60&lt;&gt;"")*ISNUMBER(SEARCH('Target &amp; Team Lists'!$O$5:$O$60,(E890&amp;" "&amp;F890))))=0),"Yes","No"))))</f>
        <v/>
      </c>
      <c r="Q890" s="32"/>
    </row>
    <row r="891" customFormat="false" ht="15" hidden="false" customHeight="false" outlineLevel="0" collapsed="false">
      <c r="A891" s="30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3" t="str">
        <f aca="false">IF(D891="","",IF(SUM(I891:L891)&gt;0,1,0))</f>
        <v/>
      </c>
      <c r="O891" s="34" t="str">
        <f aca="false">IF(D891="","",IF(OR(COUNTIF('Target &amp; Team Lists'!$J$5:$J$204,D891)&gt;0,AND(H891&lt;&gt;"",COUNTIF('Target &amp; Team Lists'!$L$5:$L$204,H891)&gt;0),ISNUMBER(SEARCH("alpha nodus",(E891&amp;" "&amp;F891))),ISNUMBER(SEARCH("alphanodus",(E891&amp;" "&amp;F891)))),"Yes","No"))</f>
        <v/>
      </c>
      <c r="P891" s="34" t="str">
        <f aca="false">IF(D891="","",IF(O891="Yes","No",IF(OR(AND(F891&lt;&gt;"",COUNTIF('Target &amp; Team Lists'!$A$5:$A$504,F891)&gt;0),COUNTIF('Target &amp; Team Lists'!$E$5:$E$504,D891)&gt;0),"Yes",IF(AND(SUMPRODUCT(('Target &amp; Team Lists'!$N$5:$N$60&lt;&gt;"")*ISNUMBER(SEARCH('Target &amp; Team Lists'!$N$5:$N$60,(E891&amp;" "&amp;F891))))&gt;0,SUMPRODUCT(('Target &amp; Team Lists'!$O$5:$O$60&lt;&gt;"")*ISNUMBER(SEARCH('Target &amp; Team Lists'!$O$5:$O$60,(E891&amp;" "&amp;F891))))=0),"Yes","No"))))</f>
        <v/>
      </c>
      <c r="Q891" s="32"/>
    </row>
    <row r="892" customFormat="false" ht="15" hidden="false" customHeight="false" outlineLevel="0" collapsed="false">
      <c r="A892" s="30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3" t="str">
        <f aca="false">IF(D892="","",IF(SUM(I892:L892)&gt;0,1,0))</f>
        <v/>
      </c>
      <c r="O892" s="34" t="str">
        <f aca="false">IF(D892="","",IF(OR(COUNTIF('Target &amp; Team Lists'!$J$5:$J$204,D892)&gt;0,AND(H892&lt;&gt;"",COUNTIF('Target &amp; Team Lists'!$L$5:$L$204,H892)&gt;0),ISNUMBER(SEARCH("alpha nodus",(E892&amp;" "&amp;F892))),ISNUMBER(SEARCH("alphanodus",(E892&amp;" "&amp;F892)))),"Yes","No"))</f>
        <v/>
      </c>
      <c r="P892" s="34" t="str">
        <f aca="false">IF(D892="","",IF(O892="Yes","No",IF(OR(AND(F892&lt;&gt;"",COUNTIF('Target &amp; Team Lists'!$A$5:$A$504,F892)&gt;0),COUNTIF('Target &amp; Team Lists'!$E$5:$E$504,D892)&gt;0),"Yes",IF(AND(SUMPRODUCT(('Target &amp; Team Lists'!$N$5:$N$60&lt;&gt;"")*ISNUMBER(SEARCH('Target &amp; Team Lists'!$N$5:$N$60,(E892&amp;" "&amp;F892))))&gt;0,SUMPRODUCT(('Target &amp; Team Lists'!$O$5:$O$60&lt;&gt;"")*ISNUMBER(SEARCH('Target &amp; Team Lists'!$O$5:$O$60,(E892&amp;" "&amp;F892))))=0),"Yes","No"))))</f>
        <v/>
      </c>
      <c r="Q892" s="32"/>
    </row>
    <row r="893" customFormat="false" ht="15" hidden="false" customHeight="false" outlineLevel="0" collapsed="false">
      <c r="A893" s="30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3" t="str">
        <f aca="false">IF(D893="","",IF(SUM(I893:L893)&gt;0,1,0))</f>
        <v/>
      </c>
      <c r="O893" s="34" t="str">
        <f aca="false">IF(D893="","",IF(OR(COUNTIF('Target &amp; Team Lists'!$J$5:$J$204,D893)&gt;0,AND(H893&lt;&gt;"",COUNTIF('Target &amp; Team Lists'!$L$5:$L$204,H893)&gt;0),ISNUMBER(SEARCH("alpha nodus",(E893&amp;" "&amp;F893))),ISNUMBER(SEARCH("alphanodus",(E893&amp;" "&amp;F893)))),"Yes","No"))</f>
        <v/>
      </c>
      <c r="P893" s="34" t="str">
        <f aca="false">IF(D893="","",IF(O893="Yes","No",IF(OR(AND(F893&lt;&gt;"",COUNTIF('Target &amp; Team Lists'!$A$5:$A$504,F893)&gt;0),COUNTIF('Target &amp; Team Lists'!$E$5:$E$504,D893)&gt;0),"Yes",IF(AND(SUMPRODUCT(('Target &amp; Team Lists'!$N$5:$N$60&lt;&gt;"")*ISNUMBER(SEARCH('Target &amp; Team Lists'!$N$5:$N$60,(E893&amp;" "&amp;F893))))&gt;0,SUMPRODUCT(('Target &amp; Team Lists'!$O$5:$O$60&lt;&gt;"")*ISNUMBER(SEARCH('Target &amp; Team Lists'!$O$5:$O$60,(E893&amp;" "&amp;F893))))=0),"Yes","No"))))</f>
        <v/>
      </c>
      <c r="Q893" s="32"/>
    </row>
    <row r="894" customFormat="false" ht="15" hidden="false" customHeight="false" outlineLevel="0" collapsed="false">
      <c r="A894" s="30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3" t="str">
        <f aca="false">IF(D894="","",IF(SUM(I894:L894)&gt;0,1,0))</f>
        <v/>
      </c>
      <c r="O894" s="34" t="str">
        <f aca="false">IF(D894="","",IF(OR(COUNTIF('Target &amp; Team Lists'!$J$5:$J$204,D894)&gt;0,AND(H894&lt;&gt;"",COUNTIF('Target &amp; Team Lists'!$L$5:$L$204,H894)&gt;0),ISNUMBER(SEARCH("alpha nodus",(E894&amp;" "&amp;F894))),ISNUMBER(SEARCH("alphanodus",(E894&amp;" "&amp;F894)))),"Yes","No"))</f>
        <v/>
      </c>
      <c r="P894" s="34" t="str">
        <f aca="false">IF(D894="","",IF(O894="Yes","No",IF(OR(AND(F894&lt;&gt;"",COUNTIF('Target &amp; Team Lists'!$A$5:$A$504,F894)&gt;0),COUNTIF('Target &amp; Team Lists'!$E$5:$E$504,D894)&gt;0),"Yes",IF(AND(SUMPRODUCT(('Target &amp; Team Lists'!$N$5:$N$60&lt;&gt;"")*ISNUMBER(SEARCH('Target &amp; Team Lists'!$N$5:$N$60,(E894&amp;" "&amp;F894))))&gt;0,SUMPRODUCT(('Target &amp; Team Lists'!$O$5:$O$60&lt;&gt;"")*ISNUMBER(SEARCH('Target &amp; Team Lists'!$O$5:$O$60,(E894&amp;" "&amp;F894))))=0),"Yes","No"))))</f>
        <v/>
      </c>
      <c r="Q894" s="32"/>
    </row>
    <row r="895" customFormat="false" ht="15" hidden="false" customHeight="false" outlineLevel="0" collapsed="false">
      <c r="A895" s="30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3" t="str">
        <f aca="false">IF(D895="","",IF(SUM(I895:L895)&gt;0,1,0))</f>
        <v/>
      </c>
      <c r="O895" s="34" t="str">
        <f aca="false">IF(D895="","",IF(OR(COUNTIF('Target &amp; Team Lists'!$J$5:$J$204,D895)&gt;0,AND(H895&lt;&gt;"",COUNTIF('Target &amp; Team Lists'!$L$5:$L$204,H895)&gt;0),ISNUMBER(SEARCH("alpha nodus",(E895&amp;" "&amp;F895))),ISNUMBER(SEARCH("alphanodus",(E895&amp;" "&amp;F895)))),"Yes","No"))</f>
        <v/>
      </c>
      <c r="P895" s="34" t="str">
        <f aca="false">IF(D895="","",IF(O895="Yes","No",IF(OR(AND(F895&lt;&gt;"",COUNTIF('Target &amp; Team Lists'!$A$5:$A$504,F895)&gt;0),COUNTIF('Target &amp; Team Lists'!$E$5:$E$504,D895)&gt;0),"Yes",IF(AND(SUMPRODUCT(('Target &amp; Team Lists'!$N$5:$N$60&lt;&gt;"")*ISNUMBER(SEARCH('Target &amp; Team Lists'!$N$5:$N$60,(E895&amp;" "&amp;F895))))&gt;0,SUMPRODUCT(('Target &amp; Team Lists'!$O$5:$O$60&lt;&gt;"")*ISNUMBER(SEARCH('Target &amp; Team Lists'!$O$5:$O$60,(E895&amp;" "&amp;F895))))=0),"Yes","No"))))</f>
        <v/>
      </c>
      <c r="Q895" s="32"/>
    </row>
    <row r="896" customFormat="false" ht="15" hidden="false" customHeight="false" outlineLevel="0" collapsed="false">
      <c r="A896" s="30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3" t="str">
        <f aca="false">IF(D896="","",IF(SUM(I896:L896)&gt;0,1,0))</f>
        <v/>
      </c>
      <c r="O896" s="34" t="str">
        <f aca="false">IF(D896="","",IF(OR(COUNTIF('Target &amp; Team Lists'!$J$5:$J$204,D896)&gt;0,AND(H896&lt;&gt;"",COUNTIF('Target &amp; Team Lists'!$L$5:$L$204,H896)&gt;0),ISNUMBER(SEARCH("alpha nodus",(E896&amp;" "&amp;F896))),ISNUMBER(SEARCH("alphanodus",(E896&amp;" "&amp;F896)))),"Yes","No"))</f>
        <v/>
      </c>
      <c r="P896" s="34" t="str">
        <f aca="false">IF(D896="","",IF(O896="Yes","No",IF(OR(AND(F896&lt;&gt;"",COUNTIF('Target &amp; Team Lists'!$A$5:$A$504,F896)&gt;0),COUNTIF('Target &amp; Team Lists'!$E$5:$E$504,D896)&gt;0),"Yes",IF(AND(SUMPRODUCT(('Target &amp; Team Lists'!$N$5:$N$60&lt;&gt;"")*ISNUMBER(SEARCH('Target &amp; Team Lists'!$N$5:$N$60,(E896&amp;" "&amp;F896))))&gt;0,SUMPRODUCT(('Target &amp; Team Lists'!$O$5:$O$60&lt;&gt;"")*ISNUMBER(SEARCH('Target &amp; Team Lists'!$O$5:$O$60,(E896&amp;" "&amp;F896))))=0),"Yes","No"))))</f>
        <v/>
      </c>
      <c r="Q896" s="32"/>
    </row>
    <row r="897" customFormat="false" ht="15" hidden="false" customHeight="false" outlineLevel="0" collapsed="false">
      <c r="A897" s="30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3" t="str">
        <f aca="false">IF(D897="","",IF(SUM(I897:L897)&gt;0,1,0))</f>
        <v/>
      </c>
      <c r="O897" s="34" t="str">
        <f aca="false">IF(D897="","",IF(OR(COUNTIF('Target &amp; Team Lists'!$J$5:$J$204,D897)&gt;0,AND(H897&lt;&gt;"",COUNTIF('Target &amp; Team Lists'!$L$5:$L$204,H897)&gt;0),ISNUMBER(SEARCH("alpha nodus",(E897&amp;" "&amp;F897))),ISNUMBER(SEARCH("alphanodus",(E897&amp;" "&amp;F897)))),"Yes","No"))</f>
        <v/>
      </c>
      <c r="P897" s="34" t="str">
        <f aca="false">IF(D897="","",IF(O897="Yes","No",IF(OR(AND(F897&lt;&gt;"",COUNTIF('Target &amp; Team Lists'!$A$5:$A$504,F897)&gt;0),COUNTIF('Target &amp; Team Lists'!$E$5:$E$504,D897)&gt;0),"Yes",IF(AND(SUMPRODUCT(('Target &amp; Team Lists'!$N$5:$N$60&lt;&gt;"")*ISNUMBER(SEARCH('Target &amp; Team Lists'!$N$5:$N$60,(E897&amp;" "&amp;F897))))&gt;0,SUMPRODUCT(('Target &amp; Team Lists'!$O$5:$O$60&lt;&gt;"")*ISNUMBER(SEARCH('Target &amp; Team Lists'!$O$5:$O$60,(E897&amp;" "&amp;F897))))=0),"Yes","No"))))</f>
        <v/>
      </c>
      <c r="Q897" s="32"/>
    </row>
    <row r="898" customFormat="false" ht="15" hidden="false" customHeight="false" outlineLevel="0" collapsed="false">
      <c r="A898" s="30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3" t="str">
        <f aca="false">IF(D898="","",IF(SUM(I898:L898)&gt;0,1,0))</f>
        <v/>
      </c>
      <c r="O898" s="34" t="str">
        <f aca="false">IF(D898="","",IF(OR(COUNTIF('Target &amp; Team Lists'!$J$5:$J$204,D898)&gt;0,AND(H898&lt;&gt;"",COUNTIF('Target &amp; Team Lists'!$L$5:$L$204,H898)&gt;0),ISNUMBER(SEARCH("alpha nodus",(E898&amp;" "&amp;F898))),ISNUMBER(SEARCH("alphanodus",(E898&amp;" "&amp;F898)))),"Yes","No"))</f>
        <v/>
      </c>
      <c r="P898" s="34" t="str">
        <f aca="false">IF(D898="","",IF(O898="Yes","No",IF(OR(AND(F898&lt;&gt;"",COUNTIF('Target &amp; Team Lists'!$A$5:$A$504,F898)&gt;0),COUNTIF('Target &amp; Team Lists'!$E$5:$E$504,D898)&gt;0),"Yes",IF(AND(SUMPRODUCT(('Target &amp; Team Lists'!$N$5:$N$60&lt;&gt;"")*ISNUMBER(SEARCH('Target &amp; Team Lists'!$N$5:$N$60,(E898&amp;" "&amp;F898))))&gt;0,SUMPRODUCT(('Target &amp; Team Lists'!$O$5:$O$60&lt;&gt;"")*ISNUMBER(SEARCH('Target &amp; Team Lists'!$O$5:$O$60,(E898&amp;" "&amp;F898))))=0),"Yes","No"))))</f>
        <v/>
      </c>
      <c r="Q898" s="32"/>
    </row>
    <row r="899" customFormat="false" ht="15" hidden="false" customHeight="false" outlineLevel="0" collapsed="false">
      <c r="A899" s="30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3" t="str">
        <f aca="false">IF(D899="","",IF(SUM(I899:L899)&gt;0,1,0))</f>
        <v/>
      </c>
      <c r="O899" s="34" t="str">
        <f aca="false">IF(D899="","",IF(OR(COUNTIF('Target &amp; Team Lists'!$J$5:$J$204,D899)&gt;0,AND(H899&lt;&gt;"",COUNTIF('Target &amp; Team Lists'!$L$5:$L$204,H899)&gt;0),ISNUMBER(SEARCH("alpha nodus",(E899&amp;" "&amp;F899))),ISNUMBER(SEARCH("alphanodus",(E899&amp;" "&amp;F899)))),"Yes","No"))</f>
        <v/>
      </c>
      <c r="P899" s="34" t="str">
        <f aca="false">IF(D899="","",IF(O899="Yes","No",IF(OR(AND(F899&lt;&gt;"",COUNTIF('Target &amp; Team Lists'!$A$5:$A$504,F899)&gt;0),COUNTIF('Target &amp; Team Lists'!$E$5:$E$504,D899)&gt;0),"Yes",IF(AND(SUMPRODUCT(('Target &amp; Team Lists'!$N$5:$N$60&lt;&gt;"")*ISNUMBER(SEARCH('Target &amp; Team Lists'!$N$5:$N$60,(E899&amp;" "&amp;F899))))&gt;0,SUMPRODUCT(('Target &amp; Team Lists'!$O$5:$O$60&lt;&gt;"")*ISNUMBER(SEARCH('Target &amp; Team Lists'!$O$5:$O$60,(E899&amp;" "&amp;F899))))=0),"Yes","No"))))</f>
        <v/>
      </c>
      <c r="Q899" s="32"/>
    </row>
    <row r="900" customFormat="false" ht="15" hidden="false" customHeight="false" outlineLevel="0" collapsed="false">
      <c r="A900" s="30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3" t="str">
        <f aca="false">IF(D900="","",IF(SUM(I900:L900)&gt;0,1,0))</f>
        <v/>
      </c>
      <c r="O900" s="34" t="str">
        <f aca="false">IF(D900="","",IF(OR(COUNTIF('Target &amp; Team Lists'!$J$5:$J$204,D900)&gt;0,AND(H900&lt;&gt;"",COUNTIF('Target &amp; Team Lists'!$L$5:$L$204,H900)&gt;0),ISNUMBER(SEARCH("alpha nodus",(E900&amp;" "&amp;F900))),ISNUMBER(SEARCH("alphanodus",(E900&amp;" "&amp;F900)))),"Yes","No"))</f>
        <v/>
      </c>
      <c r="P900" s="34" t="str">
        <f aca="false">IF(D900="","",IF(O900="Yes","No",IF(OR(AND(F900&lt;&gt;"",COUNTIF('Target &amp; Team Lists'!$A$5:$A$504,F900)&gt;0),COUNTIF('Target &amp; Team Lists'!$E$5:$E$504,D900)&gt;0),"Yes",IF(AND(SUMPRODUCT(('Target &amp; Team Lists'!$N$5:$N$60&lt;&gt;"")*ISNUMBER(SEARCH('Target &amp; Team Lists'!$N$5:$N$60,(E900&amp;" "&amp;F900))))&gt;0,SUMPRODUCT(('Target &amp; Team Lists'!$O$5:$O$60&lt;&gt;"")*ISNUMBER(SEARCH('Target &amp; Team Lists'!$O$5:$O$60,(E900&amp;" "&amp;F900))))=0),"Yes","No"))))</f>
        <v/>
      </c>
      <c r="Q900" s="32"/>
    </row>
    <row r="901" customFormat="false" ht="15" hidden="false" customHeight="false" outlineLevel="0" collapsed="false">
      <c r="A901" s="30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3" t="str">
        <f aca="false">IF(D901="","",IF(SUM(I901:L901)&gt;0,1,0))</f>
        <v/>
      </c>
      <c r="O901" s="34" t="str">
        <f aca="false">IF(D901="","",IF(OR(COUNTIF('Target &amp; Team Lists'!$J$5:$J$204,D901)&gt;0,AND(H901&lt;&gt;"",COUNTIF('Target &amp; Team Lists'!$L$5:$L$204,H901)&gt;0),ISNUMBER(SEARCH("alpha nodus",(E901&amp;" "&amp;F901))),ISNUMBER(SEARCH("alphanodus",(E901&amp;" "&amp;F901)))),"Yes","No"))</f>
        <v/>
      </c>
      <c r="P901" s="34" t="str">
        <f aca="false">IF(D901="","",IF(O901="Yes","No",IF(OR(AND(F901&lt;&gt;"",COUNTIF('Target &amp; Team Lists'!$A$5:$A$504,F901)&gt;0),COUNTIF('Target &amp; Team Lists'!$E$5:$E$504,D901)&gt;0),"Yes",IF(AND(SUMPRODUCT(('Target &amp; Team Lists'!$N$5:$N$60&lt;&gt;"")*ISNUMBER(SEARCH('Target &amp; Team Lists'!$N$5:$N$60,(E901&amp;" "&amp;F901))))&gt;0,SUMPRODUCT(('Target &amp; Team Lists'!$O$5:$O$60&lt;&gt;"")*ISNUMBER(SEARCH('Target &amp; Team Lists'!$O$5:$O$60,(E901&amp;" "&amp;F901))))=0),"Yes","No"))))</f>
        <v/>
      </c>
      <c r="Q901" s="32"/>
    </row>
    <row r="902" customFormat="false" ht="15" hidden="false" customHeight="false" outlineLevel="0" collapsed="false">
      <c r="A902" s="30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3" t="str">
        <f aca="false">IF(D902="","",IF(SUM(I902:L902)&gt;0,1,0))</f>
        <v/>
      </c>
      <c r="O902" s="34" t="str">
        <f aca="false">IF(D902="","",IF(OR(COUNTIF('Target &amp; Team Lists'!$J$5:$J$204,D902)&gt;0,AND(H902&lt;&gt;"",COUNTIF('Target &amp; Team Lists'!$L$5:$L$204,H902)&gt;0),ISNUMBER(SEARCH("alpha nodus",(E902&amp;" "&amp;F902))),ISNUMBER(SEARCH("alphanodus",(E902&amp;" "&amp;F902)))),"Yes","No"))</f>
        <v/>
      </c>
      <c r="P902" s="34" t="str">
        <f aca="false">IF(D902="","",IF(O902="Yes","No",IF(OR(AND(F902&lt;&gt;"",COUNTIF('Target &amp; Team Lists'!$A$5:$A$504,F902)&gt;0),COUNTIF('Target &amp; Team Lists'!$E$5:$E$504,D902)&gt;0),"Yes",IF(AND(SUMPRODUCT(('Target &amp; Team Lists'!$N$5:$N$60&lt;&gt;"")*ISNUMBER(SEARCH('Target &amp; Team Lists'!$N$5:$N$60,(E902&amp;" "&amp;F902))))&gt;0,SUMPRODUCT(('Target &amp; Team Lists'!$O$5:$O$60&lt;&gt;"")*ISNUMBER(SEARCH('Target &amp; Team Lists'!$O$5:$O$60,(E902&amp;" "&amp;F902))))=0),"Yes","No"))))</f>
        <v/>
      </c>
      <c r="Q902" s="32"/>
    </row>
    <row r="903" customFormat="false" ht="15" hidden="false" customHeight="false" outlineLevel="0" collapsed="false">
      <c r="A903" s="30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3" t="str">
        <f aca="false">IF(D903="","",IF(SUM(I903:L903)&gt;0,1,0))</f>
        <v/>
      </c>
      <c r="O903" s="34" t="str">
        <f aca="false">IF(D903="","",IF(OR(COUNTIF('Target &amp; Team Lists'!$J$5:$J$204,D903)&gt;0,AND(H903&lt;&gt;"",COUNTIF('Target &amp; Team Lists'!$L$5:$L$204,H903)&gt;0),ISNUMBER(SEARCH("alpha nodus",(E903&amp;" "&amp;F903))),ISNUMBER(SEARCH("alphanodus",(E903&amp;" "&amp;F903)))),"Yes","No"))</f>
        <v/>
      </c>
      <c r="P903" s="34" t="str">
        <f aca="false">IF(D903="","",IF(O903="Yes","No",IF(OR(AND(F903&lt;&gt;"",COUNTIF('Target &amp; Team Lists'!$A$5:$A$504,F903)&gt;0),COUNTIF('Target &amp; Team Lists'!$E$5:$E$504,D903)&gt;0),"Yes",IF(AND(SUMPRODUCT(('Target &amp; Team Lists'!$N$5:$N$60&lt;&gt;"")*ISNUMBER(SEARCH('Target &amp; Team Lists'!$N$5:$N$60,(E903&amp;" "&amp;F903))))&gt;0,SUMPRODUCT(('Target &amp; Team Lists'!$O$5:$O$60&lt;&gt;"")*ISNUMBER(SEARCH('Target &amp; Team Lists'!$O$5:$O$60,(E903&amp;" "&amp;F903))))=0),"Yes","No"))))</f>
        <v/>
      </c>
      <c r="Q903" s="32"/>
    </row>
    <row r="904" customFormat="false" ht="15" hidden="false" customHeight="false" outlineLevel="0" collapsed="false">
      <c r="A904" s="30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3" t="str">
        <f aca="false">IF(D904="","",IF(SUM(I904:L904)&gt;0,1,0))</f>
        <v/>
      </c>
      <c r="O904" s="34" t="str">
        <f aca="false">IF(D904="","",IF(OR(COUNTIF('Target &amp; Team Lists'!$J$5:$J$204,D904)&gt;0,AND(H904&lt;&gt;"",COUNTIF('Target &amp; Team Lists'!$L$5:$L$204,H904)&gt;0),ISNUMBER(SEARCH("alpha nodus",(E904&amp;" "&amp;F904))),ISNUMBER(SEARCH("alphanodus",(E904&amp;" "&amp;F904)))),"Yes","No"))</f>
        <v/>
      </c>
      <c r="P904" s="34" t="str">
        <f aca="false">IF(D904="","",IF(O904="Yes","No",IF(OR(AND(F904&lt;&gt;"",COUNTIF('Target &amp; Team Lists'!$A$5:$A$504,F904)&gt;0),COUNTIF('Target &amp; Team Lists'!$E$5:$E$504,D904)&gt;0),"Yes",IF(AND(SUMPRODUCT(('Target &amp; Team Lists'!$N$5:$N$60&lt;&gt;"")*ISNUMBER(SEARCH('Target &amp; Team Lists'!$N$5:$N$60,(E904&amp;" "&amp;F904))))&gt;0,SUMPRODUCT(('Target &amp; Team Lists'!$O$5:$O$60&lt;&gt;"")*ISNUMBER(SEARCH('Target &amp; Team Lists'!$O$5:$O$60,(E904&amp;" "&amp;F904))))=0),"Yes","No"))))</f>
        <v/>
      </c>
      <c r="Q904" s="32"/>
    </row>
    <row r="905" customFormat="false" ht="15" hidden="false" customHeight="false" outlineLevel="0" collapsed="false">
      <c r="A905" s="30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3" t="str">
        <f aca="false">IF(D905="","",IF(SUM(I905:L905)&gt;0,1,0))</f>
        <v/>
      </c>
      <c r="O905" s="34" t="str">
        <f aca="false">IF(D905="","",IF(OR(COUNTIF('Target &amp; Team Lists'!$J$5:$J$204,D905)&gt;0,AND(H905&lt;&gt;"",COUNTIF('Target &amp; Team Lists'!$L$5:$L$204,H905)&gt;0),ISNUMBER(SEARCH("alpha nodus",(E905&amp;" "&amp;F905))),ISNUMBER(SEARCH("alphanodus",(E905&amp;" "&amp;F905)))),"Yes","No"))</f>
        <v/>
      </c>
      <c r="P905" s="34" t="str">
        <f aca="false">IF(D905="","",IF(O905="Yes","No",IF(OR(AND(F905&lt;&gt;"",COUNTIF('Target &amp; Team Lists'!$A$5:$A$504,F905)&gt;0),COUNTIF('Target &amp; Team Lists'!$E$5:$E$504,D905)&gt;0),"Yes",IF(AND(SUMPRODUCT(('Target &amp; Team Lists'!$N$5:$N$60&lt;&gt;"")*ISNUMBER(SEARCH('Target &amp; Team Lists'!$N$5:$N$60,(E905&amp;" "&amp;F905))))&gt;0,SUMPRODUCT(('Target &amp; Team Lists'!$O$5:$O$60&lt;&gt;"")*ISNUMBER(SEARCH('Target &amp; Team Lists'!$O$5:$O$60,(E905&amp;" "&amp;F905))))=0),"Yes","No"))))</f>
        <v/>
      </c>
      <c r="Q905" s="32"/>
    </row>
    <row r="906" customFormat="false" ht="15" hidden="false" customHeight="false" outlineLevel="0" collapsed="false">
      <c r="A906" s="30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3" t="str">
        <f aca="false">IF(D906="","",IF(SUM(I906:L906)&gt;0,1,0))</f>
        <v/>
      </c>
      <c r="O906" s="34" t="str">
        <f aca="false">IF(D906="","",IF(OR(COUNTIF('Target &amp; Team Lists'!$J$5:$J$204,D906)&gt;0,AND(H906&lt;&gt;"",COUNTIF('Target &amp; Team Lists'!$L$5:$L$204,H906)&gt;0),ISNUMBER(SEARCH("alpha nodus",(E906&amp;" "&amp;F906))),ISNUMBER(SEARCH("alphanodus",(E906&amp;" "&amp;F906)))),"Yes","No"))</f>
        <v/>
      </c>
      <c r="P906" s="34" t="str">
        <f aca="false">IF(D906="","",IF(O906="Yes","No",IF(OR(AND(F906&lt;&gt;"",COUNTIF('Target &amp; Team Lists'!$A$5:$A$504,F906)&gt;0),COUNTIF('Target &amp; Team Lists'!$E$5:$E$504,D906)&gt;0),"Yes",IF(AND(SUMPRODUCT(('Target &amp; Team Lists'!$N$5:$N$60&lt;&gt;"")*ISNUMBER(SEARCH('Target &amp; Team Lists'!$N$5:$N$60,(E906&amp;" "&amp;F906))))&gt;0,SUMPRODUCT(('Target &amp; Team Lists'!$O$5:$O$60&lt;&gt;"")*ISNUMBER(SEARCH('Target &amp; Team Lists'!$O$5:$O$60,(E906&amp;" "&amp;F906))))=0),"Yes","No"))))</f>
        <v/>
      </c>
      <c r="Q906" s="32"/>
    </row>
    <row r="907" customFormat="false" ht="15" hidden="false" customHeight="false" outlineLevel="0" collapsed="false">
      <c r="A907" s="30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3" t="str">
        <f aca="false">IF(D907="","",IF(SUM(I907:L907)&gt;0,1,0))</f>
        <v/>
      </c>
      <c r="O907" s="34" t="str">
        <f aca="false">IF(D907="","",IF(OR(COUNTIF('Target &amp; Team Lists'!$J$5:$J$204,D907)&gt;0,AND(H907&lt;&gt;"",COUNTIF('Target &amp; Team Lists'!$L$5:$L$204,H907)&gt;0),ISNUMBER(SEARCH("alpha nodus",(E907&amp;" "&amp;F907))),ISNUMBER(SEARCH("alphanodus",(E907&amp;" "&amp;F907)))),"Yes","No"))</f>
        <v/>
      </c>
      <c r="P907" s="34" t="str">
        <f aca="false">IF(D907="","",IF(O907="Yes","No",IF(OR(AND(F907&lt;&gt;"",COUNTIF('Target &amp; Team Lists'!$A$5:$A$504,F907)&gt;0),COUNTIF('Target &amp; Team Lists'!$E$5:$E$504,D907)&gt;0),"Yes",IF(AND(SUMPRODUCT(('Target &amp; Team Lists'!$N$5:$N$60&lt;&gt;"")*ISNUMBER(SEARCH('Target &amp; Team Lists'!$N$5:$N$60,(E907&amp;" "&amp;F907))))&gt;0,SUMPRODUCT(('Target &amp; Team Lists'!$O$5:$O$60&lt;&gt;"")*ISNUMBER(SEARCH('Target &amp; Team Lists'!$O$5:$O$60,(E907&amp;" "&amp;F907))))=0),"Yes","No"))))</f>
        <v/>
      </c>
      <c r="Q907" s="32"/>
    </row>
    <row r="908" customFormat="false" ht="15" hidden="false" customHeight="false" outlineLevel="0" collapsed="false">
      <c r="A908" s="30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3" t="str">
        <f aca="false">IF(D908="","",IF(SUM(I908:L908)&gt;0,1,0))</f>
        <v/>
      </c>
      <c r="O908" s="34" t="str">
        <f aca="false">IF(D908="","",IF(OR(COUNTIF('Target &amp; Team Lists'!$J$5:$J$204,D908)&gt;0,AND(H908&lt;&gt;"",COUNTIF('Target &amp; Team Lists'!$L$5:$L$204,H908)&gt;0),ISNUMBER(SEARCH("alpha nodus",(E908&amp;" "&amp;F908))),ISNUMBER(SEARCH("alphanodus",(E908&amp;" "&amp;F908)))),"Yes","No"))</f>
        <v/>
      </c>
      <c r="P908" s="34" t="str">
        <f aca="false">IF(D908="","",IF(O908="Yes","No",IF(OR(AND(F908&lt;&gt;"",COUNTIF('Target &amp; Team Lists'!$A$5:$A$504,F908)&gt;0),COUNTIF('Target &amp; Team Lists'!$E$5:$E$504,D908)&gt;0),"Yes",IF(AND(SUMPRODUCT(('Target &amp; Team Lists'!$N$5:$N$60&lt;&gt;"")*ISNUMBER(SEARCH('Target &amp; Team Lists'!$N$5:$N$60,(E908&amp;" "&amp;F908))))&gt;0,SUMPRODUCT(('Target &amp; Team Lists'!$O$5:$O$60&lt;&gt;"")*ISNUMBER(SEARCH('Target &amp; Team Lists'!$O$5:$O$60,(E908&amp;" "&amp;F908))))=0),"Yes","No"))))</f>
        <v/>
      </c>
      <c r="Q908" s="32"/>
    </row>
    <row r="909" customFormat="false" ht="15" hidden="false" customHeight="false" outlineLevel="0" collapsed="false">
      <c r="A909" s="30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3" t="str">
        <f aca="false">IF(D909="","",IF(SUM(I909:L909)&gt;0,1,0))</f>
        <v/>
      </c>
      <c r="O909" s="34" t="str">
        <f aca="false">IF(D909="","",IF(OR(COUNTIF('Target &amp; Team Lists'!$J$5:$J$204,D909)&gt;0,AND(H909&lt;&gt;"",COUNTIF('Target &amp; Team Lists'!$L$5:$L$204,H909)&gt;0),ISNUMBER(SEARCH("alpha nodus",(E909&amp;" "&amp;F909))),ISNUMBER(SEARCH("alphanodus",(E909&amp;" "&amp;F909)))),"Yes","No"))</f>
        <v/>
      </c>
      <c r="P909" s="34" t="str">
        <f aca="false">IF(D909="","",IF(O909="Yes","No",IF(OR(AND(F909&lt;&gt;"",COUNTIF('Target &amp; Team Lists'!$A$5:$A$504,F909)&gt;0),COUNTIF('Target &amp; Team Lists'!$E$5:$E$504,D909)&gt;0),"Yes",IF(AND(SUMPRODUCT(('Target &amp; Team Lists'!$N$5:$N$60&lt;&gt;"")*ISNUMBER(SEARCH('Target &amp; Team Lists'!$N$5:$N$60,(E909&amp;" "&amp;F909))))&gt;0,SUMPRODUCT(('Target &amp; Team Lists'!$O$5:$O$60&lt;&gt;"")*ISNUMBER(SEARCH('Target &amp; Team Lists'!$O$5:$O$60,(E909&amp;" "&amp;F909))))=0),"Yes","No"))))</f>
        <v/>
      </c>
      <c r="Q909" s="32"/>
    </row>
    <row r="910" customFormat="false" ht="15" hidden="false" customHeight="false" outlineLevel="0" collapsed="false">
      <c r="A910" s="30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3" t="str">
        <f aca="false">IF(D910="","",IF(SUM(I910:L910)&gt;0,1,0))</f>
        <v/>
      </c>
      <c r="O910" s="34" t="str">
        <f aca="false">IF(D910="","",IF(OR(COUNTIF('Target &amp; Team Lists'!$J$5:$J$204,D910)&gt;0,AND(H910&lt;&gt;"",COUNTIF('Target &amp; Team Lists'!$L$5:$L$204,H910)&gt;0),ISNUMBER(SEARCH("alpha nodus",(E910&amp;" "&amp;F910))),ISNUMBER(SEARCH("alphanodus",(E910&amp;" "&amp;F910)))),"Yes","No"))</f>
        <v/>
      </c>
      <c r="P910" s="34" t="str">
        <f aca="false">IF(D910="","",IF(O910="Yes","No",IF(OR(AND(F910&lt;&gt;"",COUNTIF('Target &amp; Team Lists'!$A$5:$A$504,F910)&gt;0),COUNTIF('Target &amp; Team Lists'!$E$5:$E$504,D910)&gt;0),"Yes",IF(AND(SUMPRODUCT(('Target &amp; Team Lists'!$N$5:$N$60&lt;&gt;"")*ISNUMBER(SEARCH('Target &amp; Team Lists'!$N$5:$N$60,(E910&amp;" "&amp;F910))))&gt;0,SUMPRODUCT(('Target &amp; Team Lists'!$O$5:$O$60&lt;&gt;"")*ISNUMBER(SEARCH('Target &amp; Team Lists'!$O$5:$O$60,(E910&amp;" "&amp;F910))))=0),"Yes","No"))))</f>
        <v/>
      </c>
      <c r="Q910" s="32"/>
    </row>
    <row r="911" customFormat="false" ht="15" hidden="false" customHeight="false" outlineLevel="0" collapsed="false">
      <c r="A911" s="30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3" t="str">
        <f aca="false">IF(D911="","",IF(SUM(I911:L911)&gt;0,1,0))</f>
        <v/>
      </c>
      <c r="O911" s="34" t="str">
        <f aca="false">IF(D911="","",IF(OR(COUNTIF('Target &amp; Team Lists'!$J$5:$J$204,D911)&gt;0,AND(H911&lt;&gt;"",COUNTIF('Target &amp; Team Lists'!$L$5:$L$204,H911)&gt;0),ISNUMBER(SEARCH("alpha nodus",(E911&amp;" "&amp;F911))),ISNUMBER(SEARCH("alphanodus",(E911&amp;" "&amp;F911)))),"Yes","No"))</f>
        <v/>
      </c>
      <c r="P911" s="34" t="str">
        <f aca="false">IF(D911="","",IF(O911="Yes","No",IF(OR(AND(F911&lt;&gt;"",COUNTIF('Target &amp; Team Lists'!$A$5:$A$504,F911)&gt;0),COUNTIF('Target &amp; Team Lists'!$E$5:$E$504,D911)&gt;0),"Yes",IF(AND(SUMPRODUCT(('Target &amp; Team Lists'!$N$5:$N$60&lt;&gt;"")*ISNUMBER(SEARCH('Target &amp; Team Lists'!$N$5:$N$60,(E911&amp;" "&amp;F911))))&gt;0,SUMPRODUCT(('Target &amp; Team Lists'!$O$5:$O$60&lt;&gt;"")*ISNUMBER(SEARCH('Target &amp; Team Lists'!$O$5:$O$60,(E911&amp;" "&amp;F911))))=0),"Yes","No"))))</f>
        <v/>
      </c>
      <c r="Q911" s="32"/>
    </row>
    <row r="912" customFormat="false" ht="15" hidden="false" customHeight="false" outlineLevel="0" collapsed="false">
      <c r="A912" s="30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3" t="str">
        <f aca="false">IF(D912="","",IF(SUM(I912:L912)&gt;0,1,0))</f>
        <v/>
      </c>
      <c r="O912" s="34" t="str">
        <f aca="false">IF(D912="","",IF(OR(COUNTIF('Target &amp; Team Lists'!$J$5:$J$204,D912)&gt;0,AND(H912&lt;&gt;"",COUNTIF('Target &amp; Team Lists'!$L$5:$L$204,H912)&gt;0),ISNUMBER(SEARCH("alpha nodus",(E912&amp;" "&amp;F912))),ISNUMBER(SEARCH("alphanodus",(E912&amp;" "&amp;F912)))),"Yes","No"))</f>
        <v/>
      </c>
      <c r="P912" s="34" t="str">
        <f aca="false">IF(D912="","",IF(O912="Yes","No",IF(OR(AND(F912&lt;&gt;"",COUNTIF('Target &amp; Team Lists'!$A$5:$A$504,F912)&gt;0),COUNTIF('Target &amp; Team Lists'!$E$5:$E$504,D912)&gt;0),"Yes",IF(AND(SUMPRODUCT(('Target &amp; Team Lists'!$N$5:$N$60&lt;&gt;"")*ISNUMBER(SEARCH('Target &amp; Team Lists'!$N$5:$N$60,(E912&amp;" "&amp;F912))))&gt;0,SUMPRODUCT(('Target &amp; Team Lists'!$O$5:$O$60&lt;&gt;"")*ISNUMBER(SEARCH('Target &amp; Team Lists'!$O$5:$O$60,(E912&amp;" "&amp;F912))))=0),"Yes","No"))))</f>
        <v/>
      </c>
      <c r="Q912" s="32"/>
    </row>
    <row r="913" customFormat="false" ht="15" hidden="false" customHeight="false" outlineLevel="0" collapsed="false">
      <c r="A913" s="30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3" t="str">
        <f aca="false">IF(D913="","",IF(SUM(I913:L913)&gt;0,1,0))</f>
        <v/>
      </c>
      <c r="O913" s="34" t="str">
        <f aca="false">IF(D913="","",IF(OR(COUNTIF('Target &amp; Team Lists'!$J$5:$J$204,D913)&gt;0,AND(H913&lt;&gt;"",COUNTIF('Target &amp; Team Lists'!$L$5:$L$204,H913)&gt;0),ISNUMBER(SEARCH("alpha nodus",(E913&amp;" "&amp;F913))),ISNUMBER(SEARCH("alphanodus",(E913&amp;" "&amp;F913)))),"Yes","No"))</f>
        <v/>
      </c>
      <c r="P913" s="34" t="str">
        <f aca="false">IF(D913="","",IF(O913="Yes","No",IF(OR(AND(F913&lt;&gt;"",COUNTIF('Target &amp; Team Lists'!$A$5:$A$504,F913)&gt;0),COUNTIF('Target &amp; Team Lists'!$E$5:$E$504,D913)&gt;0),"Yes",IF(AND(SUMPRODUCT(('Target &amp; Team Lists'!$N$5:$N$60&lt;&gt;"")*ISNUMBER(SEARCH('Target &amp; Team Lists'!$N$5:$N$60,(E913&amp;" "&amp;F913))))&gt;0,SUMPRODUCT(('Target &amp; Team Lists'!$O$5:$O$60&lt;&gt;"")*ISNUMBER(SEARCH('Target &amp; Team Lists'!$O$5:$O$60,(E913&amp;" "&amp;F913))))=0),"Yes","No"))))</f>
        <v/>
      </c>
      <c r="Q913" s="32"/>
    </row>
    <row r="914" customFormat="false" ht="15" hidden="false" customHeight="false" outlineLevel="0" collapsed="false">
      <c r="A914" s="30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3" t="str">
        <f aca="false">IF(D914="","",IF(SUM(I914:L914)&gt;0,1,0))</f>
        <v/>
      </c>
      <c r="O914" s="34" t="str">
        <f aca="false">IF(D914="","",IF(OR(COUNTIF('Target &amp; Team Lists'!$J$5:$J$204,D914)&gt;0,AND(H914&lt;&gt;"",COUNTIF('Target &amp; Team Lists'!$L$5:$L$204,H914)&gt;0),ISNUMBER(SEARCH("alpha nodus",(E914&amp;" "&amp;F914))),ISNUMBER(SEARCH("alphanodus",(E914&amp;" "&amp;F914)))),"Yes","No"))</f>
        <v/>
      </c>
      <c r="P914" s="34" t="str">
        <f aca="false">IF(D914="","",IF(O914="Yes","No",IF(OR(AND(F914&lt;&gt;"",COUNTIF('Target &amp; Team Lists'!$A$5:$A$504,F914)&gt;0),COUNTIF('Target &amp; Team Lists'!$E$5:$E$504,D914)&gt;0),"Yes",IF(AND(SUMPRODUCT(('Target &amp; Team Lists'!$N$5:$N$60&lt;&gt;"")*ISNUMBER(SEARCH('Target &amp; Team Lists'!$N$5:$N$60,(E914&amp;" "&amp;F914))))&gt;0,SUMPRODUCT(('Target &amp; Team Lists'!$O$5:$O$60&lt;&gt;"")*ISNUMBER(SEARCH('Target &amp; Team Lists'!$O$5:$O$60,(E914&amp;" "&amp;F914))))=0),"Yes","No"))))</f>
        <v/>
      </c>
      <c r="Q914" s="32"/>
    </row>
    <row r="915" customFormat="false" ht="15" hidden="false" customHeight="false" outlineLevel="0" collapsed="false">
      <c r="A915" s="30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3" t="str">
        <f aca="false">IF(D915="","",IF(SUM(I915:L915)&gt;0,1,0))</f>
        <v/>
      </c>
      <c r="O915" s="34" t="str">
        <f aca="false">IF(D915="","",IF(OR(COUNTIF('Target &amp; Team Lists'!$J$5:$J$204,D915)&gt;0,AND(H915&lt;&gt;"",COUNTIF('Target &amp; Team Lists'!$L$5:$L$204,H915)&gt;0),ISNUMBER(SEARCH("alpha nodus",(E915&amp;" "&amp;F915))),ISNUMBER(SEARCH("alphanodus",(E915&amp;" "&amp;F915)))),"Yes","No"))</f>
        <v/>
      </c>
      <c r="P915" s="34" t="str">
        <f aca="false">IF(D915="","",IF(O915="Yes","No",IF(OR(AND(F915&lt;&gt;"",COUNTIF('Target &amp; Team Lists'!$A$5:$A$504,F915)&gt;0),COUNTIF('Target &amp; Team Lists'!$E$5:$E$504,D915)&gt;0),"Yes",IF(AND(SUMPRODUCT(('Target &amp; Team Lists'!$N$5:$N$60&lt;&gt;"")*ISNUMBER(SEARCH('Target &amp; Team Lists'!$N$5:$N$60,(E915&amp;" "&amp;F915))))&gt;0,SUMPRODUCT(('Target &amp; Team Lists'!$O$5:$O$60&lt;&gt;"")*ISNUMBER(SEARCH('Target &amp; Team Lists'!$O$5:$O$60,(E915&amp;" "&amp;F915))))=0),"Yes","No"))))</f>
        <v/>
      </c>
      <c r="Q915" s="32"/>
    </row>
    <row r="916" customFormat="false" ht="15" hidden="false" customHeight="false" outlineLevel="0" collapsed="false">
      <c r="A916" s="30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3" t="str">
        <f aca="false">IF(D916="","",IF(SUM(I916:L916)&gt;0,1,0))</f>
        <v/>
      </c>
      <c r="O916" s="34" t="str">
        <f aca="false">IF(D916="","",IF(OR(COUNTIF('Target &amp; Team Lists'!$J$5:$J$204,D916)&gt;0,AND(H916&lt;&gt;"",COUNTIF('Target &amp; Team Lists'!$L$5:$L$204,H916)&gt;0),ISNUMBER(SEARCH("alpha nodus",(E916&amp;" "&amp;F916))),ISNUMBER(SEARCH("alphanodus",(E916&amp;" "&amp;F916)))),"Yes","No"))</f>
        <v/>
      </c>
      <c r="P916" s="34" t="str">
        <f aca="false">IF(D916="","",IF(O916="Yes","No",IF(OR(AND(F916&lt;&gt;"",COUNTIF('Target &amp; Team Lists'!$A$5:$A$504,F916)&gt;0),COUNTIF('Target &amp; Team Lists'!$E$5:$E$504,D916)&gt;0),"Yes",IF(AND(SUMPRODUCT(('Target &amp; Team Lists'!$N$5:$N$60&lt;&gt;"")*ISNUMBER(SEARCH('Target &amp; Team Lists'!$N$5:$N$60,(E916&amp;" "&amp;F916))))&gt;0,SUMPRODUCT(('Target &amp; Team Lists'!$O$5:$O$60&lt;&gt;"")*ISNUMBER(SEARCH('Target &amp; Team Lists'!$O$5:$O$60,(E916&amp;" "&amp;F916))))=0),"Yes","No"))))</f>
        <v/>
      </c>
      <c r="Q916" s="32"/>
    </row>
    <row r="917" customFormat="false" ht="15" hidden="false" customHeight="false" outlineLevel="0" collapsed="false">
      <c r="A917" s="30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3" t="str">
        <f aca="false">IF(D917="","",IF(SUM(I917:L917)&gt;0,1,0))</f>
        <v/>
      </c>
      <c r="O917" s="34" t="str">
        <f aca="false">IF(D917="","",IF(OR(COUNTIF('Target &amp; Team Lists'!$J$5:$J$204,D917)&gt;0,AND(H917&lt;&gt;"",COUNTIF('Target &amp; Team Lists'!$L$5:$L$204,H917)&gt;0),ISNUMBER(SEARCH("alpha nodus",(E917&amp;" "&amp;F917))),ISNUMBER(SEARCH("alphanodus",(E917&amp;" "&amp;F917)))),"Yes","No"))</f>
        <v/>
      </c>
      <c r="P917" s="34" t="str">
        <f aca="false">IF(D917="","",IF(O917="Yes","No",IF(OR(AND(F917&lt;&gt;"",COUNTIF('Target &amp; Team Lists'!$A$5:$A$504,F917)&gt;0),COUNTIF('Target &amp; Team Lists'!$E$5:$E$504,D917)&gt;0),"Yes",IF(AND(SUMPRODUCT(('Target &amp; Team Lists'!$N$5:$N$60&lt;&gt;"")*ISNUMBER(SEARCH('Target &amp; Team Lists'!$N$5:$N$60,(E917&amp;" "&amp;F917))))&gt;0,SUMPRODUCT(('Target &amp; Team Lists'!$O$5:$O$60&lt;&gt;"")*ISNUMBER(SEARCH('Target &amp; Team Lists'!$O$5:$O$60,(E917&amp;" "&amp;F917))))=0),"Yes","No"))))</f>
        <v/>
      </c>
      <c r="Q917" s="32"/>
    </row>
    <row r="918" customFormat="false" ht="15" hidden="false" customHeight="false" outlineLevel="0" collapsed="false">
      <c r="A918" s="30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3" t="str">
        <f aca="false">IF(D918="","",IF(SUM(I918:L918)&gt;0,1,0))</f>
        <v/>
      </c>
      <c r="O918" s="34" t="str">
        <f aca="false">IF(D918="","",IF(OR(COUNTIF('Target &amp; Team Lists'!$J$5:$J$204,D918)&gt;0,AND(H918&lt;&gt;"",COUNTIF('Target &amp; Team Lists'!$L$5:$L$204,H918)&gt;0),ISNUMBER(SEARCH("alpha nodus",(E918&amp;" "&amp;F918))),ISNUMBER(SEARCH("alphanodus",(E918&amp;" "&amp;F918)))),"Yes","No"))</f>
        <v/>
      </c>
      <c r="P918" s="34" t="str">
        <f aca="false">IF(D918="","",IF(O918="Yes","No",IF(OR(AND(F918&lt;&gt;"",COUNTIF('Target &amp; Team Lists'!$A$5:$A$504,F918)&gt;0),COUNTIF('Target &amp; Team Lists'!$E$5:$E$504,D918)&gt;0),"Yes",IF(AND(SUMPRODUCT(('Target &amp; Team Lists'!$N$5:$N$60&lt;&gt;"")*ISNUMBER(SEARCH('Target &amp; Team Lists'!$N$5:$N$60,(E918&amp;" "&amp;F918))))&gt;0,SUMPRODUCT(('Target &amp; Team Lists'!$O$5:$O$60&lt;&gt;"")*ISNUMBER(SEARCH('Target &amp; Team Lists'!$O$5:$O$60,(E918&amp;" "&amp;F918))))=0),"Yes","No"))))</f>
        <v/>
      </c>
      <c r="Q918" s="32"/>
    </row>
    <row r="919" customFormat="false" ht="15" hidden="false" customHeight="false" outlineLevel="0" collapsed="false">
      <c r="A919" s="30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3" t="str">
        <f aca="false">IF(D919="","",IF(SUM(I919:L919)&gt;0,1,0))</f>
        <v/>
      </c>
      <c r="O919" s="34" t="str">
        <f aca="false">IF(D919="","",IF(OR(COUNTIF('Target &amp; Team Lists'!$J$5:$J$204,D919)&gt;0,AND(H919&lt;&gt;"",COUNTIF('Target &amp; Team Lists'!$L$5:$L$204,H919)&gt;0),ISNUMBER(SEARCH("alpha nodus",(E919&amp;" "&amp;F919))),ISNUMBER(SEARCH("alphanodus",(E919&amp;" "&amp;F919)))),"Yes","No"))</f>
        <v/>
      </c>
      <c r="P919" s="34" t="str">
        <f aca="false">IF(D919="","",IF(O919="Yes","No",IF(OR(AND(F919&lt;&gt;"",COUNTIF('Target &amp; Team Lists'!$A$5:$A$504,F919)&gt;0),COUNTIF('Target &amp; Team Lists'!$E$5:$E$504,D919)&gt;0),"Yes",IF(AND(SUMPRODUCT(('Target &amp; Team Lists'!$N$5:$N$60&lt;&gt;"")*ISNUMBER(SEARCH('Target &amp; Team Lists'!$N$5:$N$60,(E919&amp;" "&amp;F919))))&gt;0,SUMPRODUCT(('Target &amp; Team Lists'!$O$5:$O$60&lt;&gt;"")*ISNUMBER(SEARCH('Target &amp; Team Lists'!$O$5:$O$60,(E919&amp;" "&amp;F919))))=0),"Yes","No"))))</f>
        <v/>
      </c>
      <c r="Q919" s="32"/>
    </row>
    <row r="920" customFormat="false" ht="15" hidden="false" customHeight="false" outlineLevel="0" collapsed="false">
      <c r="A920" s="30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3" t="str">
        <f aca="false">IF(D920="","",IF(SUM(I920:L920)&gt;0,1,0))</f>
        <v/>
      </c>
      <c r="O920" s="34" t="str">
        <f aca="false">IF(D920="","",IF(OR(COUNTIF('Target &amp; Team Lists'!$J$5:$J$204,D920)&gt;0,AND(H920&lt;&gt;"",COUNTIF('Target &amp; Team Lists'!$L$5:$L$204,H920)&gt;0),ISNUMBER(SEARCH("alpha nodus",(E920&amp;" "&amp;F920))),ISNUMBER(SEARCH("alphanodus",(E920&amp;" "&amp;F920)))),"Yes","No"))</f>
        <v/>
      </c>
      <c r="P920" s="34" t="str">
        <f aca="false">IF(D920="","",IF(O920="Yes","No",IF(OR(AND(F920&lt;&gt;"",COUNTIF('Target &amp; Team Lists'!$A$5:$A$504,F920)&gt;0),COUNTIF('Target &amp; Team Lists'!$E$5:$E$504,D920)&gt;0),"Yes",IF(AND(SUMPRODUCT(('Target &amp; Team Lists'!$N$5:$N$60&lt;&gt;"")*ISNUMBER(SEARCH('Target &amp; Team Lists'!$N$5:$N$60,(E920&amp;" "&amp;F920))))&gt;0,SUMPRODUCT(('Target &amp; Team Lists'!$O$5:$O$60&lt;&gt;"")*ISNUMBER(SEARCH('Target &amp; Team Lists'!$O$5:$O$60,(E920&amp;" "&amp;F920))))=0),"Yes","No"))))</f>
        <v/>
      </c>
      <c r="Q920" s="32"/>
    </row>
    <row r="921" customFormat="false" ht="15" hidden="false" customHeight="false" outlineLevel="0" collapsed="false">
      <c r="A921" s="30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3" t="str">
        <f aca="false">IF(D921="","",IF(SUM(I921:L921)&gt;0,1,0))</f>
        <v/>
      </c>
      <c r="O921" s="34" t="str">
        <f aca="false">IF(D921="","",IF(OR(COUNTIF('Target &amp; Team Lists'!$J$5:$J$204,D921)&gt;0,AND(H921&lt;&gt;"",COUNTIF('Target &amp; Team Lists'!$L$5:$L$204,H921)&gt;0),ISNUMBER(SEARCH("alpha nodus",(E921&amp;" "&amp;F921))),ISNUMBER(SEARCH("alphanodus",(E921&amp;" "&amp;F921)))),"Yes","No"))</f>
        <v/>
      </c>
      <c r="P921" s="34" t="str">
        <f aca="false">IF(D921="","",IF(O921="Yes","No",IF(OR(AND(F921&lt;&gt;"",COUNTIF('Target &amp; Team Lists'!$A$5:$A$504,F921)&gt;0),COUNTIF('Target &amp; Team Lists'!$E$5:$E$504,D921)&gt;0),"Yes",IF(AND(SUMPRODUCT(('Target &amp; Team Lists'!$N$5:$N$60&lt;&gt;"")*ISNUMBER(SEARCH('Target &amp; Team Lists'!$N$5:$N$60,(E921&amp;" "&amp;F921))))&gt;0,SUMPRODUCT(('Target &amp; Team Lists'!$O$5:$O$60&lt;&gt;"")*ISNUMBER(SEARCH('Target &amp; Team Lists'!$O$5:$O$60,(E921&amp;" "&amp;F921))))=0),"Yes","No"))))</f>
        <v/>
      </c>
      <c r="Q921" s="32"/>
    </row>
    <row r="922" customFormat="false" ht="15" hidden="false" customHeight="false" outlineLevel="0" collapsed="false">
      <c r="A922" s="30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3" t="str">
        <f aca="false">IF(D922="","",IF(SUM(I922:L922)&gt;0,1,0))</f>
        <v/>
      </c>
      <c r="O922" s="34" t="str">
        <f aca="false">IF(D922="","",IF(OR(COUNTIF('Target &amp; Team Lists'!$J$5:$J$204,D922)&gt;0,AND(H922&lt;&gt;"",COUNTIF('Target &amp; Team Lists'!$L$5:$L$204,H922)&gt;0),ISNUMBER(SEARCH("alpha nodus",(E922&amp;" "&amp;F922))),ISNUMBER(SEARCH("alphanodus",(E922&amp;" "&amp;F922)))),"Yes","No"))</f>
        <v/>
      </c>
      <c r="P922" s="34" t="str">
        <f aca="false">IF(D922="","",IF(O922="Yes","No",IF(OR(AND(F922&lt;&gt;"",COUNTIF('Target &amp; Team Lists'!$A$5:$A$504,F922)&gt;0),COUNTIF('Target &amp; Team Lists'!$E$5:$E$504,D922)&gt;0),"Yes",IF(AND(SUMPRODUCT(('Target &amp; Team Lists'!$N$5:$N$60&lt;&gt;"")*ISNUMBER(SEARCH('Target &amp; Team Lists'!$N$5:$N$60,(E922&amp;" "&amp;F922))))&gt;0,SUMPRODUCT(('Target &amp; Team Lists'!$O$5:$O$60&lt;&gt;"")*ISNUMBER(SEARCH('Target &amp; Team Lists'!$O$5:$O$60,(E922&amp;" "&amp;F922))))=0),"Yes","No"))))</f>
        <v/>
      </c>
      <c r="Q922" s="32"/>
    </row>
    <row r="923" customFormat="false" ht="15" hidden="false" customHeight="false" outlineLevel="0" collapsed="false">
      <c r="A923" s="30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3" t="str">
        <f aca="false">IF(D923="","",IF(SUM(I923:L923)&gt;0,1,0))</f>
        <v/>
      </c>
      <c r="O923" s="34" t="str">
        <f aca="false">IF(D923="","",IF(OR(COUNTIF('Target &amp; Team Lists'!$J$5:$J$204,D923)&gt;0,AND(H923&lt;&gt;"",COUNTIF('Target &amp; Team Lists'!$L$5:$L$204,H923)&gt;0),ISNUMBER(SEARCH("alpha nodus",(E923&amp;" "&amp;F923))),ISNUMBER(SEARCH("alphanodus",(E923&amp;" "&amp;F923)))),"Yes","No"))</f>
        <v/>
      </c>
      <c r="P923" s="34" t="str">
        <f aca="false">IF(D923="","",IF(O923="Yes","No",IF(OR(AND(F923&lt;&gt;"",COUNTIF('Target &amp; Team Lists'!$A$5:$A$504,F923)&gt;0),COUNTIF('Target &amp; Team Lists'!$E$5:$E$504,D923)&gt;0),"Yes",IF(AND(SUMPRODUCT(('Target &amp; Team Lists'!$N$5:$N$60&lt;&gt;"")*ISNUMBER(SEARCH('Target &amp; Team Lists'!$N$5:$N$60,(E923&amp;" "&amp;F923))))&gt;0,SUMPRODUCT(('Target &amp; Team Lists'!$O$5:$O$60&lt;&gt;"")*ISNUMBER(SEARCH('Target &amp; Team Lists'!$O$5:$O$60,(E923&amp;" "&amp;F923))))=0),"Yes","No"))))</f>
        <v/>
      </c>
      <c r="Q923" s="32"/>
    </row>
    <row r="924" customFormat="false" ht="15" hidden="false" customHeight="false" outlineLevel="0" collapsed="false">
      <c r="A924" s="30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3" t="str">
        <f aca="false">IF(D924="","",IF(SUM(I924:L924)&gt;0,1,0))</f>
        <v/>
      </c>
      <c r="O924" s="34" t="str">
        <f aca="false">IF(D924="","",IF(OR(COUNTIF('Target &amp; Team Lists'!$J$5:$J$204,D924)&gt;0,AND(H924&lt;&gt;"",COUNTIF('Target &amp; Team Lists'!$L$5:$L$204,H924)&gt;0),ISNUMBER(SEARCH("alpha nodus",(E924&amp;" "&amp;F924))),ISNUMBER(SEARCH("alphanodus",(E924&amp;" "&amp;F924)))),"Yes","No"))</f>
        <v/>
      </c>
      <c r="P924" s="34" t="str">
        <f aca="false">IF(D924="","",IF(O924="Yes","No",IF(OR(AND(F924&lt;&gt;"",COUNTIF('Target &amp; Team Lists'!$A$5:$A$504,F924)&gt;0),COUNTIF('Target &amp; Team Lists'!$E$5:$E$504,D924)&gt;0),"Yes",IF(AND(SUMPRODUCT(('Target &amp; Team Lists'!$N$5:$N$60&lt;&gt;"")*ISNUMBER(SEARCH('Target &amp; Team Lists'!$N$5:$N$60,(E924&amp;" "&amp;F924))))&gt;0,SUMPRODUCT(('Target &amp; Team Lists'!$O$5:$O$60&lt;&gt;"")*ISNUMBER(SEARCH('Target &amp; Team Lists'!$O$5:$O$60,(E924&amp;" "&amp;F924))))=0),"Yes","No"))))</f>
        <v/>
      </c>
      <c r="Q924" s="32"/>
    </row>
    <row r="925" customFormat="false" ht="15" hidden="false" customHeight="false" outlineLevel="0" collapsed="false">
      <c r="A925" s="30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3" t="str">
        <f aca="false">IF(D925="","",IF(SUM(I925:L925)&gt;0,1,0))</f>
        <v/>
      </c>
      <c r="O925" s="34" t="str">
        <f aca="false">IF(D925="","",IF(OR(COUNTIF('Target &amp; Team Lists'!$J$5:$J$204,D925)&gt;0,AND(H925&lt;&gt;"",COUNTIF('Target &amp; Team Lists'!$L$5:$L$204,H925)&gt;0),ISNUMBER(SEARCH("alpha nodus",(E925&amp;" "&amp;F925))),ISNUMBER(SEARCH("alphanodus",(E925&amp;" "&amp;F925)))),"Yes","No"))</f>
        <v/>
      </c>
      <c r="P925" s="34" t="str">
        <f aca="false">IF(D925="","",IF(O925="Yes","No",IF(OR(AND(F925&lt;&gt;"",COUNTIF('Target &amp; Team Lists'!$A$5:$A$504,F925)&gt;0),COUNTIF('Target &amp; Team Lists'!$E$5:$E$504,D925)&gt;0),"Yes",IF(AND(SUMPRODUCT(('Target &amp; Team Lists'!$N$5:$N$60&lt;&gt;"")*ISNUMBER(SEARCH('Target &amp; Team Lists'!$N$5:$N$60,(E925&amp;" "&amp;F925))))&gt;0,SUMPRODUCT(('Target &amp; Team Lists'!$O$5:$O$60&lt;&gt;"")*ISNUMBER(SEARCH('Target &amp; Team Lists'!$O$5:$O$60,(E925&amp;" "&amp;F925))))=0),"Yes","No"))))</f>
        <v/>
      </c>
      <c r="Q925" s="32"/>
    </row>
    <row r="926" customFormat="false" ht="15" hidden="false" customHeight="false" outlineLevel="0" collapsed="false">
      <c r="A926" s="30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3" t="str">
        <f aca="false">IF(D926="","",IF(SUM(I926:L926)&gt;0,1,0))</f>
        <v/>
      </c>
      <c r="O926" s="34" t="str">
        <f aca="false">IF(D926="","",IF(OR(COUNTIF('Target &amp; Team Lists'!$J$5:$J$204,D926)&gt;0,AND(H926&lt;&gt;"",COUNTIF('Target &amp; Team Lists'!$L$5:$L$204,H926)&gt;0),ISNUMBER(SEARCH("alpha nodus",(E926&amp;" "&amp;F926))),ISNUMBER(SEARCH("alphanodus",(E926&amp;" "&amp;F926)))),"Yes","No"))</f>
        <v/>
      </c>
      <c r="P926" s="34" t="str">
        <f aca="false">IF(D926="","",IF(O926="Yes","No",IF(OR(AND(F926&lt;&gt;"",COUNTIF('Target &amp; Team Lists'!$A$5:$A$504,F926)&gt;0),COUNTIF('Target &amp; Team Lists'!$E$5:$E$504,D926)&gt;0),"Yes",IF(AND(SUMPRODUCT(('Target &amp; Team Lists'!$N$5:$N$60&lt;&gt;"")*ISNUMBER(SEARCH('Target &amp; Team Lists'!$N$5:$N$60,(E926&amp;" "&amp;F926))))&gt;0,SUMPRODUCT(('Target &amp; Team Lists'!$O$5:$O$60&lt;&gt;"")*ISNUMBER(SEARCH('Target &amp; Team Lists'!$O$5:$O$60,(E926&amp;" "&amp;F926))))=0),"Yes","No"))))</f>
        <v/>
      </c>
      <c r="Q926" s="32"/>
    </row>
    <row r="927" customFormat="false" ht="15" hidden="false" customHeight="false" outlineLevel="0" collapsed="false">
      <c r="A927" s="30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3" t="str">
        <f aca="false">IF(D927="","",IF(SUM(I927:L927)&gt;0,1,0))</f>
        <v/>
      </c>
      <c r="O927" s="34" t="str">
        <f aca="false">IF(D927="","",IF(OR(COUNTIF('Target &amp; Team Lists'!$J$5:$J$204,D927)&gt;0,AND(H927&lt;&gt;"",COUNTIF('Target &amp; Team Lists'!$L$5:$L$204,H927)&gt;0),ISNUMBER(SEARCH("alpha nodus",(E927&amp;" "&amp;F927))),ISNUMBER(SEARCH("alphanodus",(E927&amp;" "&amp;F927)))),"Yes","No"))</f>
        <v/>
      </c>
      <c r="P927" s="34" t="str">
        <f aca="false">IF(D927="","",IF(O927="Yes","No",IF(OR(AND(F927&lt;&gt;"",COUNTIF('Target &amp; Team Lists'!$A$5:$A$504,F927)&gt;0),COUNTIF('Target &amp; Team Lists'!$E$5:$E$504,D927)&gt;0),"Yes",IF(AND(SUMPRODUCT(('Target &amp; Team Lists'!$N$5:$N$60&lt;&gt;"")*ISNUMBER(SEARCH('Target &amp; Team Lists'!$N$5:$N$60,(E927&amp;" "&amp;F927))))&gt;0,SUMPRODUCT(('Target &amp; Team Lists'!$O$5:$O$60&lt;&gt;"")*ISNUMBER(SEARCH('Target &amp; Team Lists'!$O$5:$O$60,(E927&amp;" "&amp;F927))))=0),"Yes","No"))))</f>
        <v/>
      </c>
      <c r="Q927" s="32"/>
    </row>
    <row r="928" customFormat="false" ht="15" hidden="false" customHeight="false" outlineLevel="0" collapsed="false">
      <c r="A928" s="30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3" t="str">
        <f aca="false">IF(D928="","",IF(SUM(I928:L928)&gt;0,1,0))</f>
        <v/>
      </c>
      <c r="O928" s="34" t="str">
        <f aca="false">IF(D928="","",IF(OR(COUNTIF('Target &amp; Team Lists'!$J$5:$J$204,D928)&gt;0,AND(H928&lt;&gt;"",COUNTIF('Target &amp; Team Lists'!$L$5:$L$204,H928)&gt;0),ISNUMBER(SEARCH("alpha nodus",(E928&amp;" "&amp;F928))),ISNUMBER(SEARCH("alphanodus",(E928&amp;" "&amp;F928)))),"Yes","No"))</f>
        <v/>
      </c>
      <c r="P928" s="34" t="str">
        <f aca="false">IF(D928="","",IF(O928="Yes","No",IF(OR(AND(F928&lt;&gt;"",COUNTIF('Target &amp; Team Lists'!$A$5:$A$504,F928)&gt;0),COUNTIF('Target &amp; Team Lists'!$E$5:$E$504,D928)&gt;0),"Yes",IF(AND(SUMPRODUCT(('Target &amp; Team Lists'!$N$5:$N$60&lt;&gt;"")*ISNUMBER(SEARCH('Target &amp; Team Lists'!$N$5:$N$60,(E928&amp;" "&amp;F928))))&gt;0,SUMPRODUCT(('Target &amp; Team Lists'!$O$5:$O$60&lt;&gt;"")*ISNUMBER(SEARCH('Target &amp; Team Lists'!$O$5:$O$60,(E928&amp;" "&amp;F928))))=0),"Yes","No"))))</f>
        <v/>
      </c>
      <c r="Q928" s="32"/>
    </row>
    <row r="929" customFormat="false" ht="15" hidden="false" customHeight="false" outlineLevel="0" collapsed="false">
      <c r="A929" s="30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3" t="str">
        <f aca="false">IF(D929="","",IF(SUM(I929:L929)&gt;0,1,0))</f>
        <v/>
      </c>
      <c r="O929" s="34" t="str">
        <f aca="false">IF(D929="","",IF(OR(COUNTIF('Target &amp; Team Lists'!$J$5:$J$204,D929)&gt;0,AND(H929&lt;&gt;"",COUNTIF('Target &amp; Team Lists'!$L$5:$L$204,H929)&gt;0),ISNUMBER(SEARCH("alpha nodus",(E929&amp;" "&amp;F929))),ISNUMBER(SEARCH("alphanodus",(E929&amp;" "&amp;F929)))),"Yes","No"))</f>
        <v/>
      </c>
      <c r="P929" s="34" t="str">
        <f aca="false">IF(D929="","",IF(O929="Yes","No",IF(OR(AND(F929&lt;&gt;"",COUNTIF('Target &amp; Team Lists'!$A$5:$A$504,F929)&gt;0),COUNTIF('Target &amp; Team Lists'!$E$5:$E$504,D929)&gt;0),"Yes",IF(AND(SUMPRODUCT(('Target &amp; Team Lists'!$N$5:$N$60&lt;&gt;"")*ISNUMBER(SEARCH('Target &amp; Team Lists'!$N$5:$N$60,(E929&amp;" "&amp;F929))))&gt;0,SUMPRODUCT(('Target &amp; Team Lists'!$O$5:$O$60&lt;&gt;"")*ISNUMBER(SEARCH('Target &amp; Team Lists'!$O$5:$O$60,(E929&amp;" "&amp;F929))))=0),"Yes","No"))))</f>
        <v/>
      </c>
      <c r="Q929" s="32"/>
    </row>
    <row r="930" customFormat="false" ht="15" hidden="false" customHeight="false" outlineLevel="0" collapsed="false">
      <c r="A930" s="30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3" t="str">
        <f aca="false">IF(D930="","",IF(SUM(I930:L930)&gt;0,1,0))</f>
        <v/>
      </c>
      <c r="O930" s="34" t="str">
        <f aca="false">IF(D930="","",IF(OR(COUNTIF('Target &amp; Team Lists'!$J$5:$J$204,D930)&gt;0,AND(H930&lt;&gt;"",COUNTIF('Target &amp; Team Lists'!$L$5:$L$204,H930)&gt;0),ISNUMBER(SEARCH("alpha nodus",(E930&amp;" "&amp;F930))),ISNUMBER(SEARCH("alphanodus",(E930&amp;" "&amp;F930)))),"Yes","No"))</f>
        <v/>
      </c>
      <c r="P930" s="34" t="str">
        <f aca="false">IF(D930="","",IF(O930="Yes","No",IF(OR(AND(F930&lt;&gt;"",COUNTIF('Target &amp; Team Lists'!$A$5:$A$504,F930)&gt;0),COUNTIF('Target &amp; Team Lists'!$E$5:$E$504,D930)&gt;0),"Yes",IF(AND(SUMPRODUCT(('Target &amp; Team Lists'!$N$5:$N$60&lt;&gt;"")*ISNUMBER(SEARCH('Target &amp; Team Lists'!$N$5:$N$60,(E930&amp;" "&amp;F930))))&gt;0,SUMPRODUCT(('Target &amp; Team Lists'!$O$5:$O$60&lt;&gt;"")*ISNUMBER(SEARCH('Target &amp; Team Lists'!$O$5:$O$60,(E930&amp;" "&amp;F930))))=0),"Yes","No"))))</f>
        <v/>
      </c>
      <c r="Q930" s="32"/>
    </row>
    <row r="931" customFormat="false" ht="15" hidden="false" customHeight="false" outlineLevel="0" collapsed="false">
      <c r="A931" s="30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3" t="str">
        <f aca="false">IF(D931="","",IF(SUM(I931:L931)&gt;0,1,0))</f>
        <v/>
      </c>
      <c r="O931" s="34" t="str">
        <f aca="false">IF(D931="","",IF(OR(COUNTIF('Target &amp; Team Lists'!$J$5:$J$204,D931)&gt;0,AND(H931&lt;&gt;"",COUNTIF('Target &amp; Team Lists'!$L$5:$L$204,H931)&gt;0),ISNUMBER(SEARCH("alpha nodus",(E931&amp;" "&amp;F931))),ISNUMBER(SEARCH("alphanodus",(E931&amp;" "&amp;F931)))),"Yes","No"))</f>
        <v/>
      </c>
      <c r="P931" s="34" t="str">
        <f aca="false">IF(D931="","",IF(O931="Yes","No",IF(OR(AND(F931&lt;&gt;"",COUNTIF('Target &amp; Team Lists'!$A$5:$A$504,F931)&gt;0),COUNTIF('Target &amp; Team Lists'!$E$5:$E$504,D931)&gt;0),"Yes",IF(AND(SUMPRODUCT(('Target &amp; Team Lists'!$N$5:$N$60&lt;&gt;"")*ISNUMBER(SEARCH('Target &amp; Team Lists'!$N$5:$N$60,(E931&amp;" "&amp;F931))))&gt;0,SUMPRODUCT(('Target &amp; Team Lists'!$O$5:$O$60&lt;&gt;"")*ISNUMBER(SEARCH('Target &amp; Team Lists'!$O$5:$O$60,(E931&amp;" "&amp;F931))))=0),"Yes","No"))))</f>
        <v/>
      </c>
      <c r="Q931" s="32"/>
    </row>
    <row r="932" customFormat="false" ht="15" hidden="false" customHeight="false" outlineLevel="0" collapsed="false">
      <c r="A932" s="30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3" t="str">
        <f aca="false">IF(D932="","",IF(SUM(I932:L932)&gt;0,1,0))</f>
        <v/>
      </c>
      <c r="O932" s="34" t="str">
        <f aca="false">IF(D932="","",IF(OR(COUNTIF('Target &amp; Team Lists'!$J$5:$J$204,D932)&gt;0,AND(H932&lt;&gt;"",COUNTIF('Target &amp; Team Lists'!$L$5:$L$204,H932)&gt;0),ISNUMBER(SEARCH("alpha nodus",(E932&amp;" "&amp;F932))),ISNUMBER(SEARCH("alphanodus",(E932&amp;" "&amp;F932)))),"Yes","No"))</f>
        <v/>
      </c>
      <c r="P932" s="34" t="str">
        <f aca="false">IF(D932="","",IF(O932="Yes","No",IF(OR(AND(F932&lt;&gt;"",COUNTIF('Target &amp; Team Lists'!$A$5:$A$504,F932)&gt;0),COUNTIF('Target &amp; Team Lists'!$E$5:$E$504,D932)&gt;0),"Yes",IF(AND(SUMPRODUCT(('Target &amp; Team Lists'!$N$5:$N$60&lt;&gt;"")*ISNUMBER(SEARCH('Target &amp; Team Lists'!$N$5:$N$60,(E932&amp;" "&amp;F932))))&gt;0,SUMPRODUCT(('Target &amp; Team Lists'!$O$5:$O$60&lt;&gt;"")*ISNUMBER(SEARCH('Target &amp; Team Lists'!$O$5:$O$60,(E932&amp;" "&amp;F932))))=0),"Yes","No"))))</f>
        <v/>
      </c>
      <c r="Q932" s="32"/>
    </row>
    <row r="933" customFormat="false" ht="15" hidden="false" customHeight="false" outlineLevel="0" collapsed="false">
      <c r="A933" s="30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3" t="str">
        <f aca="false">IF(D933="","",IF(SUM(I933:L933)&gt;0,1,0))</f>
        <v/>
      </c>
      <c r="O933" s="34" t="str">
        <f aca="false">IF(D933="","",IF(OR(COUNTIF('Target &amp; Team Lists'!$J$5:$J$204,D933)&gt;0,AND(H933&lt;&gt;"",COUNTIF('Target &amp; Team Lists'!$L$5:$L$204,H933)&gt;0),ISNUMBER(SEARCH("alpha nodus",(E933&amp;" "&amp;F933))),ISNUMBER(SEARCH("alphanodus",(E933&amp;" "&amp;F933)))),"Yes","No"))</f>
        <v/>
      </c>
      <c r="P933" s="34" t="str">
        <f aca="false">IF(D933="","",IF(O933="Yes","No",IF(OR(AND(F933&lt;&gt;"",COUNTIF('Target &amp; Team Lists'!$A$5:$A$504,F933)&gt;0),COUNTIF('Target &amp; Team Lists'!$E$5:$E$504,D933)&gt;0),"Yes",IF(AND(SUMPRODUCT(('Target &amp; Team Lists'!$N$5:$N$60&lt;&gt;"")*ISNUMBER(SEARCH('Target &amp; Team Lists'!$N$5:$N$60,(E933&amp;" "&amp;F933))))&gt;0,SUMPRODUCT(('Target &amp; Team Lists'!$O$5:$O$60&lt;&gt;"")*ISNUMBER(SEARCH('Target &amp; Team Lists'!$O$5:$O$60,(E933&amp;" "&amp;F933))))=0),"Yes","No"))))</f>
        <v/>
      </c>
      <c r="Q933" s="32"/>
    </row>
    <row r="934" customFormat="false" ht="15" hidden="false" customHeight="false" outlineLevel="0" collapsed="false">
      <c r="A934" s="30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3" t="str">
        <f aca="false">IF(D934="","",IF(SUM(I934:L934)&gt;0,1,0))</f>
        <v/>
      </c>
      <c r="O934" s="34" t="str">
        <f aca="false">IF(D934="","",IF(OR(COUNTIF('Target &amp; Team Lists'!$J$5:$J$204,D934)&gt;0,AND(H934&lt;&gt;"",COUNTIF('Target &amp; Team Lists'!$L$5:$L$204,H934)&gt;0),ISNUMBER(SEARCH("alpha nodus",(E934&amp;" "&amp;F934))),ISNUMBER(SEARCH("alphanodus",(E934&amp;" "&amp;F934)))),"Yes","No"))</f>
        <v/>
      </c>
      <c r="P934" s="34" t="str">
        <f aca="false">IF(D934="","",IF(O934="Yes","No",IF(OR(AND(F934&lt;&gt;"",COUNTIF('Target &amp; Team Lists'!$A$5:$A$504,F934)&gt;0),COUNTIF('Target &amp; Team Lists'!$E$5:$E$504,D934)&gt;0),"Yes",IF(AND(SUMPRODUCT(('Target &amp; Team Lists'!$N$5:$N$60&lt;&gt;"")*ISNUMBER(SEARCH('Target &amp; Team Lists'!$N$5:$N$60,(E934&amp;" "&amp;F934))))&gt;0,SUMPRODUCT(('Target &amp; Team Lists'!$O$5:$O$60&lt;&gt;"")*ISNUMBER(SEARCH('Target &amp; Team Lists'!$O$5:$O$60,(E934&amp;" "&amp;F934))))=0),"Yes","No"))))</f>
        <v/>
      </c>
      <c r="Q934" s="32"/>
    </row>
    <row r="935" customFormat="false" ht="15" hidden="false" customHeight="false" outlineLevel="0" collapsed="false">
      <c r="A935" s="30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3" t="str">
        <f aca="false">IF(D935="","",IF(SUM(I935:L935)&gt;0,1,0))</f>
        <v/>
      </c>
      <c r="O935" s="34" t="str">
        <f aca="false">IF(D935="","",IF(OR(COUNTIF('Target &amp; Team Lists'!$J$5:$J$204,D935)&gt;0,AND(H935&lt;&gt;"",COUNTIF('Target &amp; Team Lists'!$L$5:$L$204,H935)&gt;0),ISNUMBER(SEARCH("alpha nodus",(E935&amp;" "&amp;F935))),ISNUMBER(SEARCH("alphanodus",(E935&amp;" "&amp;F935)))),"Yes","No"))</f>
        <v/>
      </c>
      <c r="P935" s="34" t="str">
        <f aca="false">IF(D935="","",IF(O935="Yes","No",IF(OR(AND(F935&lt;&gt;"",COUNTIF('Target &amp; Team Lists'!$A$5:$A$504,F935)&gt;0),COUNTIF('Target &amp; Team Lists'!$E$5:$E$504,D935)&gt;0),"Yes",IF(AND(SUMPRODUCT(('Target &amp; Team Lists'!$N$5:$N$60&lt;&gt;"")*ISNUMBER(SEARCH('Target &amp; Team Lists'!$N$5:$N$60,(E935&amp;" "&amp;F935))))&gt;0,SUMPRODUCT(('Target &amp; Team Lists'!$O$5:$O$60&lt;&gt;"")*ISNUMBER(SEARCH('Target &amp; Team Lists'!$O$5:$O$60,(E935&amp;" "&amp;F935))))=0),"Yes","No"))))</f>
        <v/>
      </c>
      <c r="Q935" s="32"/>
    </row>
    <row r="936" customFormat="false" ht="15" hidden="false" customHeight="false" outlineLevel="0" collapsed="false">
      <c r="A936" s="30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3" t="str">
        <f aca="false">IF(D936="","",IF(SUM(I936:L936)&gt;0,1,0))</f>
        <v/>
      </c>
      <c r="O936" s="34" t="str">
        <f aca="false">IF(D936="","",IF(OR(COUNTIF('Target &amp; Team Lists'!$J$5:$J$204,D936)&gt;0,AND(H936&lt;&gt;"",COUNTIF('Target &amp; Team Lists'!$L$5:$L$204,H936)&gt;0),ISNUMBER(SEARCH("alpha nodus",(E936&amp;" "&amp;F936))),ISNUMBER(SEARCH("alphanodus",(E936&amp;" "&amp;F936)))),"Yes","No"))</f>
        <v/>
      </c>
      <c r="P936" s="34" t="str">
        <f aca="false">IF(D936="","",IF(O936="Yes","No",IF(OR(AND(F936&lt;&gt;"",COUNTIF('Target &amp; Team Lists'!$A$5:$A$504,F936)&gt;0),COUNTIF('Target &amp; Team Lists'!$E$5:$E$504,D936)&gt;0),"Yes",IF(AND(SUMPRODUCT(('Target &amp; Team Lists'!$N$5:$N$60&lt;&gt;"")*ISNUMBER(SEARCH('Target &amp; Team Lists'!$N$5:$N$60,(E936&amp;" "&amp;F936))))&gt;0,SUMPRODUCT(('Target &amp; Team Lists'!$O$5:$O$60&lt;&gt;"")*ISNUMBER(SEARCH('Target &amp; Team Lists'!$O$5:$O$60,(E936&amp;" "&amp;F936))))=0),"Yes","No"))))</f>
        <v/>
      </c>
      <c r="Q936" s="32"/>
    </row>
    <row r="937" customFormat="false" ht="15" hidden="false" customHeight="false" outlineLevel="0" collapsed="false">
      <c r="A937" s="30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3" t="str">
        <f aca="false">IF(D937="","",IF(SUM(I937:L937)&gt;0,1,0))</f>
        <v/>
      </c>
      <c r="O937" s="34" t="str">
        <f aca="false">IF(D937="","",IF(OR(COUNTIF('Target &amp; Team Lists'!$J$5:$J$204,D937)&gt;0,AND(H937&lt;&gt;"",COUNTIF('Target &amp; Team Lists'!$L$5:$L$204,H937)&gt;0),ISNUMBER(SEARCH("alpha nodus",(E937&amp;" "&amp;F937))),ISNUMBER(SEARCH("alphanodus",(E937&amp;" "&amp;F937)))),"Yes","No"))</f>
        <v/>
      </c>
      <c r="P937" s="34" t="str">
        <f aca="false">IF(D937="","",IF(O937="Yes","No",IF(OR(AND(F937&lt;&gt;"",COUNTIF('Target &amp; Team Lists'!$A$5:$A$504,F937)&gt;0),COUNTIF('Target &amp; Team Lists'!$E$5:$E$504,D937)&gt;0),"Yes",IF(AND(SUMPRODUCT(('Target &amp; Team Lists'!$N$5:$N$60&lt;&gt;"")*ISNUMBER(SEARCH('Target &amp; Team Lists'!$N$5:$N$60,(E937&amp;" "&amp;F937))))&gt;0,SUMPRODUCT(('Target &amp; Team Lists'!$O$5:$O$60&lt;&gt;"")*ISNUMBER(SEARCH('Target &amp; Team Lists'!$O$5:$O$60,(E937&amp;" "&amp;F937))))=0),"Yes","No"))))</f>
        <v/>
      </c>
      <c r="Q937" s="32"/>
    </row>
    <row r="938" customFormat="false" ht="15" hidden="false" customHeight="false" outlineLevel="0" collapsed="false">
      <c r="A938" s="30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3" t="str">
        <f aca="false">IF(D938="","",IF(SUM(I938:L938)&gt;0,1,0))</f>
        <v/>
      </c>
      <c r="O938" s="34" t="str">
        <f aca="false">IF(D938="","",IF(OR(COUNTIF('Target &amp; Team Lists'!$J$5:$J$204,D938)&gt;0,AND(H938&lt;&gt;"",COUNTIF('Target &amp; Team Lists'!$L$5:$L$204,H938)&gt;0),ISNUMBER(SEARCH("alpha nodus",(E938&amp;" "&amp;F938))),ISNUMBER(SEARCH("alphanodus",(E938&amp;" "&amp;F938)))),"Yes","No"))</f>
        <v/>
      </c>
      <c r="P938" s="34" t="str">
        <f aca="false">IF(D938="","",IF(O938="Yes","No",IF(OR(AND(F938&lt;&gt;"",COUNTIF('Target &amp; Team Lists'!$A$5:$A$504,F938)&gt;0),COUNTIF('Target &amp; Team Lists'!$E$5:$E$504,D938)&gt;0),"Yes",IF(AND(SUMPRODUCT(('Target &amp; Team Lists'!$N$5:$N$60&lt;&gt;"")*ISNUMBER(SEARCH('Target &amp; Team Lists'!$N$5:$N$60,(E938&amp;" "&amp;F938))))&gt;0,SUMPRODUCT(('Target &amp; Team Lists'!$O$5:$O$60&lt;&gt;"")*ISNUMBER(SEARCH('Target &amp; Team Lists'!$O$5:$O$60,(E938&amp;" "&amp;F938))))=0),"Yes","No"))))</f>
        <v/>
      </c>
      <c r="Q938" s="32"/>
    </row>
    <row r="939" customFormat="false" ht="15" hidden="false" customHeight="false" outlineLevel="0" collapsed="false">
      <c r="A939" s="30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3" t="str">
        <f aca="false">IF(D939="","",IF(SUM(I939:L939)&gt;0,1,0))</f>
        <v/>
      </c>
      <c r="O939" s="34" t="str">
        <f aca="false">IF(D939="","",IF(OR(COUNTIF('Target &amp; Team Lists'!$J$5:$J$204,D939)&gt;0,AND(H939&lt;&gt;"",COUNTIF('Target &amp; Team Lists'!$L$5:$L$204,H939)&gt;0),ISNUMBER(SEARCH("alpha nodus",(E939&amp;" "&amp;F939))),ISNUMBER(SEARCH("alphanodus",(E939&amp;" "&amp;F939)))),"Yes","No"))</f>
        <v/>
      </c>
      <c r="P939" s="34" t="str">
        <f aca="false">IF(D939="","",IF(O939="Yes","No",IF(OR(AND(F939&lt;&gt;"",COUNTIF('Target &amp; Team Lists'!$A$5:$A$504,F939)&gt;0),COUNTIF('Target &amp; Team Lists'!$E$5:$E$504,D939)&gt;0),"Yes",IF(AND(SUMPRODUCT(('Target &amp; Team Lists'!$N$5:$N$60&lt;&gt;"")*ISNUMBER(SEARCH('Target &amp; Team Lists'!$N$5:$N$60,(E939&amp;" "&amp;F939))))&gt;0,SUMPRODUCT(('Target &amp; Team Lists'!$O$5:$O$60&lt;&gt;"")*ISNUMBER(SEARCH('Target &amp; Team Lists'!$O$5:$O$60,(E939&amp;" "&amp;F939))))=0),"Yes","No"))))</f>
        <v/>
      </c>
      <c r="Q939" s="32"/>
    </row>
    <row r="940" customFormat="false" ht="15" hidden="false" customHeight="false" outlineLevel="0" collapsed="false">
      <c r="A940" s="30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3" t="str">
        <f aca="false">IF(D940="","",IF(SUM(I940:L940)&gt;0,1,0))</f>
        <v/>
      </c>
      <c r="O940" s="34" t="str">
        <f aca="false">IF(D940="","",IF(OR(COUNTIF('Target &amp; Team Lists'!$J$5:$J$204,D940)&gt;0,AND(H940&lt;&gt;"",COUNTIF('Target &amp; Team Lists'!$L$5:$L$204,H940)&gt;0),ISNUMBER(SEARCH("alpha nodus",(E940&amp;" "&amp;F940))),ISNUMBER(SEARCH("alphanodus",(E940&amp;" "&amp;F940)))),"Yes","No"))</f>
        <v/>
      </c>
      <c r="P940" s="34" t="str">
        <f aca="false">IF(D940="","",IF(O940="Yes","No",IF(OR(AND(F940&lt;&gt;"",COUNTIF('Target &amp; Team Lists'!$A$5:$A$504,F940)&gt;0),COUNTIF('Target &amp; Team Lists'!$E$5:$E$504,D940)&gt;0),"Yes",IF(AND(SUMPRODUCT(('Target &amp; Team Lists'!$N$5:$N$60&lt;&gt;"")*ISNUMBER(SEARCH('Target &amp; Team Lists'!$N$5:$N$60,(E940&amp;" "&amp;F940))))&gt;0,SUMPRODUCT(('Target &amp; Team Lists'!$O$5:$O$60&lt;&gt;"")*ISNUMBER(SEARCH('Target &amp; Team Lists'!$O$5:$O$60,(E940&amp;" "&amp;F940))))=0),"Yes","No"))))</f>
        <v/>
      </c>
      <c r="Q940" s="32"/>
    </row>
    <row r="941" customFormat="false" ht="15" hidden="false" customHeight="false" outlineLevel="0" collapsed="false">
      <c r="A941" s="30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3" t="str">
        <f aca="false">IF(D941="","",IF(SUM(I941:L941)&gt;0,1,0))</f>
        <v/>
      </c>
      <c r="O941" s="34" t="str">
        <f aca="false">IF(D941="","",IF(OR(COUNTIF('Target &amp; Team Lists'!$J$5:$J$204,D941)&gt;0,AND(H941&lt;&gt;"",COUNTIF('Target &amp; Team Lists'!$L$5:$L$204,H941)&gt;0),ISNUMBER(SEARCH("alpha nodus",(E941&amp;" "&amp;F941))),ISNUMBER(SEARCH("alphanodus",(E941&amp;" "&amp;F941)))),"Yes","No"))</f>
        <v/>
      </c>
      <c r="P941" s="34" t="str">
        <f aca="false">IF(D941="","",IF(O941="Yes","No",IF(OR(AND(F941&lt;&gt;"",COUNTIF('Target &amp; Team Lists'!$A$5:$A$504,F941)&gt;0),COUNTIF('Target &amp; Team Lists'!$E$5:$E$504,D941)&gt;0),"Yes",IF(AND(SUMPRODUCT(('Target &amp; Team Lists'!$N$5:$N$60&lt;&gt;"")*ISNUMBER(SEARCH('Target &amp; Team Lists'!$N$5:$N$60,(E941&amp;" "&amp;F941))))&gt;0,SUMPRODUCT(('Target &amp; Team Lists'!$O$5:$O$60&lt;&gt;"")*ISNUMBER(SEARCH('Target &amp; Team Lists'!$O$5:$O$60,(E941&amp;" "&amp;F941))))=0),"Yes","No"))))</f>
        <v/>
      </c>
      <c r="Q941" s="32"/>
    </row>
    <row r="942" customFormat="false" ht="15" hidden="false" customHeight="false" outlineLevel="0" collapsed="false">
      <c r="A942" s="30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3" t="str">
        <f aca="false">IF(D942="","",IF(SUM(I942:L942)&gt;0,1,0))</f>
        <v/>
      </c>
      <c r="O942" s="34" t="str">
        <f aca="false">IF(D942="","",IF(OR(COUNTIF('Target &amp; Team Lists'!$J$5:$J$204,D942)&gt;0,AND(H942&lt;&gt;"",COUNTIF('Target &amp; Team Lists'!$L$5:$L$204,H942)&gt;0),ISNUMBER(SEARCH("alpha nodus",(E942&amp;" "&amp;F942))),ISNUMBER(SEARCH("alphanodus",(E942&amp;" "&amp;F942)))),"Yes","No"))</f>
        <v/>
      </c>
      <c r="P942" s="34" t="str">
        <f aca="false">IF(D942="","",IF(O942="Yes","No",IF(OR(AND(F942&lt;&gt;"",COUNTIF('Target &amp; Team Lists'!$A$5:$A$504,F942)&gt;0),COUNTIF('Target &amp; Team Lists'!$E$5:$E$504,D942)&gt;0),"Yes",IF(AND(SUMPRODUCT(('Target &amp; Team Lists'!$N$5:$N$60&lt;&gt;"")*ISNUMBER(SEARCH('Target &amp; Team Lists'!$N$5:$N$60,(E942&amp;" "&amp;F942))))&gt;0,SUMPRODUCT(('Target &amp; Team Lists'!$O$5:$O$60&lt;&gt;"")*ISNUMBER(SEARCH('Target &amp; Team Lists'!$O$5:$O$60,(E942&amp;" "&amp;F942))))=0),"Yes","No"))))</f>
        <v/>
      </c>
      <c r="Q942" s="32"/>
    </row>
    <row r="943" customFormat="false" ht="15" hidden="false" customHeight="false" outlineLevel="0" collapsed="false">
      <c r="A943" s="30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3" t="str">
        <f aca="false">IF(D943="","",IF(SUM(I943:L943)&gt;0,1,0))</f>
        <v/>
      </c>
      <c r="O943" s="34" t="str">
        <f aca="false">IF(D943="","",IF(OR(COUNTIF('Target &amp; Team Lists'!$J$5:$J$204,D943)&gt;0,AND(H943&lt;&gt;"",COUNTIF('Target &amp; Team Lists'!$L$5:$L$204,H943)&gt;0),ISNUMBER(SEARCH("alpha nodus",(E943&amp;" "&amp;F943))),ISNUMBER(SEARCH("alphanodus",(E943&amp;" "&amp;F943)))),"Yes","No"))</f>
        <v/>
      </c>
      <c r="P943" s="34" t="str">
        <f aca="false">IF(D943="","",IF(O943="Yes","No",IF(OR(AND(F943&lt;&gt;"",COUNTIF('Target &amp; Team Lists'!$A$5:$A$504,F943)&gt;0),COUNTIF('Target &amp; Team Lists'!$E$5:$E$504,D943)&gt;0),"Yes",IF(AND(SUMPRODUCT(('Target &amp; Team Lists'!$N$5:$N$60&lt;&gt;"")*ISNUMBER(SEARCH('Target &amp; Team Lists'!$N$5:$N$60,(E943&amp;" "&amp;F943))))&gt;0,SUMPRODUCT(('Target &amp; Team Lists'!$O$5:$O$60&lt;&gt;"")*ISNUMBER(SEARCH('Target &amp; Team Lists'!$O$5:$O$60,(E943&amp;" "&amp;F943))))=0),"Yes","No"))))</f>
        <v/>
      </c>
      <c r="Q943" s="32"/>
    </row>
    <row r="944" customFormat="false" ht="15" hidden="false" customHeight="false" outlineLevel="0" collapsed="false">
      <c r="A944" s="30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3" t="str">
        <f aca="false">IF(D944="","",IF(SUM(I944:L944)&gt;0,1,0))</f>
        <v/>
      </c>
      <c r="O944" s="34" t="str">
        <f aca="false">IF(D944="","",IF(OR(COUNTIF('Target &amp; Team Lists'!$J$5:$J$204,D944)&gt;0,AND(H944&lt;&gt;"",COUNTIF('Target &amp; Team Lists'!$L$5:$L$204,H944)&gt;0),ISNUMBER(SEARCH("alpha nodus",(E944&amp;" "&amp;F944))),ISNUMBER(SEARCH("alphanodus",(E944&amp;" "&amp;F944)))),"Yes","No"))</f>
        <v/>
      </c>
      <c r="P944" s="34" t="str">
        <f aca="false">IF(D944="","",IF(O944="Yes","No",IF(OR(AND(F944&lt;&gt;"",COUNTIF('Target &amp; Team Lists'!$A$5:$A$504,F944)&gt;0),COUNTIF('Target &amp; Team Lists'!$E$5:$E$504,D944)&gt;0),"Yes",IF(AND(SUMPRODUCT(('Target &amp; Team Lists'!$N$5:$N$60&lt;&gt;"")*ISNUMBER(SEARCH('Target &amp; Team Lists'!$N$5:$N$60,(E944&amp;" "&amp;F944))))&gt;0,SUMPRODUCT(('Target &amp; Team Lists'!$O$5:$O$60&lt;&gt;"")*ISNUMBER(SEARCH('Target &amp; Team Lists'!$O$5:$O$60,(E944&amp;" "&amp;F944))))=0),"Yes","No"))))</f>
        <v/>
      </c>
      <c r="Q944" s="32"/>
    </row>
    <row r="945" customFormat="false" ht="15" hidden="false" customHeight="false" outlineLevel="0" collapsed="false">
      <c r="A945" s="30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3" t="str">
        <f aca="false">IF(D945="","",IF(SUM(I945:L945)&gt;0,1,0))</f>
        <v/>
      </c>
      <c r="O945" s="34" t="str">
        <f aca="false">IF(D945="","",IF(OR(COUNTIF('Target &amp; Team Lists'!$J$5:$J$204,D945)&gt;0,AND(H945&lt;&gt;"",COUNTIF('Target &amp; Team Lists'!$L$5:$L$204,H945)&gt;0),ISNUMBER(SEARCH("alpha nodus",(E945&amp;" "&amp;F945))),ISNUMBER(SEARCH("alphanodus",(E945&amp;" "&amp;F945)))),"Yes","No"))</f>
        <v/>
      </c>
      <c r="P945" s="34" t="str">
        <f aca="false">IF(D945="","",IF(O945="Yes","No",IF(OR(AND(F945&lt;&gt;"",COUNTIF('Target &amp; Team Lists'!$A$5:$A$504,F945)&gt;0),COUNTIF('Target &amp; Team Lists'!$E$5:$E$504,D945)&gt;0),"Yes",IF(AND(SUMPRODUCT(('Target &amp; Team Lists'!$N$5:$N$60&lt;&gt;"")*ISNUMBER(SEARCH('Target &amp; Team Lists'!$N$5:$N$60,(E945&amp;" "&amp;F945))))&gt;0,SUMPRODUCT(('Target &amp; Team Lists'!$O$5:$O$60&lt;&gt;"")*ISNUMBER(SEARCH('Target &amp; Team Lists'!$O$5:$O$60,(E945&amp;" "&amp;F945))))=0),"Yes","No"))))</f>
        <v/>
      </c>
      <c r="Q945" s="32"/>
    </row>
    <row r="946" customFormat="false" ht="15" hidden="false" customHeight="false" outlineLevel="0" collapsed="false">
      <c r="A946" s="30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3" t="str">
        <f aca="false">IF(D946="","",IF(SUM(I946:L946)&gt;0,1,0))</f>
        <v/>
      </c>
      <c r="O946" s="34" t="str">
        <f aca="false">IF(D946="","",IF(OR(COUNTIF('Target &amp; Team Lists'!$J$5:$J$204,D946)&gt;0,AND(H946&lt;&gt;"",COUNTIF('Target &amp; Team Lists'!$L$5:$L$204,H946)&gt;0),ISNUMBER(SEARCH("alpha nodus",(E946&amp;" "&amp;F946))),ISNUMBER(SEARCH("alphanodus",(E946&amp;" "&amp;F946)))),"Yes","No"))</f>
        <v/>
      </c>
      <c r="P946" s="34" t="str">
        <f aca="false">IF(D946="","",IF(O946="Yes","No",IF(OR(AND(F946&lt;&gt;"",COUNTIF('Target &amp; Team Lists'!$A$5:$A$504,F946)&gt;0),COUNTIF('Target &amp; Team Lists'!$E$5:$E$504,D946)&gt;0),"Yes",IF(AND(SUMPRODUCT(('Target &amp; Team Lists'!$N$5:$N$60&lt;&gt;"")*ISNUMBER(SEARCH('Target &amp; Team Lists'!$N$5:$N$60,(E946&amp;" "&amp;F946))))&gt;0,SUMPRODUCT(('Target &amp; Team Lists'!$O$5:$O$60&lt;&gt;"")*ISNUMBER(SEARCH('Target &amp; Team Lists'!$O$5:$O$60,(E946&amp;" "&amp;F946))))=0),"Yes","No"))))</f>
        <v/>
      </c>
      <c r="Q946" s="32"/>
    </row>
    <row r="947" customFormat="false" ht="15" hidden="false" customHeight="false" outlineLevel="0" collapsed="false">
      <c r="A947" s="30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3" t="str">
        <f aca="false">IF(D947="","",IF(SUM(I947:L947)&gt;0,1,0))</f>
        <v/>
      </c>
      <c r="O947" s="34" t="str">
        <f aca="false">IF(D947="","",IF(OR(COUNTIF('Target &amp; Team Lists'!$J$5:$J$204,D947)&gt;0,AND(H947&lt;&gt;"",COUNTIF('Target &amp; Team Lists'!$L$5:$L$204,H947)&gt;0),ISNUMBER(SEARCH("alpha nodus",(E947&amp;" "&amp;F947))),ISNUMBER(SEARCH("alphanodus",(E947&amp;" "&amp;F947)))),"Yes","No"))</f>
        <v/>
      </c>
      <c r="P947" s="34" t="str">
        <f aca="false">IF(D947="","",IF(O947="Yes","No",IF(OR(AND(F947&lt;&gt;"",COUNTIF('Target &amp; Team Lists'!$A$5:$A$504,F947)&gt;0),COUNTIF('Target &amp; Team Lists'!$E$5:$E$504,D947)&gt;0),"Yes",IF(AND(SUMPRODUCT(('Target &amp; Team Lists'!$N$5:$N$60&lt;&gt;"")*ISNUMBER(SEARCH('Target &amp; Team Lists'!$N$5:$N$60,(E947&amp;" "&amp;F947))))&gt;0,SUMPRODUCT(('Target &amp; Team Lists'!$O$5:$O$60&lt;&gt;"")*ISNUMBER(SEARCH('Target &amp; Team Lists'!$O$5:$O$60,(E947&amp;" "&amp;F947))))=0),"Yes","No"))))</f>
        <v/>
      </c>
      <c r="Q947" s="32"/>
    </row>
    <row r="948" customFormat="false" ht="15" hidden="false" customHeight="false" outlineLevel="0" collapsed="false">
      <c r="A948" s="30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3" t="str">
        <f aca="false">IF(D948="","",IF(SUM(I948:L948)&gt;0,1,0))</f>
        <v/>
      </c>
      <c r="O948" s="34" t="str">
        <f aca="false">IF(D948="","",IF(OR(COUNTIF('Target &amp; Team Lists'!$J$5:$J$204,D948)&gt;0,AND(H948&lt;&gt;"",COUNTIF('Target &amp; Team Lists'!$L$5:$L$204,H948)&gt;0),ISNUMBER(SEARCH("alpha nodus",(E948&amp;" "&amp;F948))),ISNUMBER(SEARCH("alphanodus",(E948&amp;" "&amp;F948)))),"Yes","No"))</f>
        <v/>
      </c>
      <c r="P948" s="34" t="str">
        <f aca="false">IF(D948="","",IF(O948="Yes","No",IF(OR(AND(F948&lt;&gt;"",COUNTIF('Target &amp; Team Lists'!$A$5:$A$504,F948)&gt;0),COUNTIF('Target &amp; Team Lists'!$E$5:$E$504,D948)&gt;0),"Yes",IF(AND(SUMPRODUCT(('Target &amp; Team Lists'!$N$5:$N$60&lt;&gt;"")*ISNUMBER(SEARCH('Target &amp; Team Lists'!$N$5:$N$60,(E948&amp;" "&amp;F948))))&gt;0,SUMPRODUCT(('Target &amp; Team Lists'!$O$5:$O$60&lt;&gt;"")*ISNUMBER(SEARCH('Target &amp; Team Lists'!$O$5:$O$60,(E948&amp;" "&amp;F948))))=0),"Yes","No"))))</f>
        <v/>
      </c>
      <c r="Q948" s="32"/>
    </row>
    <row r="949" customFormat="false" ht="15" hidden="false" customHeight="false" outlineLevel="0" collapsed="false">
      <c r="A949" s="30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3" t="str">
        <f aca="false">IF(D949="","",IF(SUM(I949:L949)&gt;0,1,0))</f>
        <v/>
      </c>
      <c r="O949" s="34" t="str">
        <f aca="false">IF(D949="","",IF(OR(COUNTIF('Target &amp; Team Lists'!$J$5:$J$204,D949)&gt;0,AND(H949&lt;&gt;"",COUNTIF('Target &amp; Team Lists'!$L$5:$L$204,H949)&gt;0),ISNUMBER(SEARCH("alpha nodus",(E949&amp;" "&amp;F949))),ISNUMBER(SEARCH("alphanodus",(E949&amp;" "&amp;F949)))),"Yes","No"))</f>
        <v/>
      </c>
      <c r="P949" s="34" t="str">
        <f aca="false">IF(D949="","",IF(O949="Yes","No",IF(OR(AND(F949&lt;&gt;"",COUNTIF('Target &amp; Team Lists'!$A$5:$A$504,F949)&gt;0),COUNTIF('Target &amp; Team Lists'!$E$5:$E$504,D949)&gt;0),"Yes",IF(AND(SUMPRODUCT(('Target &amp; Team Lists'!$N$5:$N$60&lt;&gt;"")*ISNUMBER(SEARCH('Target &amp; Team Lists'!$N$5:$N$60,(E949&amp;" "&amp;F949))))&gt;0,SUMPRODUCT(('Target &amp; Team Lists'!$O$5:$O$60&lt;&gt;"")*ISNUMBER(SEARCH('Target &amp; Team Lists'!$O$5:$O$60,(E949&amp;" "&amp;F949))))=0),"Yes","No"))))</f>
        <v/>
      </c>
      <c r="Q949" s="32"/>
    </row>
    <row r="950" customFormat="false" ht="15" hidden="false" customHeight="false" outlineLevel="0" collapsed="false">
      <c r="A950" s="30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3" t="str">
        <f aca="false">IF(D950="","",IF(SUM(I950:L950)&gt;0,1,0))</f>
        <v/>
      </c>
      <c r="O950" s="34" t="str">
        <f aca="false">IF(D950="","",IF(OR(COUNTIF('Target &amp; Team Lists'!$J$5:$J$204,D950)&gt;0,AND(H950&lt;&gt;"",COUNTIF('Target &amp; Team Lists'!$L$5:$L$204,H950)&gt;0),ISNUMBER(SEARCH("alpha nodus",(E950&amp;" "&amp;F950))),ISNUMBER(SEARCH("alphanodus",(E950&amp;" "&amp;F950)))),"Yes","No"))</f>
        <v/>
      </c>
      <c r="P950" s="34" t="str">
        <f aca="false">IF(D950="","",IF(O950="Yes","No",IF(OR(AND(F950&lt;&gt;"",COUNTIF('Target &amp; Team Lists'!$A$5:$A$504,F950)&gt;0),COUNTIF('Target &amp; Team Lists'!$E$5:$E$504,D950)&gt;0),"Yes",IF(AND(SUMPRODUCT(('Target &amp; Team Lists'!$N$5:$N$60&lt;&gt;"")*ISNUMBER(SEARCH('Target &amp; Team Lists'!$N$5:$N$60,(E950&amp;" "&amp;F950))))&gt;0,SUMPRODUCT(('Target &amp; Team Lists'!$O$5:$O$60&lt;&gt;"")*ISNUMBER(SEARCH('Target &amp; Team Lists'!$O$5:$O$60,(E950&amp;" "&amp;F950))))=0),"Yes","No"))))</f>
        <v/>
      </c>
      <c r="Q950" s="32"/>
    </row>
    <row r="951" customFormat="false" ht="15" hidden="false" customHeight="false" outlineLevel="0" collapsed="false">
      <c r="A951" s="30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3" t="str">
        <f aca="false">IF(D951="","",IF(SUM(I951:L951)&gt;0,1,0))</f>
        <v/>
      </c>
      <c r="O951" s="34" t="str">
        <f aca="false">IF(D951="","",IF(OR(COUNTIF('Target &amp; Team Lists'!$J$5:$J$204,D951)&gt;0,AND(H951&lt;&gt;"",COUNTIF('Target &amp; Team Lists'!$L$5:$L$204,H951)&gt;0),ISNUMBER(SEARCH("alpha nodus",(E951&amp;" "&amp;F951))),ISNUMBER(SEARCH("alphanodus",(E951&amp;" "&amp;F951)))),"Yes","No"))</f>
        <v/>
      </c>
      <c r="P951" s="34" t="str">
        <f aca="false">IF(D951="","",IF(O951="Yes","No",IF(OR(AND(F951&lt;&gt;"",COUNTIF('Target &amp; Team Lists'!$A$5:$A$504,F951)&gt;0),COUNTIF('Target &amp; Team Lists'!$E$5:$E$504,D951)&gt;0),"Yes",IF(AND(SUMPRODUCT(('Target &amp; Team Lists'!$N$5:$N$60&lt;&gt;"")*ISNUMBER(SEARCH('Target &amp; Team Lists'!$N$5:$N$60,(E951&amp;" "&amp;F951))))&gt;0,SUMPRODUCT(('Target &amp; Team Lists'!$O$5:$O$60&lt;&gt;"")*ISNUMBER(SEARCH('Target &amp; Team Lists'!$O$5:$O$60,(E951&amp;" "&amp;F951))))=0),"Yes","No"))))</f>
        <v/>
      </c>
      <c r="Q951" s="32"/>
    </row>
    <row r="952" customFormat="false" ht="15" hidden="false" customHeight="false" outlineLevel="0" collapsed="false">
      <c r="A952" s="30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3" t="str">
        <f aca="false">IF(D952="","",IF(SUM(I952:L952)&gt;0,1,0))</f>
        <v/>
      </c>
      <c r="O952" s="34" t="str">
        <f aca="false">IF(D952="","",IF(OR(COUNTIF('Target &amp; Team Lists'!$J$5:$J$204,D952)&gt;0,AND(H952&lt;&gt;"",COUNTIF('Target &amp; Team Lists'!$L$5:$L$204,H952)&gt;0),ISNUMBER(SEARCH("alpha nodus",(E952&amp;" "&amp;F952))),ISNUMBER(SEARCH("alphanodus",(E952&amp;" "&amp;F952)))),"Yes","No"))</f>
        <v/>
      </c>
      <c r="P952" s="34" t="str">
        <f aca="false">IF(D952="","",IF(O952="Yes","No",IF(OR(AND(F952&lt;&gt;"",COUNTIF('Target &amp; Team Lists'!$A$5:$A$504,F952)&gt;0),COUNTIF('Target &amp; Team Lists'!$E$5:$E$504,D952)&gt;0),"Yes",IF(AND(SUMPRODUCT(('Target &amp; Team Lists'!$N$5:$N$60&lt;&gt;"")*ISNUMBER(SEARCH('Target &amp; Team Lists'!$N$5:$N$60,(E952&amp;" "&amp;F952))))&gt;0,SUMPRODUCT(('Target &amp; Team Lists'!$O$5:$O$60&lt;&gt;"")*ISNUMBER(SEARCH('Target &amp; Team Lists'!$O$5:$O$60,(E952&amp;" "&amp;F952))))=0),"Yes","No"))))</f>
        <v/>
      </c>
      <c r="Q952" s="32"/>
    </row>
    <row r="953" customFormat="false" ht="15" hidden="false" customHeight="false" outlineLevel="0" collapsed="false">
      <c r="A953" s="30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3" t="str">
        <f aca="false">IF(D953="","",IF(SUM(I953:L953)&gt;0,1,0))</f>
        <v/>
      </c>
      <c r="O953" s="34" t="str">
        <f aca="false">IF(D953="","",IF(OR(COUNTIF('Target &amp; Team Lists'!$J$5:$J$204,D953)&gt;0,AND(H953&lt;&gt;"",COUNTIF('Target &amp; Team Lists'!$L$5:$L$204,H953)&gt;0),ISNUMBER(SEARCH("alpha nodus",(E953&amp;" "&amp;F953))),ISNUMBER(SEARCH("alphanodus",(E953&amp;" "&amp;F953)))),"Yes","No"))</f>
        <v/>
      </c>
      <c r="P953" s="34" t="str">
        <f aca="false">IF(D953="","",IF(O953="Yes","No",IF(OR(AND(F953&lt;&gt;"",COUNTIF('Target &amp; Team Lists'!$A$5:$A$504,F953)&gt;0),COUNTIF('Target &amp; Team Lists'!$E$5:$E$504,D953)&gt;0),"Yes",IF(AND(SUMPRODUCT(('Target &amp; Team Lists'!$N$5:$N$60&lt;&gt;"")*ISNUMBER(SEARCH('Target &amp; Team Lists'!$N$5:$N$60,(E953&amp;" "&amp;F953))))&gt;0,SUMPRODUCT(('Target &amp; Team Lists'!$O$5:$O$60&lt;&gt;"")*ISNUMBER(SEARCH('Target &amp; Team Lists'!$O$5:$O$60,(E953&amp;" "&amp;F953))))=0),"Yes","No"))))</f>
        <v/>
      </c>
      <c r="Q953" s="32"/>
    </row>
    <row r="954" customFormat="false" ht="15" hidden="false" customHeight="false" outlineLevel="0" collapsed="false">
      <c r="A954" s="30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3" t="str">
        <f aca="false">IF(D954="","",IF(SUM(I954:L954)&gt;0,1,0))</f>
        <v/>
      </c>
      <c r="O954" s="34" t="str">
        <f aca="false">IF(D954="","",IF(OR(COUNTIF('Target &amp; Team Lists'!$J$5:$J$204,D954)&gt;0,AND(H954&lt;&gt;"",COUNTIF('Target &amp; Team Lists'!$L$5:$L$204,H954)&gt;0),ISNUMBER(SEARCH("alpha nodus",(E954&amp;" "&amp;F954))),ISNUMBER(SEARCH("alphanodus",(E954&amp;" "&amp;F954)))),"Yes","No"))</f>
        <v/>
      </c>
      <c r="P954" s="34" t="str">
        <f aca="false">IF(D954="","",IF(O954="Yes","No",IF(OR(AND(F954&lt;&gt;"",COUNTIF('Target &amp; Team Lists'!$A$5:$A$504,F954)&gt;0),COUNTIF('Target &amp; Team Lists'!$E$5:$E$504,D954)&gt;0),"Yes",IF(AND(SUMPRODUCT(('Target &amp; Team Lists'!$N$5:$N$60&lt;&gt;"")*ISNUMBER(SEARCH('Target &amp; Team Lists'!$N$5:$N$60,(E954&amp;" "&amp;F954))))&gt;0,SUMPRODUCT(('Target &amp; Team Lists'!$O$5:$O$60&lt;&gt;"")*ISNUMBER(SEARCH('Target &amp; Team Lists'!$O$5:$O$60,(E954&amp;" "&amp;F954))))=0),"Yes","No"))))</f>
        <v/>
      </c>
      <c r="Q954" s="32"/>
    </row>
    <row r="955" customFormat="false" ht="15" hidden="false" customHeight="false" outlineLevel="0" collapsed="false">
      <c r="A955" s="30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3" t="str">
        <f aca="false">IF(D955="","",IF(SUM(I955:L955)&gt;0,1,0))</f>
        <v/>
      </c>
      <c r="O955" s="34" t="str">
        <f aca="false">IF(D955="","",IF(OR(COUNTIF('Target &amp; Team Lists'!$J$5:$J$204,D955)&gt;0,AND(H955&lt;&gt;"",COUNTIF('Target &amp; Team Lists'!$L$5:$L$204,H955)&gt;0),ISNUMBER(SEARCH("alpha nodus",(E955&amp;" "&amp;F955))),ISNUMBER(SEARCH("alphanodus",(E955&amp;" "&amp;F955)))),"Yes","No"))</f>
        <v/>
      </c>
      <c r="P955" s="34" t="str">
        <f aca="false">IF(D955="","",IF(O955="Yes","No",IF(OR(AND(F955&lt;&gt;"",COUNTIF('Target &amp; Team Lists'!$A$5:$A$504,F955)&gt;0),COUNTIF('Target &amp; Team Lists'!$E$5:$E$504,D955)&gt;0),"Yes",IF(AND(SUMPRODUCT(('Target &amp; Team Lists'!$N$5:$N$60&lt;&gt;"")*ISNUMBER(SEARCH('Target &amp; Team Lists'!$N$5:$N$60,(E955&amp;" "&amp;F955))))&gt;0,SUMPRODUCT(('Target &amp; Team Lists'!$O$5:$O$60&lt;&gt;"")*ISNUMBER(SEARCH('Target &amp; Team Lists'!$O$5:$O$60,(E955&amp;" "&amp;F955))))=0),"Yes","No"))))</f>
        <v/>
      </c>
      <c r="Q955" s="32"/>
    </row>
    <row r="956" customFormat="false" ht="15" hidden="false" customHeight="false" outlineLevel="0" collapsed="false">
      <c r="A956" s="30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3" t="str">
        <f aca="false">IF(D956="","",IF(SUM(I956:L956)&gt;0,1,0))</f>
        <v/>
      </c>
      <c r="O956" s="34" t="str">
        <f aca="false">IF(D956="","",IF(OR(COUNTIF('Target &amp; Team Lists'!$J$5:$J$204,D956)&gt;0,AND(H956&lt;&gt;"",COUNTIF('Target &amp; Team Lists'!$L$5:$L$204,H956)&gt;0),ISNUMBER(SEARCH("alpha nodus",(E956&amp;" "&amp;F956))),ISNUMBER(SEARCH("alphanodus",(E956&amp;" "&amp;F956)))),"Yes","No"))</f>
        <v/>
      </c>
      <c r="P956" s="34" t="str">
        <f aca="false">IF(D956="","",IF(O956="Yes","No",IF(OR(AND(F956&lt;&gt;"",COUNTIF('Target &amp; Team Lists'!$A$5:$A$504,F956)&gt;0),COUNTIF('Target &amp; Team Lists'!$E$5:$E$504,D956)&gt;0),"Yes",IF(AND(SUMPRODUCT(('Target &amp; Team Lists'!$N$5:$N$60&lt;&gt;"")*ISNUMBER(SEARCH('Target &amp; Team Lists'!$N$5:$N$60,(E956&amp;" "&amp;F956))))&gt;0,SUMPRODUCT(('Target &amp; Team Lists'!$O$5:$O$60&lt;&gt;"")*ISNUMBER(SEARCH('Target &amp; Team Lists'!$O$5:$O$60,(E956&amp;" "&amp;F956))))=0),"Yes","No"))))</f>
        <v/>
      </c>
      <c r="Q956" s="32"/>
    </row>
    <row r="957" customFormat="false" ht="15" hidden="false" customHeight="false" outlineLevel="0" collapsed="false">
      <c r="A957" s="30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3" t="str">
        <f aca="false">IF(D957="","",IF(SUM(I957:L957)&gt;0,1,0))</f>
        <v/>
      </c>
      <c r="O957" s="34" t="str">
        <f aca="false">IF(D957="","",IF(OR(COUNTIF('Target &amp; Team Lists'!$J$5:$J$204,D957)&gt;0,AND(H957&lt;&gt;"",COUNTIF('Target &amp; Team Lists'!$L$5:$L$204,H957)&gt;0),ISNUMBER(SEARCH("alpha nodus",(E957&amp;" "&amp;F957))),ISNUMBER(SEARCH("alphanodus",(E957&amp;" "&amp;F957)))),"Yes","No"))</f>
        <v/>
      </c>
      <c r="P957" s="34" t="str">
        <f aca="false">IF(D957="","",IF(O957="Yes","No",IF(OR(AND(F957&lt;&gt;"",COUNTIF('Target &amp; Team Lists'!$A$5:$A$504,F957)&gt;0),COUNTIF('Target &amp; Team Lists'!$E$5:$E$504,D957)&gt;0),"Yes",IF(AND(SUMPRODUCT(('Target &amp; Team Lists'!$N$5:$N$60&lt;&gt;"")*ISNUMBER(SEARCH('Target &amp; Team Lists'!$N$5:$N$60,(E957&amp;" "&amp;F957))))&gt;0,SUMPRODUCT(('Target &amp; Team Lists'!$O$5:$O$60&lt;&gt;"")*ISNUMBER(SEARCH('Target &amp; Team Lists'!$O$5:$O$60,(E957&amp;" "&amp;F957))))=0),"Yes","No"))))</f>
        <v/>
      </c>
      <c r="Q957" s="32"/>
    </row>
    <row r="958" customFormat="false" ht="15" hidden="false" customHeight="false" outlineLevel="0" collapsed="false">
      <c r="A958" s="30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3" t="str">
        <f aca="false">IF(D958="","",IF(SUM(I958:L958)&gt;0,1,0))</f>
        <v/>
      </c>
      <c r="O958" s="34" t="str">
        <f aca="false">IF(D958="","",IF(OR(COUNTIF('Target &amp; Team Lists'!$J$5:$J$204,D958)&gt;0,AND(H958&lt;&gt;"",COUNTIF('Target &amp; Team Lists'!$L$5:$L$204,H958)&gt;0),ISNUMBER(SEARCH("alpha nodus",(E958&amp;" "&amp;F958))),ISNUMBER(SEARCH("alphanodus",(E958&amp;" "&amp;F958)))),"Yes","No"))</f>
        <v/>
      </c>
      <c r="P958" s="34" t="str">
        <f aca="false">IF(D958="","",IF(O958="Yes","No",IF(OR(AND(F958&lt;&gt;"",COUNTIF('Target &amp; Team Lists'!$A$5:$A$504,F958)&gt;0),COUNTIF('Target &amp; Team Lists'!$E$5:$E$504,D958)&gt;0),"Yes",IF(AND(SUMPRODUCT(('Target &amp; Team Lists'!$N$5:$N$60&lt;&gt;"")*ISNUMBER(SEARCH('Target &amp; Team Lists'!$N$5:$N$60,(E958&amp;" "&amp;F958))))&gt;0,SUMPRODUCT(('Target &amp; Team Lists'!$O$5:$O$60&lt;&gt;"")*ISNUMBER(SEARCH('Target &amp; Team Lists'!$O$5:$O$60,(E958&amp;" "&amp;F958))))=0),"Yes","No"))))</f>
        <v/>
      </c>
      <c r="Q958" s="32"/>
    </row>
    <row r="959" customFormat="false" ht="15" hidden="false" customHeight="false" outlineLevel="0" collapsed="false">
      <c r="A959" s="30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3" t="str">
        <f aca="false">IF(D959="","",IF(SUM(I959:L959)&gt;0,1,0))</f>
        <v/>
      </c>
      <c r="O959" s="34" t="str">
        <f aca="false">IF(D959="","",IF(OR(COUNTIF('Target &amp; Team Lists'!$J$5:$J$204,D959)&gt;0,AND(H959&lt;&gt;"",COUNTIF('Target &amp; Team Lists'!$L$5:$L$204,H959)&gt;0),ISNUMBER(SEARCH("alpha nodus",(E959&amp;" "&amp;F959))),ISNUMBER(SEARCH("alphanodus",(E959&amp;" "&amp;F959)))),"Yes","No"))</f>
        <v/>
      </c>
      <c r="P959" s="34" t="str">
        <f aca="false">IF(D959="","",IF(O959="Yes","No",IF(OR(AND(F959&lt;&gt;"",COUNTIF('Target &amp; Team Lists'!$A$5:$A$504,F959)&gt;0),COUNTIF('Target &amp; Team Lists'!$E$5:$E$504,D959)&gt;0),"Yes",IF(AND(SUMPRODUCT(('Target &amp; Team Lists'!$N$5:$N$60&lt;&gt;"")*ISNUMBER(SEARCH('Target &amp; Team Lists'!$N$5:$N$60,(E959&amp;" "&amp;F959))))&gt;0,SUMPRODUCT(('Target &amp; Team Lists'!$O$5:$O$60&lt;&gt;"")*ISNUMBER(SEARCH('Target &amp; Team Lists'!$O$5:$O$60,(E959&amp;" "&amp;F959))))=0),"Yes","No"))))</f>
        <v/>
      </c>
      <c r="Q959" s="32"/>
    </row>
    <row r="960" customFormat="false" ht="15" hidden="false" customHeight="false" outlineLevel="0" collapsed="false">
      <c r="A960" s="30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3" t="str">
        <f aca="false">IF(D960="","",IF(SUM(I960:L960)&gt;0,1,0))</f>
        <v/>
      </c>
      <c r="O960" s="34" t="str">
        <f aca="false">IF(D960="","",IF(OR(COUNTIF('Target &amp; Team Lists'!$J$5:$J$204,D960)&gt;0,AND(H960&lt;&gt;"",COUNTIF('Target &amp; Team Lists'!$L$5:$L$204,H960)&gt;0),ISNUMBER(SEARCH("alpha nodus",(E960&amp;" "&amp;F960))),ISNUMBER(SEARCH("alphanodus",(E960&amp;" "&amp;F960)))),"Yes","No"))</f>
        <v/>
      </c>
      <c r="P960" s="34" t="str">
        <f aca="false">IF(D960="","",IF(O960="Yes","No",IF(OR(AND(F960&lt;&gt;"",COUNTIF('Target &amp; Team Lists'!$A$5:$A$504,F960)&gt;0),COUNTIF('Target &amp; Team Lists'!$E$5:$E$504,D960)&gt;0),"Yes",IF(AND(SUMPRODUCT(('Target &amp; Team Lists'!$N$5:$N$60&lt;&gt;"")*ISNUMBER(SEARCH('Target &amp; Team Lists'!$N$5:$N$60,(E960&amp;" "&amp;F960))))&gt;0,SUMPRODUCT(('Target &amp; Team Lists'!$O$5:$O$60&lt;&gt;"")*ISNUMBER(SEARCH('Target &amp; Team Lists'!$O$5:$O$60,(E960&amp;" "&amp;F960))))=0),"Yes","No"))))</f>
        <v/>
      </c>
      <c r="Q960" s="32"/>
    </row>
    <row r="961" customFormat="false" ht="15" hidden="false" customHeight="false" outlineLevel="0" collapsed="false">
      <c r="A961" s="30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3" t="str">
        <f aca="false">IF(D961="","",IF(SUM(I961:L961)&gt;0,1,0))</f>
        <v/>
      </c>
      <c r="O961" s="34" t="str">
        <f aca="false">IF(D961="","",IF(OR(COUNTIF('Target &amp; Team Lists'!$J$5:$J$204,D961)&gt;0,AND(H961&lt;&gt;"",COUNTIF('Target &amp; Team Lists'!$L$5:$L$204,H961)&gt;0),ISNUMBER(SEARCH("alpha nodus",(E961&amp;" "&amp;F961))),ISNUMBER(SEARCH("alphanodus",(E961&amp;" "&amp;F961)))),"Yes","No"))</f>
        <v/>
      </c>
      <c r="P961" s="34" t="str">
        <f aca="false">IF(D961="","",IF(O961="Yes","No",IF(OR(AND(F961&lt;&gt;"",COUNTIF('Target &amp; Team Lists'!$A$5:$A$504,F961)&gt;0),COUNTIF('Target &amp; Team Lists'!$E$5:$E$504,D961)&gt;0),"Yes",IF(AND(SUMPRODUCT(('Target &amp; Team Lists'!$N$5:$N$60&lt;&gt;"")*ISNUMBER(SEARCH('Target &amp; Team Lists'!$N$5:$N$60,(E961&amp;" "&amp;F961))))&gt;0,SUMPRODUCT(('Target &amp; Team Lists'!$O$5:$O$60&lt;&gt;"")*ISNUMBER(SEARCH('Target &amp; Team Lists'!$O$5:$O$60,(E961&amp;" "&amp;F961))))=0),"Yes","No"))))</f>
        <v/>
      </c>
      <c r="Q961" s="32"/>
    </row>
    <row r="962" customFormat="false" ht="15" hidden="false" customHeight="false" outlineLevel="0" collapsed="false">
      <c r="A962" s="30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3" t="str">
        <f aca="false">IF(D962="","",IF(SUM(I962:L962)&gt;0,1,0))</f>
        <v/>
      </c>
      <c r="O962" s="34" t="str">
        <f aca="false">IF(D962="","",IF(OR(COUNTIF('Target &amp; Team Lists'!$J$5:$J$204,D962)&gt;0,AND(H962&lt;&gt;"",COUNTIF('Target &amp; Team Lists'!$L$5:$L$204,H962)&gt;0),ISNUMBER(SEARCH("alpha nodus",(E962&amp;" "&amp;F962))),ISNUMBER(SEARCH("alphanodus",(E962&amp;" "&amp;F962)))),"Yes","No"))</f>
        <v/>
      </c>
      <c r="P962" s="34" t="str">
        <f aca="false">IF(D962="","",IF(O962="Yes","No",IF(OR(AND(F962&lt;&gt;"",COUNTIF('Target &amp; Team Lists'!$A$5:$A$504,F962)&gt;0),COUNTIF('Target &amp; Team Lists'!$E$5:$E$504,D962)&gt;0),"Yes",IF(AND(SUMPRODUCT(('Target &amp; Team Lists'!$N$5:$N$60&lt;&gt;"")*ISNUMBER(SEARCH('Target &amp; Team Lists'!$N$5:$N$60,(E962&amp;" "&amp;F962))))&gt;0,SUMPRODUCT(('Target &amp; Team Lists'!$O$5:$O$60&lt;&gt;"")*ISNUMBER(SEARCH('Target &amp; Team Lists'!$O$5:$O$60,(E962&amp;" "&amp;F962))))=0),"Yes","No"))))</f>
        <v/>
      </c>
      <c r="Q962" s="32"/>
    </row>
    <row r="963" customFormat="false" ht="15" hidden="false" customHeight="false" outlineLevel="0" collapsed="false">
      <c r="A963" s="30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3" t="str">
        <f aca="false">IF(D963="","",IF(SUM(I963:L963)&gt;0,1,0))</f>
        <v/>
      </c>
      <c r="O963" s="34" t="str">
        <f aca="false">IF(D963="","",IF(OR(COUNTIF('Target &amp; Team Lists'!$J$5:$J$204,D963)&gt;0,AND(H963&lt;&gt;"",COUNTIF('Target &amp; Team Lists'!$L$5:$L$204,H963)&gt;0),ISNUMBER(SEARCH("alpha nodus",(E963&amp;" "&amp;F963))),ISNUMBER(SEARCH("alphanodus",(E963&amp;" "&amp;F963)))),"Yes","No"))</f>
        <v/>
      </c>
      <c r="P963" s="34" t="str">
        <f aca="false">IF(D963="","",IF(O963="Yes","No",IF(OR(AND(F963&lt;&gt;"",COUNTIF('Target &amp; Team Lists'!$A$5:$A$504,F963)&gt;0),COUNTIF('Target &amp; Team Lists'!$E$5:$E$504,D963)&gt;0),"Yes",IF(AND(SUMPRODUCT(('Target &amp; Team Lists'!$N$5:$N$60&lt;&gt;"")*ISNUMBER(SEARCH('Target &amp; Team Lists'!$N$5:$N$60,(E963&amp;" "&amp;F963))))&gt;0,SUMPRODUCT(('Target &amp; Team Lists'!$O$5:$O$60&lt;&gt;"")*ISNUMBER(SEARCH('Target &amp; Team Lists'!$O$5:$O$60,(E963&amp;" "&amp;F963))))=0),"Yes","No"))))</f>
        <v/>
      </c>
      <c r="Q963" s="32"/>
    </row>
    <row r="964" customFormat="false" ht="15" hidden="false" customHeight="false" outlineLevel="0" collapsed="false">
      <c r="A964" s="30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3" t="str">
        <f aca="false">IF(D964="","",IF(SUM(I964:L964)&gt;0,1,0))</f>
        <v/>
      </c>
      <c r="O964" s="34" t="str">
        <f aca="false">IF(D964="","",IF(OR(COUNTIF('Target &amp; Team Lists'!$J$5:$J$204,D964)&gt;0,AND(H964&lt;&gt;"",COUNTIF('Target &amp; Team Lists'!$L$5:$L$204,H964)&gt;0),ISNUMBER(SEARCH("alpha nodus",(E964&amp;" "&amp;F964))),ISNUMBER(SEARCH("alphanodus",(E964&amp;" "&amp;F964)))),"Yes","No"))</f>
        <v/>
      </c>
      <c r="P964" s="34" t="str">
        <f aca="false">IF(D964="","",IF(O964="Yes","No",IF(OR(AND(F964&lt;&gt;"",COUNTIF('Target &amp; Team Lists'!$A$5:$A$504,F964)&gt;0),COUNTIF('Target &amp; Team Lists'!$E$5:$E$504,D964)&gt;0),"Yes",IF(AND(SUMPRODUCT(('Target &amp; Team Lists'!$N$5:$N$60&lt;&gt;"")*ISNUMBER(SEARCH('Target &amp; Team Lists'!$N$5:$N$60,(E964&amp;" "&amp;F964))))&gt;0,SUMPRODUCT(('Target &amp; Team Lists'!$O$5:$O$60&lt;&gt;"")*ISNUMBER(SEARCH('Target &amp; Team Lists'!$O$5:$O$60,(E964&amp;" "&amp;F964))))=0),"Yes","No"))))</f>
        <v/>
      </c>
      <c r="Q964" s="32"/>
    </row>
    <row r="965" customFormat="false" ht="15" hidden="false" customHeight="false" outlineLevel="0" collapsed="false">
      <c r="A965" s="30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3" t="str">
        <f aca="false">IF(D965="","",IF(SUM(I965:L965)&gt;0,1,0))</f>
        <v/>
      </c>
      <c r="O965" s="34" t="str">
        <f aca="false">IF(D965="","",IF(OR(COUNTIF('Target &amp; Team Lists'!$J$5:$J$204,D965)&gt;0,AND(H965&lt;&gt;"",COUNTIF('Target &amp; Team Lists'!$L$5:$L$204,H965)&gt;0),ISNUMBER(SEARCH("alpha nodus",(E965&amp;" "&amp;F965))),ISNUMBER(SEARCH("alphanodus",(E965&amp;" "&amp;F965)))),"Yes","No"))</f>
        <v/>
      </c>
      <c r="P965" s="34" t="str">
        <f aca="false">IF(D965="","",IF(O965="Yes","No",IF(OR(AND(F965&lt;&gt;"",COUNTIF('Target &amp; Team Lists'!$A$5:$A$504,F965)&gt;0),COUNTIF('Target &amp; Team Lists'!$E$5:$E$504,D965)&gt;0),"Yes",IF(AND(SUMPRODUCT(('Target &amp; Team Lists'!$N$5:$N$60&lt;&gt;"")*ISNUMBER(SEARCH('Target &amp; Team Lists'!$N$5:$N$60,(E965&amp;" "&amp;F965))))&gt;0,SUMPRODUCT(('Target &amp; Team Lists'!$O$5:$O$60&lt;&gt;"")*ISNUMBER(SEARCH('Target &amp; Team Lists'!$O$5:$O$60,(E965&amp;" "&amp;F965))))=0),"Yes","No"))))</f>
        <v/>
      </c>
      <c r="Q965" s="32"/>
    </row>
    <row r="966" customFormat="false" ht="15" hidden="false" customHeight="false" outlineLevel="0" collapsed="false">
      <c r="A966" s="30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3" t="str">
        <f aca="false">IF(D966="","",IF(SUM(I966:L966)&gt;0,1,0))</f>
        <v/>
      </c>
      <c r="O966" s="34" t="str">
        <f aca="false">IF(D966="","",IF(OR(COUNTIF('Target &amp; Team Lists'!$J$5:$J$204,D966)&gt;0,AND(H966&lt;&gt;"",COUNTIF('Target &amp; Team Lists'!$L$5:$L$204,H966)&gt;0),ISNUMBER(SEARCH("alpha nodus",(E966&amp;" "&amp;F966))),ISNUMBER(SEARCH("alphanodus",(E966&amp;" "&amp;F966)))),"Yes","No"))</f>
        <v/>
      </c>
      <c r="P966" s="34" t="str">
        <f aca="false">IF(D966="","",IF(O966="Yes","No",IF(OR(AND(F966&lt;&gt;"",COUNTIF('Target &amp; Team Lists'!$A$5:$A$504,F966)&gt;0),COUNTIF('Target &amp; Team Lists'!$E$5:$E$504,D966)&gt;0),"Yes",IF(AND(SUMPRODUCT(('Target &amp; Team Lists'!$N$5:$N$60&lt;&gt;"")*ISNUMBER(SEARCH('Target &amp; Team Lists'!$N$5:$N$60,(E966&amp;" "&amp;F966))))&gt;0,SUMPRODUCT(('Target &amp; Team Lists'!$O$5:$O$60&lt;&gt;"")*ISNUMBER(SEARCH('Target &amp; Team Lists'!$O$5:$O$60,(E966&amp;" "&amp;F966))))=0),"Yes","No"))))</f>
        <v/>
      </c>
      <c r="Q966" s="32"/>
    </row>
    <row r="967" customFormat="false" ht="15" hidden="false" customHeight="false" outlineLevel="0" collapsed="false">
      <c r="A967" s="30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3" t="str">
        <f aca="false">IF(D967="","",IF(SUM(I967:L967)&gt;0,1,0))</f>
        <v/>
      </c>
      <c r="O967" s="34" t="str">
        <f aca="false">IF(D967="","",IF(OR(COUNTIF('Target &amp; Team Lists'!$J$5:$J$204,D967)&gt;0,AND(H967&lt;&gt;"",COUNTIF('Target &amp; Team Lists'!$L$5:$L$204,H967)&gt;0),ISNUMBER(SEARCH("alpha nodus",(E967&amp;" "&amp;F967))),ISNUMBER(SEARCH("alphanodus",(E967&amp;" "&amp;F967)))),"Yes","No"))</f>
        <v/>
      </c>
      <c r="P967" s="34" t="str">
        <f aca="false">IF(D967="","",IF(O967="Yes","No",IF(OR(AND(F967&lt;&gt;"",COUNTIF('Target &amp; Team Lists'!$A$5:$A$504,F967)&gt;0),COUNTIF('Target &amp; Team Lists'!$E$5:$E$504,D967)&gt;0),"Yes",IF(AND(SUMPRODUCT(('Target &amp; Team Lists'!$N$5:$N$60&lt;&gt;"")*ISNUMBER(SEARCH('Target &amp; Team Lists'!$N$5:$N$60,(E967&amp;" "&amp;F967))))&gt;0,SUMPRODUCT(('Target &amp; Team Lists'!$O$5:$O$60&lt;&gt;"")*ISNUMBER(SEARCH('Target &amp; Team Lists'!$O$5:$O$60,(E967&amp;" "&amp;F967))))=0),"Yes","No"))))</f>
        <v/>
      </c>
      <c r="Q967" s="32"/>
    </row>
    <row r="968" customFormat="false" ht="15" hidden="false" customHeight="false" outlineLevel="0" collapsed="false">
      <c r="A968" s="30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3" t="str">
        <f aca="false">IF(D968="","",IF(SUM(I968:L968)&gt;0,1,0))</f>
        <v/>
      </c>
      <c r="O968" s="34" t="str">
        <f aca="false">IF(D968="","",IF(OR(COUNTIF('Target &amp; Team Lists'!$J$5:$J$204,D968)&gt;0,AND(H968&lt;&gt;"",COUNTIF('Target &amp; Team Lists'!$L$5:$L$204,H968)&gt;0),ISNUMBER(SEARCH("alpha nodus",(E968&amp;" "&amp;F968))),ISNUMBER(SEARCH("alphanodus",(E968&amp;" "&amp;F968)))),"Yes","No"))</f>
        <v/>
      </c>
      <c r="P968" s="34" t="str">
        <f aca="false">IF(D968="","",IF(O968="Yes","No",IF(OR(AND(F968&lt;&gt;"",COUNTIF('Target &amp; Team Lists'!$A$5:$A$504,F968)&gt;0),COUNTIF('Target &amp; Team Lists'!$E$5:$E$504,D968)&gt;0),"Yes",IF(AND(SUMPRODUCT(('Target &amp; Team Lists'!$N$5:$N$60&lt;&gt;"")*ISNUMBER(SEARCH('Target &amp; Team Lists'!$N$5:$N$60,(E968&amp;" "&amp;F968))))&gt;0,SUMPRODUCT(('Target &amp; Team Lists'!$O$5:$O$60&lt;&gt;"")*ISNUMBER(SEARCH('Target &amp; Team Lists'!$O$5:$O$60,(E968&amp;" "&amp;F968))))=0),"Yes","No"))))</f>
        <v/>
      </c>
      <c r="Q968" s="32"/>
    </row>
    <row r="969" customFormat="false" ht="15" hidden="false" customHeight="false" outlineLevel="0" collapsed="false">
      <c r="A969" s="30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3" t="str">
        <f aca="false">IF(D969="","",IF(SUM(I969:L969)&gt;0,1,0))</f>
        <v/>
      </c>
      <c r="O969" s="34" t="str">
        <f aca="false">IF(D969="","",IF(OR(COUNTIF('Target &amp; Team Lists'!$J$5:$J$204,D969)&gt;0,AND(H969&lt;&gt;"",COUNTIF('Target &amp; Team Lists'!$L$5:$L$204,H969)&gt;0),ISNUMBER(SEARCH("alpha nodus",(E969&amp;" "&amp;F969))),ISNUMBER(SEARCH("alphanodus",(E969&amp;" "&amp;F969)))),"Yes","No"))</f>
        <v/>
      </c>
      <c r="P969" s="34" t="str">
        <f aca="false">IF(D969="","",IF(O969="Yes","No",IF(OR(AND(F969&lt;&gt;"",COUNTIF('Target &amp; Team Lists'!$A$5:$A$504,F969)&gt;0),COUNTIF('Target &amp; Team Lists'!$E$5:$E$504,D969)&gt;0),"Yes",IF(AND(SUMPRODUCT(('Target &amp; Team Lists'!$N$5:$N$60&lt;&gt;"")*ISNUMBER(SEARCH('Target &amp; Team Lists'!$N$5:$N$60,(E969&amp;" "&amp;F969))))&gt;0,SUMPRODUCT(('Target &amp; Team Lists'!$O$5:$O$60&lt;&gt;"")*ISNUMBER(SEARCH('Target &amp; Team Lists'!$O$5:$O$60,(E969&amp;" "&amp;F969))))=0),"Yes","No"))))</f>
        <v/>
      </c>
      <c r="Q969" s="32"/>
    </row>
    <row r="970" customFormat="false" ht="15" hidden="false" customHeight="false" outlineLevel="0" collapsed="false">
      <c r="A970" s="30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3" t="str">
        <f aca="false">IF(D970="","",IF(SUM(I970:L970)&gt;0,1,0))</f>
        <v/>
      </c>
      <c r="O970" s="34" t="str">
        <f aca="false">IF(D970="","",IF(OR(COUNTIF('Target &amp; Team Lists'!$J$5:$J$204,D970)&gt;0,AND(H970&lt;&gt;"",COUNTIF('Target &amp; Team Lists'!$L$5:$L$204,H970)&gt;0),ISNUMBER(SEARCH("alpha nodus",(E970&amp;" "&amp;F970))),ISNUMBER(SEARCH("alphanodus",(E970&amp;" "&amp;F970)))),"Yes","No"))</f>
        <v/>
      </c>
      <c r="P970" s="34" t="str">
        <f aca="false">IF(D970="","",IF(O970="Yes","No",IF(OR(AND(F970&lt;&gt;"",COUNTIF('Target &amp; Team Lists'!$A$5:$A$504,F970)&gt;0),COUNTIF('Target &amp; Team Lists'!$E$5:$E$504,D970)&gt;0),"Yes",IF(AND(SUMPRODUCT(('Target &amp; Team Lists'!$N$5:$N$60&lt;&gt;"")*ISNUMBER(SEARCH('Target &amp; Team Lists'!$N$5:$N$60,(E970&amp;" "&amp;F970))))&gt;0,SUMPRODUCT(('Target &amp; Team Lists'!$O$5:$O$60&lt;&gt;"")*ISNUMBER(SEARCH('Target &amp; Team Lists'!$O$5:$O$60,(E970&amp;" "&amp;F970))))=0),"Yes","No"))))</f>
        <v/>
      </c>
      <c r="Q970" s="32"/>
    </row>
    <row r="971" customFormat="false" ht="15" hidden="false" customHeight="false" outlineLevel="0" collapsed="false">
      <c r="A971" s="30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3" t="str">
        <f aca="false">IF(D971="","",IF(SUM(I971:L971)&gt;0,1,0))</f>
        <v/>
      </c>
      <c r="O971" s="34" t="str">
        <f aca="false">IF(D971="","",IF(OR(COUNTIF('Target &amp; Team Lists'!$J$5:$J$204,D971)&gt;0,AND(H971&lt;&gt;"",COUNTIF('Target &amp; Team Lists'!$L$5:$L$204,H971)&gt;0),ISNUMBER(SEARCH("alpha nodus",(E971&amp;" "&amp;F971))),ISNUMBER(SEARCH("alphanodus",(E971&amp;" "&amp;F971)))),"Yes","No"))</f>
        <v/>
      </c>
      <c r="P971" s="34" t="str">
        <f aca="false">IF(D971="","",IF(O971="Yes","No",IF(OR(AND(F971&lt;&gt;"",COUNTIF('Target &amp; Team Lists'!$A$5:$A$504,F971)&gt;0),COUNTIF('Target &amp; Team Lists'!$E$5:$E$504,D971)&gt;0),"Yes",IF(AND(SUMPRODUCT(('Target &amp; Team Lists'!$N$5:$N$60&lt;&gt;"")*ISNUMBER(SEARCH('Target &amp; Team Lists'!$N$5:$N$60,(E971&amp;" "&amp;F971))))&gt;0,SUMPRODUCT(('Target &amp; Team Lists'!$O$5:$O$60&lt;&gt;"")*ISNUMBER(SEARCH('Target &amp; Team Lists'!$O$5:$O$60,(E971&amp;" "&amp;F971))))=0),"Yes","No"))))</f>
        <v/>
      </c>
      <c r="Q971" s="32"/>
    </row>
    <row r="972" customFormat="false" ht="15" hidden="false" customHeight="false" outlineLevel="0" collapsed="false">
      <c r="A972" s="30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3" t="str">
        <f aca="false">IF(D972="","",IF(SUM(I972:L972)&gt;0,1,0))</f>
        <v/>
      </c>
      <c r="O972" s="34" t="str">
        <f aca="false">IF(D972="","",IF(OR(COUNTIF('Target &amp; Team Lists'!$J$5:$J$204,D972)&gt;0,AND(H972&lt;&gt;"",COUNTIF('Target &amp; Team Lists'!$L$5:$L$204,H972)&gt;0),ISNUMBER(SEARCH("alpha nodus",(E972&amp;" "&amp;F972))),ISNUMBER(SEARCH("alphanodus",(E972&amp;" "&amp;F972)))),"Yes","No"))</f>
        <v/>
      </c>
      <c r="P972" s="34" t="str">
        <f aca="false">IF(D972="","",IF(O972="Yes","No",IF(OR(AND(F972&lt;&gt;"",COUNTIF('Target &amp; Team Lists'!$A$5:$A$504,F972)&gt;0),COUNTIF('Target &amp; Team Lists'!$E$5:$E$504,D972)&gt;0),"Yes",IF(AND(SUMPRODUCT(('Target &amp; Team Lists'!$N$5:$N$60&lt;&gt;"")*ISNUMBER(SEARCH('Target &amp; Team Lists'!$N$5:$N$60,(E972&amp;" "&amp;F972))))&gt;0,SUMPRODUCT(('Target &amp; Team Lists'!$O$5:$O$60&lt;&gt;"")*ISNUMBER(SEARCH('Target &amp; Team Lists'!$O$5:$O$60,(E972&amp;" "&amp;F972))))=0),"Yes","No"))))</f>
        <v/>
      </c>
      <c r="Q972" s="32"/>
    </row>
    <row r="973" customFormat="false" ht="15" hidden="false" customHeight="false" outlineLevel="0" collapsed="false">
      <c r="A973" s="30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3" t="str">
        <f aca="false">IF(D973="","",IF(SUM(I973:L973)&gt;0,1,0))</f>
        <v/>
      </c>
      <c r="O973" s="34" t="str">
        <f aca="false">IF(D973="","",IF(OR(COUNTIF('Target &amp; Team Lists'!$J$5:$J$204,D973)&gt;0,AND(H973&lt;&gt;"",COUNTIF('Target &amp; Team Lists'!$L$5:$L$204,H973)&gt;0),ISNUMBER(SEARCH("alpha nodus",(E973&amp;" "&amp;F973))),ISNUMBER(SEARCH("alphanodus",(E973&amp;" "&amp;F973)))),"Yes","No"))</f>
        <v/>
      </c>
      <c r="P973" s="34" t="str">
        <f aca="false">IF(D973="","",IF(O973="Yes","No",IF(OR(AND(F973&lt;&gt;"",COUNTIF('Target &amp; Team Lists'!$A$5:$A$504,F973)&gt;0),COUNTIF('Target &amp; Team Lists'!$E$5:$E$504,D973)&gt;0),"Yes",IF(AND(SUMPRODUCT(('Target &amp; Team Lists'!$N$5:$N$60&lt;&gt;"")*ISNUMBER(SEARCH('Target &amp; Team Lists'!$N$5:$N$60,(E973&amp;" "&amp;F973))))&gt;0,SUMPRODUCT(('Target &amp; Team Lists'!$O$5:$O$60&lt;&gt;"")*ISNUMBER(SEARCH('Target &amp; Team Lists'!$O$5:$O$60,(E973&amp;" "&amp;F973))))=0),"Yes","No"))))</f>
        <v/>
      </c>
      <c r="Q973" s="32"/>
    </row>
    <row r="974" customFormat="false" ht="15" hidden="false" customHeight="false" outlineLevel="0" collapsed="false">
      <c r="A974" s="30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3" t="str">
        <f aca="false">IF(D974="","",IF(SUM(I974:L974)&gt;0,1,0))</f>
        <v/>
      </c>
      <c r="O974" s="34" t="str">
        <f aca="false">IF(D974="","",IF(OR(COUNTIF('Target &amp; Team Lists'!$J$5:$J$204,D974)&gt;0,AND(H974&lt;&gt;"",COUNTIF('Target &amp; Team Lists'!$L$5:$L$204,H974)&gt;0),ISNUMBER(SEARCH("alpha nodus",(E974&amp;" "&amp;F974))),ISNUMBER(SEARCH("alphanodus",(E974&amp;" "&amp;F974)))),"Yes","No"))</f>
        <v/>
      </c>
      <c r="P974" s="34" t="str">
        <f aca="false">IF(D974="","",IF(O974="Yes","No",IF(OR(AND(F974&lt;&gt;"",COUNTIF('Target &amp; Team Lists'!$A$5:$A$504,F974)&gt;0),COUNTIF('Target &amp; Team Lists'!$E$5:$E$504,D974)&gt;0),"Yes",IF(AND(SUMPRODUCT(('Target &amp; Team Lists'!$N$5:$N$60&lt;&gt;"")*ISNUMBER(SEARCH('Target &amp; Team Lists'!$N$5:$N$60,(E974&amp;" "&amp;F974))))&gt;0,SUMPRODUCT(('Target &amp; Team Lists'!$O$5:$O$60&lt;&gt;"")*ISNUMBER(SEARCH('Target &amp; Team Lists'!$O$5:$O$60,(E974&amp;" "&amp;F974))))=0),"Yes","No"))))</f>
        <v/>
      </c>
      <c r="Q974" s="32"/>
    </row>
    <row r="975" customFormat="false" ht="15" hidden="false" customHeight="false" outlineLevel="0" collapsed="false">
      <c r="A975" s="30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3" t="str">
        <f aca="false">IF(D975="","",IF(SUM(I975:L975)&gt;0,1,0))</f>
        <v/>
      </c>
      <c r="O975" s="34" t="str">
        <f aca="false">IF(D975="","",IF(OR(COUNTIF('Target &amp; Team Lists'!$J$5:$J$204,D975)&gt;0,AND(H975&lt;&gt;"",COUNTIF('Target &amp; Team Lists'!$L$5:$L$204,H975)&gt;0),ISNUMBER(SEARCH("alpha nodus",(E975&amp;" "&amp;F975))),ISNUMBER(SEARCH("alphanodus",(E975&amp;" "&amp;F975)))),"Yes","No"))</f>
        <v/>
      </c>
      <c r="P975" s="34" t="str">
        <f aca="false">IF(D975="","",IF(O975="Yes","No",IF(OR(AND(F975&lt;&gt;"",COUNTIF('Target &amp; Team Lists'!$A$5:$A$504,F975)&gt;0),COUNTIF('Target &amp; Team Lists'!$E$5:$E$504,D975)&gt;0),"Yes",IF(AND(SUMPRODUCT(('Target &amp; Team Lists'!$N$5:$N$60&lt;&gt;"")*ISNUMBER(SEARCH('Target &amp; Team Lists'!$N$5:$N$60,(E975&amp;" "&amp;F975))))&gt;0,SUMPRODUCT(('Target &amp; Team Lists'!$O$5:$O$60&lt;&gt;"")*ISNUMBER(SEARCH('Target &amp; Team Lists'!$O$5:$O$60,(E975&amp;" "&amp;F975))))=0),"Yes","No"))))</f>
        <v/>
      </c>
      <c r="Q975" s="32"/>
    </row>
    <row r="976" customFormat="false" ht="15" hidden="false" customHeight="false" outlineLevel="0" collapsed="false">
      <c r="A976" s="30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3" t="str">
        <f aca="false">IF(D976="","",IF(SUM(I976:L976)&gt;0,1,0))</f>
        <v/>
      </c>
      <c r="O976" s="34" t="str">
        <f aca="false">IF(D976="","",IF(OR(COUNTIF('Target &amp; Team Lists'!$J$5:$J$204,D976)&gt;0,AND(H976&lt;&gt;"",COUNTIF('Target &amp; Team Lists'!$L$5:$L$204,H976)&gt;0),ISNUMBER(SEARCH("alpha nodus",(E976&amp;" "&amp;F976))),ISNUMBER(SEARCH("alphanodus",(E976&amp;" "&amp;F976)))),"Yes","No"))</f>
        <v/>
      </c>
      <c r="P976" s="34" t="str">
        <f aca="false">IF(D976="","",IF(O976="Yes","No",IF(OR(AND(F976&lt;&gt;"",COUNTIF('Target &amp; Team Lists'!$A$5:$A$504,F976)&gt;0),COUNTIF('Target &amp; Team Lists'!$E$5:$E$504,D976)&gt;0),"Yes",IF(AND(SUMPRODUCT(('Target &amp; Team Lists'!$N$5:$N$60&lt;&gt;"")*ISNUMBER(SEARCH('Target &amp; Team Lists'!$N$5:$N$60,(E976&amp;" "&amp;F976))))&gt;0,SUMPRODUCT(('Target &amp; Team Lists'!$O$5:$O$60&lt;&gt;"")*ISNUMBER(SEARCH('Target &amp; Team Lists'!$O$5:$O$60,(E976&amp;" "&amp;F976))))=0),"Yes","No"))))</f>
        <v/>
      </c>
      <c r="Q976" s="32"/>
    </row>
    <row r="977" customFormat="false" ht="15" hidden="false" customHeight="false" outlineLevel="0" collapsed="false">
      <c r="A977" s="30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3" t="str">
        <f aca="false">IF(D977="","",IF(SUM(I977:L977)&gt;0,1,0))</f>
        <v/>
      </c>
      <c r="O977" s="34" t="str">
        <f aca="false">IF(D977="","",IF(OR(COUNTIF('Target &amp; Team Lists'!$J$5:$J$204,D977)&gt;0,AND(H977&lt;&gt;"",COUNTIF('Target &amp; Team Lists'!$L$5:$L$204,H977)&gt;0),ISNUMBER(SEARCH("alpha nodus",(E977&amp;" "&amp;F977))),ISNUMBER(SEARCH("alphanodus",(E977&amp;" "&amp;F977)))),"Yes","No"))</f>
        <v/>
      </c>
      <c r="P977" s="34" t="str">
        <f aca="false">IF(D977="","",IF(O977="Yes","No",IF(OR(AND(F977&lt;&gt;"",COUNTIF('Target &amp; Team Lists'!$A$5:$A$504,F977)&gt;0),COUNTIF('Target &amp; Team Lists'!$E$5:$E$504,D977)&gt;0),"Yes",IF(AND(SUMPRODUCT(('Target &amp; Team Lists'!$N$5:$N$60&lt;&gt;"")*ISNUMBER(SEARCH('Target &amp; Team Lists'!$N$5:$N$60,(E977&amp;" "&amp;F977))))&gt;0,SUMPRODUCT(('Target &amp; Team Lists'!$O$5:$O$60&lt;&gt;"")*ISNUMBER(SEARCH('Target &amp; Team Lists'!$O$5:$O$60,(E977&amp;" "&amp;F977))))=0),"Yes","No"))))</f>
        <v/>
      </c>
      <c r="Q977" s="32"/>
    </row>
    <row r="978" customFormat="false" ht="15" hidden="false" customHeight="false" outlineLevel="0" collapsed="false">
      <c r="A978" s="30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3" t="str">
        <f aca="false">IF(D978="","",IF(SUM(I978:L978)&gt;0,1,0))</f>
        <v/>
      </c>
      <c r="O978" s="34" t="str">
        <f aca="false">IF(D978="","",IF(OR(COUNTIF('Target &amp; Team Lists'!$J$5:$J$204,D978)&gt;0,AND(H978&lt;&gt;"",COUNTIF('Target &amp; Team Lists'!$L$5:$L$204,H978)&gt;0),ISNUMBER(SEARCH("alpha nodus",(E978&amp;" "&amp;F978))),ISNUMBER(SEARCH("alphanodus",(E978&amp;" "&amp;F978)))),"Yes","No"))</f>
        <v/>
      </c>
      <c r="P978" s="34" t="str">
        <f aca="false">IF(D978="","",IF(O978="Yes","No",IF(OR(AND(F978&lt;&gt;"",COUNTIF('Target &amp; Team Lists'!$A$5:$A$504,F978)&gt;0),COUNTIF('Target &amp; Team Lists'!$E$5:$E$504,D978)&gt;0),"Yes",IF(AND(SUMPRODUCT(('Target &amp; Team Lists'!$N$5:$N$60&lt;&gt;"")*ISNUMBER(SEARCH('Target &amp; Team Lists'!$N$5:$N$60,(E978&amp;" "&amp;F978))))&gt;0,SUMPRODUCT(('Target &amp; Team Lists'!$O$5:$O$60&lt;&gt;"")*ISNUMBER(SEARCH('Target &amp; Team Lists'!$O$5:$O$60,(E978&amp;" "&amp;F978))))=0),"Yes","No"))))</f>
        <v/>
      </c>
      <c r="Q978" s="32"/>
    </row>
    <row r="979" customFormat="false" ht="15" hidden="false" customHeight="false" outlineLevel="0" collapsed="false">
      <c r="A979" s="30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3" t="str">
        <f aca="false">IF(D979="","",IF(SUM(I979:L979)&gt;0,1,0))</f>
        <v/>
      </c>
      <c r="O979" s="34" t="str">
        <f aca="false">IF(D979="","",IF(OR(COUNTIF('Target &amp; Team Lists'!$J$5:$J$204,D979)&gt;0,AND(H979&lt;&gt;"",COUNTIF('Target &amp; Team Lists'!$L$5:$L$204,H979)&gt;0),ISNUMBER(SEARCH("alpha nodus",(E979&amp;" "&amp;F979))),ISNUMBER(SEARCH("alphanodus",(E979&amp;" "&amp;F979)))),"Yes","No"))</f>
        <v/>
      </c>
      <c r="P979" s="34" t="str">
        <f aca="false">IF(D979="","",IF(O979="Yes","No",IF(OR(AND(F979&lt;&gt;"",COUNTIF('Target &amp; Team Lists'!$A$5:$A$504,F979)&gt;0),COUNTIF('Target &amp; Team Lists'!$E$5:$E$504,D979)&gt;0),"Yes",IF(AND(SUMPRODUCT(('Target &amp; Team Lists'!$N$5:$N$60&lt;&gt;"")*ISNUMBER(SEARCH('Target &amp; Team Lists'!$N$5:$N$60,(E979&amp;" "&amp;F979))))&gt;0,SUMPRODUCT(('Target &amp; Team Lists'!$O$5:$O$60&lt;&gt;"")*ISNUMBER(SEARCH('Target &amp; Team Lists'!$O$5:$O$60,(E979&amp;" "&amp;F979))))=0),"Yes","No"))))</f>
        <v/>
      </c>
      <c r="Q979" s="32"/>
    </row>
    <row r="980" customFormat="false" ht="15" hidden="false" customHeight="false" outlineLevel="0" collapsed="false">
      <c r="A980" s="30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3" t="str">
        <f aca="false">IF(D980="","",IF(SUM(I980:L980)&gt;0,1,0))</f>
        <v/>
      </c>
      <c r="O980" s="34" t="str">
        <f aca="false">IF(D980="","",IF(OR(COUNTIF('Target &amp; Team Lists'!$J$5:$J$204,D980)&gt;0,AND(H980&lt;&gt;"",COUNTIF('Target &amp; Team Lists'!$L$5:$L$204,H980)&gt;0),ISNUMBER(SEARCH("alpha nodus",(E980&amp;" "&amp;F980))),ISNUMBER(SEARCH("alphanodus",(E980&amp;" "&amp;F980)))),"Yes","No"))</f>
        <v/>
      </c>
      <c r="P980" s="34" t="str">
        <f aca="false">IF(D980="","",IF(O980="Yes","No",IF(OR(AND(F980&lt;&gt;"",COUNTIF('Target &amp; Team Lists'!$A$5:$A$504,F980)&gt;0),COUNTIF('Target &amp; Team Lists'!$E$5:$E$504,D980)&gt;0),"Yes",IF(AND(SUMPRODUCT(('Target &amp; Team Lists'!$N$5:$N$60&lt;&gt;"")*ISNUMBER(SEARCH('Target &amp; Team Lists'!$N$5:$N$60,(E980&amp;" "&amp;F980))))&gt;0,SUMPRODUCT(('Target &amp; Team Lists'!$O$5:$O$60&lt;&gt;"")*ISNUMBER(SEARCH('Target &amp; Team Lists'!$O$5:$O$60,(E980&amp;" "&amp;F980))))=0),"Yes","No"))))</f>
        <v/>
      </c>
      <c r="Q980" s="32"/>
    </row>
    <row r="981" customFormat="false" ht="15" hidden="false" customHeight="false" outlineLevel="0" collapsed="false">
      <c r="A981" s="30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3" t="str">
        <f aca="false">IF(D981="","",IF(SUM(I981:L981)&gt;0,1,0))</f>
        <v/>
      </c>
      <c r="O981" s="34" t="str">
        <f aca="false">IF(D981="","",IF(OR(COUNTIF('Target &amp; Team Lists'!$J$5:$J$204,D981)&gt;0,AND(H981&lt;&gt;"",COUNTIF('Target &amp; Team Lists'!$L$5:$L$204,H981)&gt;0),ISNUMBER(SEARCH("alpha nodus",(E981&amp;" "&amp;F981))),ISNUMBER(SEARCH("alphanodus",(E981&amp;" "&amp;F981)))),"Yes","No"))</f>
        <v/>
      </c>
      <c r="P981" s="34" t="str">
        <f aca="false">IF(D981="","",IF(O981="Yes","No",IF(OR(AND(F981&lt;&gt;"",COUNTIF('Target &amp; Team Lists'!$A$5:$A$504,F981)&gt;0),COUNTIF('Target &amp; Team Lists'!$E$5:$E$504,D981)&gt;0),"Yes",IF(AND(SUMPRODUCT(('Target &amp; Team Lists'!$N$5:$N$60&lt;&gt;"")*ISNUMBER(SEARCH('Target &amp; Team Lists'!$N$5:$N$60,(E981&amp;" "&amp;F981))))&gt;0,SUMPRODUCT(('Target &amp; Team Lists'!$O$5:$O$60&lt;&gt;"")*ISNUMBER(SEARCH('Target &amp; Team Lists'!$O$5:$O$60,(E981&amp;" "&amp;F981))))=0),"Yes","No"))))</f>
        <v/>
      </c>
      <c r="Q981" s="32"/>
    </row>
    <row r="982" customFormat="false" ht="15" hidden="false" customHeight="false" outlineLevel="0" collapsed="false">
      <c r="A982" s="30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3" t="str">
        <f aca="false">IF(D982="","",IF(SUM(I982:L982)&gt;0,1,0))</f>
        <v/>
      </c>
      <c r="O982" s="34" t="str">
        <f aca="false">IF(D982="","",IF(OR(COUNTIF('Target &amp; Team Lists'!$J$5:$J$204,D982)&gt;0,AND(H982&lt;&gt;"",COUNTIF('Target &amp; Team Lists'!$L$5:$L$204,H982)&gt;0),ISNUMBER(SEARCH("alpha nodus",(E982&amp;" "&amp;F982))),ISNUMBER(SEARCH("alphanodus",(E982&amp;" "&amp;F982)))),"Yes","No"))</f>
        <v/>
      </c>
      <c r="P982" s="34" t="str">
        <f aca="false">IF(D982="","",IF(O982="Yes","No",IF(OR(AND(F982&lt;&gt;"",COUNTIF('Target &amp; Team Lists'!$A$5:$A$504,F982)&gt;0),COUNTIF('Target &amp; Team Lists'!$E$5:$E$504,D982)&gt;0),"Yes",IF(AND(SUMPRODUCT(('Target &amp; Team Lists'!$N$5:$N$60&lt;&gt;"")*ISNUMBER(SEARCH('Target &amp; Team Lists'!$N$5:$N$60,(E982&amp;" "&amp;F982))))&gt;0,SUMPRODUCT(('Target &amp; Team Lists'!$O$5:$O$60&lt;&gt;"")*ISNUMBER(SEARCH('Target &amp; Team Lists'!$O$5:$O$60,(E982&amp;" "&amp;F982))))=0),"Yes","No"))))</f>
        <v/>
      </c>
      <c r="Q982" s="32"/>
    </row>
    <row r="983" customFormat="false" ht="15" hidden="false" customHeight="false" outlineLevel="0" collapsed="false">
      <c r="A983" s="30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3" t="str">
        <f aca="false">IF(D983="","",IF(SUM(I983:L983)&gt;0,1,0))</f>
        <v/>
      </c>
      <c r="O983" s="34" t="str">
        <f aca="false">IF(D983="","",IF(OR(COUNTIF('Target &amp; Team Lists'!$J$5:$J$204,D983)&gt;0,AND(H983&lt;&gt;"",COUNTIF('Target &amp; Team Lists'!$L$5:$L$204,H983)&gt;0),ISNUMBER(SEARCH("alpha nodus",(E983&amp;" "&amp;F983))),ISNUMBER(SEARCH("alphanodus",(E983&amp;" "&amp;F983)))),"Yes","No"))</f>
        <v/>
      </c>
      <c r="P983" s="34" t="str">
        <f aca="false">IF(D983="","",IF(O983="Yes","No",IF(OR(AND(F983&lt;&gt;"",COUNTIF('Target &amp; Team Lists'!$A$5:$A$504,F983)&gt;0),COUNTIF('Target &amp; Team Lists'!$E$5:$E$504,D983)&gt;0),"Yes",IF(AND(SUMPRODUCT(('Target &amp; Team Lists'!$N$5:$N$60&lt;&gt;"")*ISNUMBER(SEARCH('Target &amp; Team Lists'!$N$5:$N$60,(E983&amp;" "&amp;F983))))&gt;0,SUMPRODUCT(('Target &amp; Team Lists'!$O$5:$O$60&lt;&gt;"")*ISNUMBER(SEARCH('Target &amp; Team Lists'!$O$5:$O$60,(E983&amp;" "&amp;F983))))=0),"Yes","No"))))</f>
        <v/>
      </c>
      <c r="Q983" s="32"/>
    </row>
    <row r="984" customFormat="false" ht="15" hidden="false" customHeight="false" outlineLevel="0" collapsed="false">
      <c r="A984" s="30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3" t="str">
        <f aca="false">IF(D984="","",IF(SUM(I984:L984)&gt;0,1,0))</f>
        <v/>
      </c>
      <c r="O984" s="34" t="str">
        <f aca="false">IF(D984="","",IF(OR(COUNTIF('Target &amp; Team Lists'!$J$5:$J$204,D984)&gt;0,AND(H984&lt;&gt;"",COUNTIF('Target &amp; Team Lists'!$L$5:$L$204,H984)&gt;0),ISNUMBER(SEARCH("alpha nodus",(E984&amp;" "&amp;F984))),ISNUMBER(SEARCH("alphanodus",(E984&amp;" "&amp;F984)))),"Yes","No"))</f>
        <v/>
      </c>
      <c r="P984" s="34" t="str">
        <f aca="false">IF(D984="","",IF(O984="Yes","No",IF(OR(AND(F984&lt;&gt;"",COUNTIF('Target &amp; Team Lists'!$A$5:$A$504,F984)&gt;0),COUNTIF('Target &amp; Team Lists'!$E$5:$E$504,D984)&gt;0),"Yes",IF(AND(SUMPRODUCT(('Target &amp; Team Lists'!$N$5:$N$60&lt;&gt;"")*ISNUMBER(SEARCH('Target &amp; Team Lists'!$N$5:$N$60,(E984&amp;" "&amp;F984))))&gt;0,SUMPRODUCT(('Target &amp; Team Lists'!$O$5:$O$60&lt;&gt;"")*ISNUMBER(SEARCH('Target &amp; Team Lists'!$O$5:$O$60,(E984&amp;" "&amp;F984))))=0),"Yes","No"))))</f>
        <v/>
      </c>
      <c r="Q984" s="32"/>
    </row>
    <row r="985" customFormat="false" ht="15" hidden="false" customHeight="false" outlineLevel="0" collapsed="false">
      <c r="A985" s="30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3" t="str">
        <f aca="false">IF(D985="","",IF(SUM(I985:L985)&gt;0,1,0))</f>
        <v/>
      </c>
      <c r="O985" s="34" t="str">
        <f aca="false">IF(D985="","",IF(OR(COUNTIF('Target &amp; Team Lists'!$J$5:$J$204,D985)&gt;0,AND(H985&lt;&gt;"",COUNTIF('Target &amp; Team Lists'!$L$5:$L$204,H985)&gt;0),ISNUMBER(SEARCH("alpha nodus",(E985&amp;" "&amp;F985))),ISNUMBER(SEARCH("alphanodus",(E985&amp;" "&amp;F985)))),"Yes","No"))</f>
        <v/>
      </c>
      <c r="P985" s="34" t="str">
        <f aca="false">IF(D985="","",IF(O985="Yes","No",IF(OR(AND(F985&lt;&gt;"",COUNTIF('Target &amp; Team Lists'!$A$5:$A$504,F985)&gt;0),COUNTIF('Target &amp; Team Lists'!$E$5:$E$504,D985)&gt;0),"Yes",IF(AND(SUMPRODUCT(('Target &amp; Team Lists'!$N$5:$N$60&lt;&gt;"")*ISNUMBER(SEARCH('Target &amp; Team Lists'!$N$5:$N$60,(E985&amp;" "&amp;F985))))&gt;0,SUMPRODUCT(('Target &amp; Team Lists'!$O$5:$O$60&lt;&gt;"")*ISNUMBER(SEARCH('Target &amp; Team Lists'!$O$5:$O$60,(E985&amp;" "&amp;F985))))=0),"Yes","No"))))</f>
        <v/>
      </c>
      <c r="Q985" s="32"/>
    </row>
    <row r="986" customFormat="false" ht="15" hidden="false" customHeight="false" outlineLevel="0" collapsed="false">
      <c r="A986" s="30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3" t="str">
        <f aca="false">IF(D986="","",IF(SUM(I986:L986)&gt;0,1,0))</f>
        <v/>
      </c>
      <c r="O986" s="34" t="str">
        <f aca="false">IF(D986="","",IF(OR(COUNTIF('Target &amp; Team Lists'!$J$5:$J$204,D986)&gt;0,AND(H986&lt;&gt;"",COUNTIF('Target &amp; Team Lists'!$L$5:$L$204,H986)&gt;0),ISNUMBER(SEARCH("alpha nodus",(E986&amp;" "&amp;F986))),ISNUMBER(SEARCH("alphanodus",(E986&amp;" "&amp;F986)))),"Yes","No"))</f>
        <v/>
      </c>
      <c r="P986" s="34" t="str">
        <f aca="false">IF(D986="","",IF(O986="Yes","No",IF(OR(AND(F986&lt;&gt;"",COUNTIF('Target &amp; Team Lists'!$A$5:$A$504,F986)&gt;0),COUNTIF('Target &amp; Team Lists'!$E$5:$E$504,D986)&gt;0),"Yes",IF(AND(SUMPRODUCT(('Target &amp; Team Lists'!$N$5:$N$60&lt;&gt;"")*ISNUMBER(SEARCH('Target &amp; Team Lists'!$N$5:$N$60,(E986&amp;" "&amp;F986))))&gt;0,SUMPRODUCT(('Target &amp; Team Lists'!$O$5:$O$60&lt;&gt;"")*ISNUMBER(SEARCH('Target &amp; Team Lists'!$O$5:$O$60,(E986&amp;" "&amp;F986))))=0),"Yes","No"))))</f>
        <v/>
      </c>
      <c r="Q986" s="32"/>
    </row>
    <row r="987" customFormat="false" ht="15" hidden="false" customHeight="false" outlineLevel="0" collapsed="false">
      <c r="A987" s="30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3" t="str">
        <f aca="false">IF(D987="","",IF(SUM(I987:L987)&gt;0,1,0))</f>
        <v/>
      </c>
      <c r="O987" s="34" t="str">
        <f aca="false">IF(D987="","",IF(OR(COUNTIF('Target &amp; Team Lists'!$J$5:$J$204,D987)&gt;0,AND(H987&lt;&gt;"",COUNTIF('Target &amp; Team Lists'!$L$5:$L$204,H987)&gt;0),ISNUMBER(SEARCH("alpha nodus",(E987&amp;" "&amp;F987))),ISNUMBER(SEARCH("alphanodus",(E987&amp;" "&amp;F987)))),"Yes","No"))</f>
        <v/>
      </c>
      <c r="P987" s="34" t="str">
        <f aca="false">IF(D987="","",IF(O987="Yes","No",IF(OR(AND(F987&lt;&gt;"",COUNTIF('Target &amp; Team Lists'!$A$5:$A$504,F987)&gt;0),COUNTIF('Target &amp; Team Lists'!$E$5:$E$504,D987)&gt;0),"Yes",IF(AND(SUMPRODUCT(('Target &amp; Team Lists'!$N$5:$N$60&lt;&gt;"")*ISNUMBER(SEARCH('Target &amp; Team Lists'!$N$5:$N$60,(E987&amp;" "&amp;F987))))&gt;0,SUMPRODUCT(('Target &amp; Team Lists'!$O$5:$O$60&lt;&gt;"")*ISNUMBER(SEARCH('Target &amp; Team Lists'!$O$5:$O$60,(E987&amp;" "&amp;F987))))=0),"Yes","No"))))</f>
        <v/>
      </c>
      <c r="Q987" s="32"/>
    </row>
    <row r="988" customFormat="false" ht="15" hidden="false" customHeight="false" outlineLevel="0" collapsed="false">
      <c r="A988" s="30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3" t="str">
        <f aca="false">IF(D988="","",IF(SUM(I988:L988)&gt;0,1,0))</f>
        <v/>
      </c>
      <c r="O988" s="34" t="str">
        <f aca="false">IF(D988="","",IF(OR(COUNTIF('Target &amp; Team Lists'!$J$5:$J$204,D988)&gt;0,AND(H988&lt;&gt;"",COUNTIF('Target &amp; Team Lists'!$L$5:$L$204,H988)&gt;0),ISNUMBER(SEARCH("alpha nodus",(E988&amp;" "&amp;F988))),ISNUMBER(SEARCH("alphanodus",(E988&amp;" "&amp;F988)))),"Yes","No"))</f>
        <v/>
      </c>
      <c r="P988" s="34" t="str">
        <f aca="false">IF(D988="","",IF(O988="Yes","No",IF(OR(AND(F988&lt;&gt;"",COUNTIF('Target &amp; Team Lists'!$A$5:$A$504,F988)&gt;0),COUNTIF('Target &amp; Team Lists'!$E$5:$E$504,D988)&gt;0),"Yes",IF(AND(SUMPRODUCT(('Target &amp; Team Lists'!$N$5:$N$60&lt;&gt;"")*ISNUMBER(SEARCH('Target &amp; Team Lists'!$N$5:$N$60,(E988&amp;" "&amp;F988))))&gt;0,SUMPRODUCT(('Target &amp; Team Lists'!$O$5:$O$60&lt;&gt;"")*ISNUMBER(SEARCH('Target &amp; Team Lists'!$O$5:$O$60,(E988&amp;" "&amp;F988))))=0),"Yes","No"))))</f>
        <v/>
      </c>
      <c r="Q988" s="32"/>
    </row>
    <row r="989" customFormat="false" ht="15" hidden="false" customHeight="false" outlineLevel="0" collapsed="false">
      <c r="A989" s="30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3" t="str">
        <f aca="false">IF(D989="","",IF(SUM(I989:L989)&gt;0,1,0))</f>
        <v/>
      </c>
      <c r="O989" s="34" t="str">
        <f aca="false">IF(D989="","",IF(OR(COUNTIF('Target &amp; Team Lists'!$J$5:$J$204,D989)&gt;0,AND(H989&lt;&gt;"",COUNTIF('Target &amp; Team Lists'!$L$5:$L$204,H989)&gt;0),ISNUMBER(SEARCH("alpha nodus",(E989&amp;" "&amp;F989))),ISNUMBER(SEARCH("alphanodus",(E989&amp;" "&amp;F989)))),"Yes","No"))</f>
        <v/>
      </c>
      <c r="P989" s="34" t="str">
        <f aca="false">IF(D989="","",IF(O989="Yes","No",IF(OR(AND(F989&lt;&gt;"",COUNTIF('Target &amp; Team Lists'!$A$5:$A$504,F989)&gt;0),COUNTIF('Target &amp; Team Lists'!$E$5:$E$504,D989)&gt;0),"Yes",IF(AND(SUMPRODUCT(('Target &amp; Team Lists'!$N$5:$N$60&lt;&gt;"")*ISNUMBER(SEARCH('Target &amp; Team Lists'!$N$5:$N$60,(E989&amp;" "&amp;F989))))&gt;0,SUMPRODUCT(('Target &amp; Team Lists'!$O$5:$O$60&lt;&gt;"")*ISNUMBER(SEARCH('Target &amp; Team Lists'!$O$5:$O$60,(E989&amp;" "&amp;F989))))=0),"Yes","No"))))</f>
        <v/>
      </c>
      <c r="Q989" s="32"/>
    </row>
    <row r="990" customFormat="false" ht="15" hidden="false" customHeight="false" outlineLevel="0" collapsed="false">
      <c r="A990" s="30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3" t="str">
        <f aca="false">IF(D990="","",IF(SUM(I990:L990)&gt;0,1,0))</f>
        <v/>
      </c>
      <c r="O990" s="34" t="str">
        <f aca="false">IF(D990="","",IF(OR(COUNTIF('Target &amp; Team Lists'!$J$5:$J$204,D990)&gt;0,AND(H990&lt;&gt;"",COUNTIF('Target &amp; Team Lists'!$L$5:$L$204,H990)&gt;0),ISNUMBER(SEARCH("alpha nodus",(E990&amp;" "&amp;F990))),ISNUMBER(SEARCH("alphanodus",(E990&amp;" "&amp;F990)))),"Yes","No"))</f>
        <v/>
      </c>
      <c r="P990" s="34" t="str">
        <f aca="false">IF(D990="","",IF(O990="Yes","No",IF(OR(AND(F990&lt;&gt;"",COUNTIF('Target &amp; Team Lists'!$A$5:$A$504,F990)&gt;0),COUNTIF('Target &amp; Team Lists'!$E$5:$E$504,D990)&gt;0),"Yes",IF(AND(SUMPRODUCT(('Target &amp; Team Lists'!$N$5:$N$60&lt;&gt;"")*ISNUMBER(SEARCH('Target &amp; Team Lists'!$N$5:$N$60,(E990&amp;" "&amp;F990))))&gt;0,SUMPRODUCT(('Target &amp; Team Lists'!$O$5:$O$60&lt;&gt;"")*ISNUMBER(SEARCH('Target &amp; Team Lists'!$O$5:$O$60,(E990&amp;" "&amp;F990))))=0),"Yes","No"))))</f>
        <v/>
      </c>
      <c r="Q990" s="32"/>
    </row>
    <row r="991" customFormat="false" ht="15" hidden="false" customHeight="false" outlineLevel="0" collapsed="false">
      <c r="A991" s="30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3" t="str">
        <f aca="false">IF(D991="","",IF(SUM(I991:L991)&gt;0,1,0))</f>
        <v/>
      </c>
      <c r="O991" s="34" t="str">
        <f aca="false">IF(D991="","",IF(OR(COUNTIF('Target &amp; Team Lists'!$J$5:$J$204,D991)&gt;0,AND(H991&lt;&gt;"",COUNTIF('Target &amp; Team Lists'!$L$5:$L$204,H991)&gt;0),ISNUMBER(SEARCH("alpha nodus",(E991&amp;" "&amp;F991))),ISNUMBER(SEARCH("alphanodus",(E991&amp;" "&amp;F991)))),"Yes","No"))</f>
        <v/>
      </c>
      <c r="P991" s="34" t="str">
        <f aca="false">IF(D991="","",IF(O991="Yes","No",IF(OR(AND(F991&lt;&gt;"",COUNTIF('Target &amp; Team Lists'!$A$5:$A$504,F991)&gt;0),COUNTIF('Target &amp; Team Lists'!$E$5:$E$504,D991)&gt;0),"Yes",IF(AND(SUMPRODUCT(('Target &amp; Team Lists'!$N$5:$N$60&lt;&gt;"")*ISNUMBER(SEARCH('Target &amp; Team Lists'!$N$5:$N$60,(E991&amp;" "&amp;F991))))&gt;0,SUMPRODUCT(('Target &amp; Team Lists'!$O$5:$O$60&lt;&gt;"")*ISNUMBER(SEARCH('Target &amp; Team Lists'!$O$5:$O$60,(E991&amp;" "&amp;F991))))=0),"Yes","No"))))</f>
        <v/>
      </c>
      <c r="Q991" s="32"/>
    </row>
    <row r="992" customFormat="false" ht="15" hidden="false" customHeight="false" outlineLevel="0" collapsed="false">
      <c r="A992" s="30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3" t="str">
        <f aca="false">IF(D992="","",IF(SUM(I992:L992)&gt;0,1,0))</f>
        <v/>
      </c>
      <c r="O992" s="34" t="str">
        <f aca="false">IF(D992="","",IF(OR(COUNTIF('Target &amp; Team Lists'!$J$5:$J$204,D992)&gt;0,AND(H992&lt;&gt;"",COUNTIF('Target &amp; Team Lists'!$L$5:$L$204,H992)&gt;0),ISNUMBER(SEARCH("alpha nodus",(E992&amp;" "&amp;F992))),ISNUMBER(SEARCH("alphanodus",(E992&amp;" "&amp;F992)))),"Yes","No"))</f>
        <v/>
      </c>
      <c r="P992" s="34" t="str">
        <f aca="false">IF(D992="","",IF(O992="Yes","No",IF(OR(AND(F992&lt;&gt;"",COUNTIF('Target &amp; Team Lists'!$A$5:$A$504,F992)&gt;0),COUNTIF('Target &amp; Team Lists'!$E$5:$E$504,D992)&gt;0),"Yes",IF(AND(SUMPRODUCT(('Target &amp; Team Lists'!$N$5:$N$60&lt;&gt;"")*ISNUMBER(SEARCH('Target &amp; Team Lists'!$N$5:$N$60,(E992&amp;" "&amp;F992))))&gt;0,SUMPRODUCT(('Target &amp; Team Lists'!$O$5:$O$60&lt;&gt;"")*ISNUMBER(SEARCH('Target &amp; Team Lists'!$O$5:$O$60,(E992&amp;" "&amp;F992))))=0),"Yes","No"))))</f>
        <v/>
      </c>
      <c r="Q992" s="32"/>
    </row>
    <row r="993" customFormat="false" ht="15" hidden="false" customHeight="false" outlineLevel="0" collapsed="false">
      <c r="A993" s="30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3" t="str">
        <f aca="false">IF(D993="","",IF(SUM(I993:L993)&gt;0,1,0))</f>
        <v/>
      </c>
      <c r="O993" s="34" t="str">
        <f aca="false">IF(D993="","",IF(OR(COUNTIF('Target &amp; Team Lists'!$J$5:$J$204,D993)&gt;0,AND(H993&lt;&gt;"",COUNTIF('Target &amp; Team Lists'!$L$5:$L$204,H993)&gt;0),ISNUMBER(SEARCH("alpha nodus",(E993&amp;" "&amp;F993))),ISNUMBER(SEARCH("alphanodus",(E993&amp;" "&amp;F993)))),"Yes","No"))</f>
        <v/>
      </c>
      <c r="P993" s="34" t="str">
        <f aca="false">IF(D993="","",IF(O993="Yes","No",IF(OR(AND(F993&lt;&gt;"",COUNTIF('Target &amp; Team Lists'!$A$5:$A$504,F993)&gt;0),COUNTIF('Target &amp; Team Lists'!$E$5:$E$504,D993)&gt;0),"Yes",IF(AND(SUMPRODUCT(('Target &amp; Team Lists'!$N$5:$N$60&lt;&gt;"")*ISNUMBER(SEARCH('Target &amp; Team Lists'!$N$5:$N$60,(E993&amp;" "&amp;F993))))&gt;0,SUMPRODUCT(('Target &amp; Team Lists'!$O$5:$O$60&lt;&gt;"")*ISNUMBER(SEARCH('Target &amp; Team Lists'!$O$5:$O$60,(E993&amp;" "&amp;F993))))=0),"Yes","No"))))</f>
        <v/>
      </c>
      <c r="Q993" s="32"/>
    </row>
    <row r="994" customFormat="false" ht="15" hidden="false" customHeight="false" outlineLevel="0" collapsed="false">
      <c r="A994" s="30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3" t="str">
        <f aca="false">IF(D994="","",IF(SUM(I994:L994)&gt;0,1,0))</f>
        <v/>
      </c>
      <c r="O994" s="34" t="str">
        <f aca="false">IF(D994="","",IF(OR(COUNTIF('Target &amp; Team Lists'!$J$5:$J$204,D994)&gt;0,AND(H994&lt;&gt;"",COUNTIF('Target &amp; Team Lists'!$L$5:$L$204,H994)&gt;0),ISNUMBER(SEARCH("alpha nodus",(E994&amp;" "&amp;F994))),ISNUMBER(SEARCH("alphanodus",(E994&amp;" "&amp;F994)))),"Yes","No"))</f>
        <v/>
      </c>
      <c r="P994" s="34" t="str">
        <f aca="false">IF(D994="","",IF(O994="Yes","No",IF(OR(AND(F994&lt;&gt;"",COUNTIF('Target &amp; Team Lists'!$A$5:$A$504,F994)&gt;0),COUNTIF('Target &amp; Team Lists'!$E$5:$E$504,D994)&gt;0),"Yes",IF(AND(SUMPRODUCT(('Target &amp; Team Lists'!$N$5:$N$60&lt;&gt;"")*ISNUMBER(SEARCH('Target &amp; Team Lists'!$N$5:$N$60,(E994&amp;" "&amp;F994))))&gt;0,SUMPRODUCT(('Target &amp; Team Lists'!$O$5:$O$60&lt;&gt;"")*ISNUMBER(SEARCH('Target &amp; Team Lists'!$O$5:$O$60,(E994&amp;" "&amp;F994))))=0),"Yes","No"))))</f>
        <v/>
      </c>
      <c r="Q994" s="32"/>
    </row>
    <row r="995" customFormat="false" ht="15" hidden="false" customHeight="false" outlineLevel="0" collapsed="false">
      <c r="A995" s="30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3" t="str">
        <f aca="false">IF(D995="","",IF(SUM(I995:L995)&gt;0,1,0))</f>
        <v/>
      </c>
      <c r="O995" s="34" t="str">
        <f aca="false">IF(D995="","",IF(OR(COUNTIF('Target &amp; Team Lists'!$J$5:$J$204,D995)&gt;0,AND(H995&lt;&gt;"",COUNTIF('Target &amp; Team Lists'!$L$5:$L$204,H995)&gt;0),ISNUMBER(SEARCH("alpha nodus",(E995&amp;" "&amp;F995))),ISNUMBER(SEARCH("alphanodus",(E995&amp;" "&amp;F995)))),"Yes","No"))</f>
        <v/>
      </c>
      <c r="P995" s="34" t="str">
        <f aca="false">IF(D995="","",IF(O995="Yes","No",IF(OR(AND(F995&lt;&gt;"",COUNTIF('Target &amp; Team Lists'!$A$5:$A$504,F995)&gt;0),COUNTIF('Target &amp; Team Lists'!$E$5:$E$504,D995)&gt;0),"Yes",IF(AND(SUMPRODUCT(('Target &amp; Team Lists'!$N$5:$N$60&lt;&gt;"")*ISNUMBER(SEARCH('Target &amp; Team Lists'!$N$5:$N$60,(E995&amp;" "&amp;F995))))&gt;0,SUMPRODUCT(('Target &amp; Team Lists'!$O$5:$O$60&lt;&gt;"")*ISNUMBER(SEARCH('Target &amp; Team Lists'!$O$5:$O$60,(E995&amp;" "&amp;F995))))=0),"Yes","No"))))</f>
        <v/>
      </c>
      <c r="Q995" s="32"/>
    </row>
    <row r="996" customFormat="false" ht="15" hidden="false" customHeight="false" outlineLevel="0" collapsed="false">
      <c r="A996" s="30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3" t="str">
        <f aca="false">IF(D996="","",IF(SUM(I996:L996)&gt;0,1,0))</f>
        <v/>
      </c>
      <c r="O996" s="34" t="str">
        <f aca="false">IF(D996="","",IF(OR(COUNTIF('Target &amp; Team Lists'!$J$5:$J$204,D996)&gt;0,AND(H996&lt;&gt;"",COUNTIF('Target &amp; Team Lists'!$L$5:$L$204,H996)&gt;0),ISNUMBER(SEARCH("alpha nodus",(E996&amp;" "&amp;F996))),ISNUMBER(SEARCH("alphanodus",(E996&amp;" "&amp;F996)))),"Yes","No"))</f>
        <v/>
      </c>
      <c r="P996" s="34" t="str">
        <f aca="false">IF(D996="","",IF(O996="Yes","No",IF(OR(AND(F996&lt;&gt;"",COUNTIF('Target &amp; Team Lists'!$A$5:$A$504,F996)&gt;0),COUNTIF('Target &amp; Team Lists'!$E$5:$E$504,D996)&gt;0),"Yes",IF(AND(SUMPRODUCT(('Target &amp; Team Lists'!$N$5:$N$60&lt;&gt;"")*ISNUMBER(SEARCH('Target &amp; Team Lists'!$N$5:$N$60,(E996&amp;" "&amp;F996))))&gt;0,SUMPRODUCT(('Target &amp; Team Lists'!$O$5:$O$60&lt;&gt;"")*ISNUMBER(SEARCH('Target &amp; Team Lists'!$O$5:$O$60,(E996&amp;" "&amp;F996))))=0),"Yes","No"))))</f>
        <v/>
      </c>
      <c r="Q996" s="32"/>
    </row>
    <row r="997" customFormat="false" ht="15" hidden="false" customHeight="false" outlineLevel="0" collapsed="false">
      <c r="A997" s="30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3" t="str">
        <f aca="false">IF(D997="","",IF(SUM(I997:L997)&gt;0,1,0))</f>
        <v/>
      </c>
      <c r="O997" s="34" t="str">
        <f aca="false">IF(D997="","",IF(OR(COUNTIF('Target &amp; Team Lists'!$J$5:$J$204,D997)&gt;0,AND(H997&lt;&gt;"",COUNTIF('Target &amp; Team Lists'!$L$5:$L$204,H997)&gt;0),ISNUMBER(SEARCH("alpha nodus",(E997&amp;" "&amp;F997))),ISNUMBER(SEARCH("alphanodus",(E997&amp;" "&amp;F997)))),"Yes","No"))</f>
        <v/>
      </c>
      <c r="P997" s="34" t="str">
        <f aca="false">IF(D997="","",IF(O997="Yes","No",IF(OR(AND(F997&lt;&gt;"",COUNTIF('Target &amp; Team Lists'!$A$5:$A$504,F997)&gt;0),COUNTIF('Target &amp; Team Lists'!$E$5:$E$504,D997)&gt;0),"Yes",IF(AND(SUMPRODUCT(('Target &amp; Team Lists'!$N$5:$N$60&lt;&gt;"")*ISNUMBER(SEARCH('Target &amp; Team Lists'!$N$5:$N$60,(E997&amp;" "&amp;F997))))&gt;0,SUMPRODUCT(('Target &amp; Team Lists'!$O$5:$O$60&lt;&gt;"")*ISNUMBER(SEARCH('Target &amp; Team Lists'!$O$5:$O$60,(E997&amp;" "&amp;F997))))=0),"Yes","No"))))</f>
        <v/>
      </c>
      <c r="Q997" s="32"/>
    </row>
    <row r="998" customFormat="false" ht="15" hidden="false" customHeight="false" outlineLevel="0" collapsed="false">
      <c r="A998" s="30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3" t="str">
        <f aca="false">IF(D998="","",IF(SUM(I998:L998)&gt;0,1,0))</f>
        <v/>
      </c>
      <c r="O998" s="34" t="str">
        <f aca="false">IF(D998="","",IF(OR(COUNTIF('Target &amp; Team Lists'!$J$5:$J$204,D998)&gt;0,AND(H998&lt;&gt;"",COUNTIF('Target &amp; Team Lists'!$L$5:$L$204,H998)&gt;0),ISNUMBER(SEARCH("alpha nodus",(E998&amp;" "&amp;F998))),ISNUMBER(SEARCH("alphanodus",(E998&amp;" "&amp;F998)))),"Yes","No"))</f>
        <v/>
      </c>
      <c r="P998" s="34" t="str">
        <f aca="false">IF(D998="","",IF(O998="Yes","No",IF(OR(AND(F998&lt;&gt;"",COUNTIF('Target &amp; Team Lists'!$A$5:$A$504,F998)&gt;0),COUNTIF('Target &amp; Team Lists'!$E$5:$E$504,D998)&gt;0),"Yes",IF(AND(SUMPRODUCT(('Target &amp; Team Lists'!$N$5:$N$60&lt;&gt;"")*ISNUMBER(SEARCH('Target &amp; Team Lists'!$N$5:$N$60,(E998&amp;" "&amp;F998))))&gt;0,SUMPRODUCT(('Target &amp; Team Lists'!$O$5:$O$60&lt;&gt;"")*ISNUMBER(SEARCH('Target &amp; Team Lists'!$O$5:$O$60,(E998&amp;" "&amp;F998))))=0),"Yes","No"))))</f>
        <v/>
      </c>
      <c r="Q998" s="32"/>
    </row>
    <row r="999" customFormat="false" ht="15" hidden="false" customHeight="false" outlineLevel="0" collapsed="false">
      <c r="A999" s="30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3" t="str">
        <f aca="false">IF(D999="","",IF(SUM(I999:L999)&gt;0,1,0))</f>
        <v/>
      </c>
      <c r="O999" s="34" t="str">
        <f aca="false">IF(D999="","",IF(OR(COUNTIF('Target &amp; Team Lists'!$J$5:$J$204,D999)&gt;0,AND(H999&lt;&gt;"",COUNTIF('Target &amp; Team Lists'!$L$5:$L$204,H999)&gt;0),ISNUMBER(SEARCH("alpha nodus",(E999&amp;" "&amp;F999))),ISNUMBER(SEARCH("alphanodus",(E999&amp;" "&amp;F999)))),"Yes","No"))</f>
        <v/>
      </c>
      <c r="P999" s="34" t="str">
        <f aca="false">IF(D999="","",IF(O999="Yes","No",IF(OR(AND(F999&lt;&gt;"",COUNTIF('Target &amp; Team Lists'!$A$5:$A$504,F999)&gt;0),COUNTIF('Target &amp; Team Lists'!$E$5:$E$504,D999)&gt;0),"Yes",IF(AND(SUMPRODUCT(('Target &amp; Team Lists'!$N$5:$N$60&lt;&gt;"")*ISNUMBER(SEARCH('Target &amp; Team Lists'!$N$5:$N$60,(E999&amp;" "&amp;F999))))&gt;0,SUMPRODUCT(('Target &amp; Team Lists'!$O$5:$O$60&lt;&gt;"")*ISNUMBER(SEARCH('Target &amp; Team Lists'!$O$5:$O$60,(E999&amp;" "&amp;F999))))=0),"Yes","No"))))</f>
        <v/>
      </c>
      <c r="Q999" s="32"/>
    </row>
    <row r="1000" customFormat="false" ht="15" hidden="false" customHeight="false" outlineLevel="0" collapsed="false">
      <c r="A1000" s="30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3" t="str">
        <f aca="false">IF(D1000="","",IF(SUM(I1000:L1000)&gt;0,1,0))</f>
        <v/>
      </c>
      <c r="O1000" s="34" t="str">
        <f aca="false">IF(D1000="","",IF(OR(COUNTIF('Target &amp; Team Lists'!$J$5:$J$204,D1000)&gt;0,AND(H1000&lt;&gt;"",COUNTIF('Target &amp; Team Lists'!$L$5:$L$204,H1000)&gt;0),ISNUMBER(SEARCH("alpha nodus",(E1000&amp;" "&amp;F1000))),ISNUMBER(SEARCH("alphanodus",(E1000&amp;" "&amp;F1000)))),"Yes","No"))</f>
        <v/>
      </c>
      <c r="P1000" s="34" t="str">
        <f aca="false">IF(D1000="","",IF(O1000="Yes","No",IF(OR(AND(F1000&lt;&gt;"",COUNTIF('Target &amp; Team Lists'!$A$5:$A$504,F1000)&gt;0),COUNTIF('Target &amp; Team Lists'!$E$5:$E$504,D1000)&gt;0),"Yes",IF(AND(SUMPRODUCT(('Target &amp; Team Lists'!$N$5:$N$60&lt;&gt;"")*ISNUMBER(SEARCH('Target &amp; Team Lists'!$N$5:$N$60,(E1000&amp;" "&amp;F1000))))&gt;0,SUMPRODUCT(('Target &amp; Team Lists'!$O$5:$O$60&lt;&gt;"")*ISNUMBER(SEARCH('Target &amp; Team Lists'!$O$5:$O$60,(E1000&amp;" "&amp;F1000))))=0),"Yes","No"))))</f>
        <v/>
      </c>
      <c r="Q1000" s="32"/>
    </row>
    <row r="1001" customFormat="false" ht="15" hidden="false" customHeight="false" outlineLevel="0" collapsed="false">
      <c r="A1001" s="30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3" t="str">
        <f aca="false">IF(D1001="","",IF(SUM(I1001:L1001)&gt;0,1,0))</f>
        <v/>
      </c>
      <c r="O1001" s="34" t="str">
        <f aca="false">IF(D1001="","",IF(OR(COUNTIF('Target &amp; Team Lists'!$J$5:$J$204,D1001)&gt;0,AND(H1001&lt;&gt;"",COUNTIF('Target &amp; Team Lists'!$L$5:$L$204,H1001)&gt;0),ISNUMBER(SEARCH("alpha nodus",(E1001&amp;" "&amp;F1001))),ISNUMBER(SEARCH("alphanodus",(E1001&amp;" "&amp;F1001)))),"Yes","No"))</f>
        <v/>
      </c>
      <c r="P1001" s="34" t="str">
        <f aca="false">IF(D1001="","",IF(O1001="Yes","No",IF(OR(AND(F1001&lt;&gt;"",COUNTIF('Target &amp; Team Lists'!$A$5:$A$504,F1001)&gt;0),COUNTIF('Target &amp; Team Lists'!$E$5:$E$504,D1001)&gt;0),"Yes",IF(AND(SUMPRODUCT(('Target &amp; Team Lists'!$N$5:$N$60&lt;&gt;"")*ISNUMBER(SEARCH('Target &amp; Team Lists'!$N$5:$N$60,(E1001&amp;" "&amp;F1001))))&gt;0,SUMPRODUCT(('Target &amp; Team Lists'!$O$5:$O$60&lt;&gt;"")*ISNUMBER(SEARCH('Target &amp; Team Lists'!$O$5:$O$60,(E1001&amp;" "&amp;F1001))))=0),"Yes","No"))))</f>
        <v/>
      </c>
      <c r="Q1001" s="32"/>
    </row>
    <row r="1002" customFormat="false" ht="15" hidden="false" customHeight="false" outlineLevel="0" collapsed="false">
      <c r="A1002" s="30"/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3" t="str">
        <f aca="false">IF(D1002="","",IF(SUM(I1002:L1002)&gt;0,1,0))</f>
        <v/>
      </c>
      <c r="O1002" s="34" t="str">
        <f aca="false">IF(D1002="","",IF(OR(COUNTIF('Target &amp; Team Lists'!$J$5:$J$204,D1002)&gt;0,AND(H1002&lt;&gt;"",COUNTIF('Target &amp; Team Lists'!$L$5:$L$204,H1002)&gt;0),ISNUMBER(SEARCH("alpha nodus",(E1002&amp;" "&amp;F1002))),ISNUMBER(SEARCH("alphanodus",(E1002&amp;" "&amp;F1002)))),"Yes","No"))</f>
        <v/>
      </c>
      <c r="P1002" s="34" t="str">
        <f aca="false">IF(D1002="","",IF(O1002="Yes","No",IF(OR(AND(F1002&lt;&gt;"",COUNTIF('Target &amp; Team Lists'!$A$5:$A$504,F1002)&gt;0),COUNTIF('Target &amp; Team Lists'!$E$5:$E$504,D1002)&gt;0),"Yes",IF(AND(SUMPRODUCT(('Target &amp; Team Lists'!$N$5:$N$60&lt;&gt;"")*ISNUMBER(SEARCH('Target &amp; Team Lists'!$N$5:$N$60,(E1002&amp;" "&amp;F1002))))&gt;0,SUMPRODUCT(('Target &amp; Team Lists'!$O$5:$O$60&lt;&gt;"")*ISNUMBER(SEARCH('Target &amp; Team Lists'!$O$5:$O$60,(E1002&amp;" "&amp;F1002))))=0),"Yes","No"))))</f>
        <v/>
      </c>
      <c r="Q1002" s="32"/>
    </row>
    <row r="1003" customFormat="false" ht="15" hidden="false" customHeight="false" outlineLevel="0" collapsed="false">
      <c r="A1003" s="30"/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3" t="str">
        <f aca="false">IF(D1003="","",IF(SUM(I1003:L1003)&gt;0,1,0))</f>
        <v/>
      </c>
      <c r="O1003" s="34" t="str">
        <f aca="false">IF(D1003="","",IF(OR(COUNTIF('Target &amp; Team Lists'!$J$5:$J$204,D1003)&gt;0,AND(H1003&lt;&gt;"",COUNTIF('Target &amp; Team Lists'!$L$5:$L$204,H1003)&gt;0),ISNUMBER(SEARCH("alpha nodus",(E1003&amp;" "&amp;F1003))),ISNUMBER(SEARCH("alphanodus",(E1003&amp;" "&amp;F1003)))),"Yes","No"))</f>
        <v/>
      </c>
      <c r="P1003" s="34" t="str">
        <f aca="false">IF(D1003="","",IF(O1003="Yes","No",IF(OR(AND(F1003&lt;&gt;"",COUNTIF('Target &amp; Team Lists'!$A$5:$A$504,F1003)&gt;0),COUNTIF('Target &amp; Team Lists'!$E$5:$E$504,D1003)&gt;0),"Yes",IF(AND(SUMPRODUCT(('Target &amp; Team Lists'!$N$5:$N$60&lt;&gt;"")*ISNUMBER(SEARCH('Target &amp; Team Lists'!$N$5:$N$60,(E1003&amp;" "&amp;F1003))))&gt;0,SUMPRODUCT(('Target &amp; Team Lists'!$O$5:$O$60&lt;&gt;"")*ISNUMBER(SEARCH('Target &amp; Team Lists'!$O$5:$O$60,(E1003&amp;" "&amp;F1003))))=0),"Yes","No"))))</f>
        <v/>
      </c>
      <c r="Q1003" s="32"/>
    </row>
    <row r="1004" customFormat="false" ht="15" hidden="false" customHeight="false" outlineLevel="0" collapsed="false">
      <c r="A1004" s="30"/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3" t="str">
        <f aca="false">IF(D1004="","",IF(SUM(I1004:L1004)&gt;0,1,0))</f>
        <v/>
      </c>
      <c r="O1004" s="34" t="str">
        <f aca="false">IF(D1004="","",IF(OR(COUNTIF('Target &amp; Team Lists'!$J$5:$J$204,D1004)&gt;0,AND(H1004&lt;&gt;"",COUNTIF('Target &amp; Team Lists'!$L$5:$L$204,H1004)&gt;0),ISNUMBER(SEARCH("alpha nodus",(E1004&amp;" "&amp;F1004))),ISNUMBER(SEARCH("alphanodus",(E1004&amp;" "&amp;F1004)))),"Yes","No"))</f>
        <v/>
      </c>
      <c r="P1004" s="34" t="str">
        <f aca="false">IF(D1004="","",IF(O1004="Yes","No",IF(OR(AND(F1004&lt;&gt;"",COUNTIF('Target &amp; Team Lists'!$A$5:$A$504,F1004)&gt;0),COUNTIF('Target &amp; Team Lists'!$E$5:$E$504,D1004)&gt;0),"Yes",IF(AND(SUMPRODUCT(('Target &amp; Team Lists'!$N$5:$N$60&lt;&gt;"")*ISNUMBER(SEARCH('Target &amp; Team Lists'!$N$5:$N$60,(E1004&amp;" "&amp;F1004))))&gt;0,SUMPRODUCT(('Target &amp; Team Lists'!$O$5:$O$60&lt;&gt;"")*ISNUMBER(SEARCH('Target &amp; Team Lists'!$O$5:$O$60,(E1004&amp;" "&amp;F1004))))=0),"Yes","No"))))</f>
        <v/>
      </c>
      <c r="Q1004" s="32"/>
    </row>
  </sheetData>
  <autoFilter ref="A4:Q1004"/>
  <conditionalFormatting sqref="P5:P1004">
    <cfRule type="cellIs" priority="2" operator="equal" aboveAverage="0" equalAverage="0" bottom="0" percent="0" rank="0" text="" dxfId="14">
      <formula>"Yes"</formula>
    </cfRule>
  </conditionalFormatting>
  <conditionalFormatting sqref="O5:O1004">
    <cfRule type="cellIs" priority="3" operator="equal" aboveAverage="0" equalAverage="0" bottom="0" percent="0" rank="0" text="" dxfId="17">
      <formula>"Yes"</formula>
    </cfRule>
  </conditionalFormatting>
  <dataValidations count="4">
    <dataValidation allowBlank="true" errorStyle="stop" operator="between" showDropDown="false" showErrorMessage="false" showInputMessage="false" sqref="C5:C1004" type="list">
      <formula1>'Post Tracker'!$C$16:$C$215</formula1>
      <formula2>0</formula2>
    </dataValidation>
    <dataValidation allowBlank="true" errorStyle="stop" operator="between" showDropDown="false" showErrorMessage="false" showInputMessage="false" sqref="B5:B1004" type="list">
      <formula1>"LinkedIn,Instagram,X"</formula1>
      <formula2>0</formula2>
    </dataValidation>
    <dataValidation allowBlank="true" errorStyle="stop" operator="between" showDropDown="false" showErrorMessage="false" showInputMessage="false" sqref="F5:F1004" type="list">
      <formula1>'Target &amp; Team Lists'!$A$5:$A$504</formula1>
      <formula2>0</formula2>
    </dataValidation>
    <dataValidation allowBlank="true" errorStyle="stop" operator="between" showDropDown="false" showErrorMessage="false" showInputMessage="false" sqref="I5:M1004" type="whole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O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7"/>
    <col collapsed="false" customWidth="true" hidden="false" outlineLevel="0" max="6" min="5" style="0" width="22"/>
    <col collapsed="false" customWidth="true" hidden="false" outlineLevel="0" max="7" min="7" style="0" width="26"/>
    <col collapsed="false" customWidth="true" hidden="false" outlineLevel="0" max="8" min="8" style="0" width="24"/>
    <col collapsed="false" customWidth="true" hidden="false" outlineLevel="0" max="9" min="9" style="0" width="3"/>
    <col collapsed="false" customWidth="true" hidden="false" outlineLevel="0" max="10" min="10" style="0" width="22"/>
    <col collapsed="false" customWidth="true" hidden="false" outlineLevel="0" max="11" min="11" style="0" width="18"/>
    <col collapsed="false" customWidth="true" hidden="false" outlineLevel="0" max="12" min="12" style="0" width="26"/>
    <col collapsed="false" customWidth="true" hidden="false" outlineLevel="0" max="15" min="14" style="0" width="30"/>
  </cols>
  <sheetData>
    <row r="1" customFormat="false" ht="19.7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3" customFormat="false" ht="15" hidden="false" customHeight="false" outlineLevel="0" collapsed="false">
      <c r="A3" s="14" t="s">
        <v>267</v>
      </c>
      <c r="J3" s="14" t="s">
        <v>268</v>
      </c>
      <c r="N3" s="14" t="s">
        <v>269</v>
      </c>
    </row>
    <row r="4" customFormat="false" ht="23.85" hidden="false" customHeight="false" outlineLevel="0" collapsed="false">
      <c r="A4" s="3" t="s">
        <v>140</v>
      </c>
      <c r="B4" s="3" t="s">
        <v>270</v>
      </c>
      <c r="C4" s="3" t="s">
        <v>271</v>
      </c>
      <c r="D4" s="3" t="s">
        <v>272</v>
      </c>
      <c r="E4" s="3" t="s">
        <v>273</v>
      </c>
      <c r="F4" s="3" t="s">
        <v>274</v>
      </c>
      <c r="G4" s="3" t="s">
        <v>275</v>
      </c>
      <c r="H4" s="3" t="s">
        <v>151</v>
      </c>
      <c r="J4" s="3" t="s">
        <v>276</v>
      </c>
      <c r="K4" s="3" t="s">
        <v>277</v>
      </c>
      <c r="L4" s="3" t="s">
        <v>278</v>
      </c>
      <c r="N4" s="3" t="s">
        <v>279</v>
      </c>
      <c r="O4" s="3" t="s">
        <v>280</v>
      </c>
    </row>
    <row r="5" customFormat="false" ht="15" hidden="false" customHeight="false" outlineLevel="0" collapsed="false">
      <c r="A5" s="32"/>
      <c r="B5" s="32"/>
      <c r="C5" s="32"/>
      <c r="D5" s="32"/>
      <c r="E5" s="32"/>
      <c r="F5" s="32"/>
      <c r="G5" s="32"/>
      <c r="H5" s="32"/>
      <c r="J5" s="31" t="s">
        <v>281</v>
      </c>
      <c r="K5" s="31" t="s">
        <v>282</v>
      </c>
      <c r="L5" s="31" t="s">
        <v>283</v>
      </c>
      <c r="N5" s="32" t="s">
        <v>284</v>
      </c>
      <c r="O5" s="32" t="s">
        <v>285</v>
      </c>
    </row>
    <row r="6" customFormat="false" ht="15" hidden="false" customHeight="false" outlineLevel="0" collapsed="false">
      <c r="A6" s="32"/>
      <c r="B6" s="32"/>
      <c r="C6" s="32"/>
      <c r="D6" s="32"/>
      <c r="E6" s="32"/>
      <c r="F6" s="32"/>
      <c r="G6" s="32"/>
      <c r="H6" s="32"/>
      <c r="J6" s="31" t="s">
        <v>250</v>
      </c>
      <c r="K6" s="31" t="s">
        <v>286</v>
      </c>
      <c r="L6" s="31" t="s">
        <v>287</v>
      </c>
      <c r="N6" s="32" t="s">
        <v>288</v>
      </c>
      <c r="O6" s="32" t="s">
        <v>289</v>
      </c>
    </row>
    <row r="7" customFormat="false" ht="15" hidden="false" customHeight="false" outlineLevel="0" collapsed="false">
      <c r="A7" s="32"/>
      <c r="B7" s="32"/>
      <c r="C7" s="32"/>
      <c r="D7" s="32"/>
      <c r="E7" s="32"/>
      <c r="F7" s="32"/>
      <c r="G7" s="32"/>
      <c r="H7" s="32"/>
      <c r="J7" s="31" t="s">
        <v>290</v>
      </c>
      <c r="K7" s="31" t="s">
        <v>291</v>
      </c>
      <c r="L7" s="31" t="s">
        <v>292</v>
      </c>
      <c r="N7" s="32" t="s">
        <v>293</v>
      </c>
      <c r="O7" s="32" t="s">
        <v>294</v>
      </c>
    </row>
    <row r="8" customFormat="false" ht="15" hidden="false" customHeight="false" outlineLevel="0" collapsed="false">
      <c r="A8" s="32"/>
      <c r="B8" s="32"/>
      <c r="C8" s="32"/>
      <c r="D8" s="32"/>
      <c r="E8" s="32"/>
      <c r="F8" s="32"/>
      <c r="G8" s="32"/>
      <c r="H8" s="32"/>
      <c r="J8" s="31" t="s">
        <v>295</v>
      </c>
      <c r="K8" s="31" t="s">
        <v>296</v>
      </c>
      <c r="L8" s="31" t="s">
        <v>297</v>
      </c>
      <c r="N8" s="32" t="s">
        <v>298</v>
      </c>
      <c r="O8" s="32" t="s">
        <v>299</v>
      </c>
    </row>
    <row r="9" customFormat="false" ht="15" hidden="false" customHeight="false" outlineLevel="0" collapsed="false">
      <c r="A9" s="32"/>
      <c r="B9" s="32"/>
      <c r="C9" s="32"/>
      <c r="D9" s="32"/>
      <c r="E9" s="32"/>
      <c r="F9" s="32"/>
      <c r="G9" s="32"/>
      <c r="H9" s="32"/>
      <c r="J9" s="31" t="s">
        <v>300</v>
      </c>
      <c r="K9" s="31" t="s">
        <v>301</v>
      </c>
      <c r="L9" s="31" t="s">
        <v>302</v>
      </c>
      <c r="N9" s="32" t="s">
        <v>303</v>
      </c>
      <c r="O9" s="32" t="s">
        <v>304</v>
      </c>
    </row>
    <row r="10" customFormat="false" ht="15" hidden="false" customHeight="false" outlineLevel="0" collapsed="false">
      <c r="A10" s="32"/>
      <c r="B10" s="32"/>
      <c r="C10" s="32"/>
      <c r="D10" s="32"/>
      <c r="E10" s="32"/>
      <c r="F10" s="32"/>
      <c r="G10" s="32"/>
      <c r="H10" s="32"/>
      <c r="J10" s="31" t="s">
        <v>305</v>
      </c>
      <c r="K10" s="31" t="s">
        <v>306</v>
      </c>
      <c r="L10" s="31" t="s">
        <v>307</v>
      </c>
      <c r="N10" s="32" t="s">
        <v>308</v>
      </c>
      <c r="O10" s="32" t="s">
        <v>309</v>
      </c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32"/>
      <c r="G11" s="32"/>
      <c r="H11" s="32"/>
      <c r="J11" s="31" t="s">
        <v>310</v>
      </c>
      <c r="K11" s="31" t="s">
        <v>311</v>
      </c>
      <c r="L11" s="31" t="s">
        <v>312</v>
      </c>
      <c r="N11" s="32" t="s">
        <v>313</v>
      </c>
      <c r="O11" s="32" t="s">
        <v>314</v>
      </c>
    </row>
    <row r="12" customFormat="false" ht="15" hidden="false" customHeight="false" outlineLevel="0" collapsed="false">
      <c r="A12" s="32"/>
      <c r="B12" s="32"/>
      <c r="C12" s="32"/>
      <c r="D12" s="32"/>
      <c r="E12" s="32"/>
      <c r="F12" s="32"/>
      <c r="G12" s="32"/>
      <c r="H12" s="32"/>
      <c r="J12" s="31" t="s">
        <v>315</v>
      </c>
      <c r="K12" s="31" t="s">
        <v>316</v>
      </c>
      <c r="L12" s="31" t="s">
        <v>317</v>
      </c>
      <c r="N12" s="32" t="s">
        <v>318</v>
      </c>
      <c r="O12" s="32" t="s">
        <v>319</v>
      </c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32"/>
      <c r="G13" s="32"/>
      <c r="H13" s="32"/>
      <c r="J13" s="31" t="s">
        <v>320</v>
      </c>
      <c r="K13" s="31" t="s">
        <v>291</v>
      </c>
      <c r="L13" s="31" t="s">
        <v>321</v>
      </c>
      <c r="N13" s="32" t="s">
        <v>322</v>
      </c>
      <c r="O13" s="32" t="s">
        <v>323</v>
      </c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32"/>
      <c r="G14" s="32"/>
      <c r="H14" s="32"/>
      <c r="J14" s="31" t="s">
        <v>324</v>
      </c>
      <c r="K14" s="31" t="s">
        <v>296</v>
      </c>
      <c r="L14" s="31" t="s">
        <v>325</v>
      </c>
      <c r="N14" s="32" t="s">
        <v>326</v>
      </c>
      <c r="O14" s="32" t="s">
        <v>244</v>
      </c>
    </row>
    <row r="15" customFormat="false" ht="15" hidden="false" customHeight="false" outlineLevel="0" collapsed="false">
      <c r="A15" s="32"/>
      <c r="B15" s="32"/>
      <c r="C15" s="32"/>
      <c r="D15" s="32"/>
      <c r="E15" s="32"/>
      <c r="F15" s="32"/>
      <c r="G15" s="32"/>
      <c r="H15" s="32"/>
      <c r="J15" s="31" t="s">
        <v>327</v>
      </c>
      <c r="K15" s="31" t="s">
        <v>328</v>
      </c>
      <c r="L15" s="31" t="s">
        <v>329</v>
      </c>
      <c r="N15" s="32" t="s">
        <v>330</v>
      </c>
      <c r="O15" s="32" t="s">
        <v>331</v>
      </c>
    </row>
    <row r="16" customFormat="false" ht="15" hidden="false" customHeight="false" outlineLevel="0" collapsed="false">
      <c r="A16" s="32"/>
      <c r="B16" s="32"/>
      <c r="C16" s="32"/>
      <c r="D16" s="32"/>
      <c r="E16" s="32"/>
      <c r="F16" s="32"/>
      <c r="G16" s="32"/>
      <c r="H16" s="32"/>
      <c r="J16" s="31" t="s">
        <v>332</v>
      </c>
      <c r="K16" s="31" t="s">
        <v>333</v>
      </c>
      <c r="L16" s="31" t="s">
        <v>334</v>
      </c>
      <c r="N16" s="32" t="s">
        <v>335</v>
      </c>
      <c r="O16" s="32" t="s">
        <v>336</v>
      </c>
    </row>
    <row r="17" customFormat="false" ht="15" hidden="false" customHeight="false" outlineLevel="0" collapsed="false">
      <c r="A17" s="32"/>
      <c r="B17" s="32"/>
      <c r="C17" s="32"/>
      <c r="D17" s="32"/>
      <c r="E17" s="32"/>
      <c r="F17" s="32"/>
      <c r="G17" s="32"/>
      <c r="H17" s="32"/>
      <c r="J17" s="31" t="s">
        <v>337</v>
      </c>
      <c r="K17" s="31" t="s">
        <v>338</v>
      </c>
      <c r="L17" s="31" t="s">
        <v>339</v>
      </c>
      <c r="N17" s="32" t="s">
        <v>340</v>
      </c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32"/>
      <c r="G18" s="32"/>
      <c r="H18" s="32"/>
      <c r="J18" s="31" t="s">
        <v>341</v>
      </c>
      <c r="K18" s="31" t="s">
        <v>296</v>
      </c>
      <c r="L18" s="31" t="s">
        <v>342</v>
      </c>
      <c r="N18" s="32" t="s">
        <v>343</v>
      </c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2"/>
      <c r="G19" s="32"/>
      <c r="H19" s="32"/>
      <c r="J19" s="31" t="s">
        <v>344</v>
      </c>
      <c r="K19" s="31" t="s">
        <v>345</v>
      </c>
      <c r="L19" s="31" t="s">
        <v>346</v>
      </c>
      <c r="N19" s="35"/>
      <c r="O19" s="35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32"/>
      <c r="G20" s="32"/>
      <c r="H20" s="32"/>
      <c r="J20" s="31" t="s">
        <v>347</v>
      </c>
      <c r="K20" s="31" t="s">
        <v>348</v>
      </c>
      <c r="L20" s="31" t="s">
        <v>349</v>
      </c>
      <c r="N20" s="35"/>
      <c r="O20" s="35"/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J21" s="31" t="s">
        <v>350</v>
      </c>
      <c r="K21" s="31" t="s">
        <v>351</v>
      </c>
      <c r="L21" s="31" t="s">
        <v>352</v>
      </c>
      <c r="N21" s="35"/>
      <c r="O21" s="35"/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J22" s="31" t="s">
        <v>353</v>
      </c>
      <c r="K22" s="31" t="s">
        <v>296</v>
      </c>
      <c r="L22" s="31" t="s">
        <v>354</v>
      </c>
      <c r="N22" s="35"/>
      <c r="O22" s="35"/>
    </row>
    <row r="23" customFormat="false" ht="15" hidden="false" customHeight="false" outlineLevel="0" collapsed="false">
      <c r="A23" s="32"/>
      <c r="B23" s="32"/>
      <c r="C23" s="32"/>
      <c r="D23" s="32"/>
      <c r="E23" s="32"/>
      <c r="F23" s="32"/>
      <c r="G23" s="32"/>
      <c r="H23" s="32"/>
      <c r="J23" s="31" t="s">
        <v>355</v>
      </c>
      <c r="K23" s="31" t="s">
        <v>328</v>
      </c>
      <c r="L23" s="31" t="s">
        <v>356</v>
      </c>
      <c r="N23" s="35"/>
      <c r="O23" s="35"/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32"/>
      <c r="G24" s="32"/>
      <c r="H24" s="32"/>
      <c r="J24" s="31" t="s">
        <v>357</v>
      </c>
      <c r="K24" s="31" t="s">
        <v>358</v>
      </c>
      <c r="L24" s="31" t="s">
        <v>359</v>
      </c>
      <c r="N24" s="35"/>
      <c r="O24" s="35"/>
    </row>
    <row r="25" customFormat="false" ht="15" hidden="false" customHeight="false" outlineLevel="0" collapsed="false">
      <c r="A25" s="32"/>
      <c r="B25" s="32"/>
      <c r="C25" s="32"/>
      <c r="D25" s="32"/>
      <c r="E25" s="32"/>
      <c r="F25" s="32"/>
      <c r="G25" s="32"/>
      <c r="H25" s="32"/>
      <c r="J25" s="31" t="s">
        <v>360</v>
      </c>
      <c r="K25" s="31" t="s">
        <v>361</v>
      </c>
      <c r="L25" s="31" t="s">
        <v>362</v>
      </c>
      <c r="N25" s="35"/>
      <c r="O25" s="35"/>
    </row>
    <row r="26" customFormat="false" ht="15" hidden="false" customHeight="false" outlineLevel="0" collapsed="false">
      <c r="A26" s="32"/>
      <c r="B26" s="32"/>
      <c r="C26" s="32"/>
      <c r="D26" s="32"/>
      <c r="E26" s="32"/>
      <c r="F26" s="32"/>
      <c r="G26" s="32"/>
      <c r="H26" s="32"/>
      <c r="J26" s="31" t="s">
        <v>363</v>
      </c>
      <c r="K26" s="31" t="s">
        <v>364</v>
      </c>
      <c r="L26" s="31" t="s">
        <v>365</v>
      </c>
      <c r="N26" s="35"/>
      <c r="O26" s="35"/>
    </row>
    <row r="27" customFormat="false" ht="15" hidden="false" customHeight="false" outlineLevel="0" collapsed="false">
      <c r="A27" s="32"/>
      <c r="B27" s="32"/>
      <c r="C27" s="32"/>
      <c r="D27" s="32"/>
      <c r="E27" s="32"/>
      <c r="F27" s="32"/>
      <c r="G27" s="32"/>
      <c r="H27" s="32"/>
      <c r="J27" s="31" t="s">
        <v>366</v>
      </c>
      <c r="K27" s="31" t="s">
        <v>367</v>
      </c>
      <c r="L27" s="31" t="s">
        <v>368</v>
      </c>
      <c r="N27" s="35"/>
      <c r="O27" s="35"/>
    </row>
    <row r="28" customFormat="false" ht="15" hidden="false" customHeight="false" outlineLevel="0" collapsed="false">
      <c r="A28" s="32"/>
      <c r="B28" s="32"/>
      <c r="C28" s="32"/>
      <c r="D28" s="32"/>
      <c r="E28" s="32"/>
      <c r="F28" s="32"/>
      <c r="G28" s="32"/>
      <c r="H28" s="32"/>
      <c r="J28" s="31" t="s">
        <v>369</v>
      </c>
      <c r="K28" s="31" t="s">
        <v>370</v>
      </c>
      <c r="L28" s="31" t="s">
        <v>371</v>
      </c>
      <c r="N28" s="35"/>
      <c r="O28" s="35"/>
    </row>
    <row r="29" customFormat="false" ht="15" hidden="false" customHeight="false" outlineLevel="0" collapsed="false">
      <c r="A29" s="32"/>
      <c r="B29" s="32"/>
      <c r="C29" s="32"/>
      <c r="D29" s="32"/>
      <c r="E29" s="32"/>
      <c r="F29" s="32"/>
      <c r="G29" s="32"/>
      <c r="H29" s="32"/>
      <c r="J29" s="31" t="s">
        <v>372</v>
      </c>
      <c r="K29" s="31" t="s">
        <v>296</v>
      </c>
      <c r="L29" s="31" t="s">
        <v>373</v>
      </c>
      <c r="N29" s="35"/>
      <c r="O29" s="35"/>
    </row>
    <row r="30" customFormat="false" ht="15" hidden="false" customHeight="false" outlineLevel="0" collapsed="false">
      <c r="A30" s="32"/>
      <c r="B30" s="32"/>
      <c r="C30" s="32"/>
      <c r="D30" s="32"/>
      <c r="E30" s="32"/>
      <c r="F30" s="32"/>
      <c r="G30" s="32"/>
      <c r="H30" s="32"/>
      <c r="J30" s="31" t="s">
        <v>374</v>
      </c>
      <c r="K30" s="31" t="s">
        <v>296</v>
      </c>
      <c r="L30" s="31" t="s">
        <v>375</v>
      </c>
      <c r="N30" s="35"/>
      <c r="O30" s="35"/>
    </row>
    <row r="31" customFormat="false" ht="15" hidden="false" customHeight="false" outlineLevel="0" collapsed="false">
      <c r="A31" s="32"/>
      <c r="B31" s="32"/>
      <c r="C31" s="32"/>
      <c r="D31" s="32"/>
      <c r="E31" s="32"/>
      <c r="F31" s="32"/>
      <c r="G31" s="32"/>
      <c r="H31" s="32"/>
      <c r="J31" s="31" t="s">
        <v>376</v>
      </c>
      <c r="K31" s="31" t="s">
        <v>377</v>
      </c>
      <c r="L31" s="31" t="s">
        <v>378</v>
      </c>
      <c r="N31" s="35"/>
      <c r="O31" s="35"/>
    </row>
    <row r="32" customFormat="false" ht="1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  <c r="J32" s="31" t="s">
        <v>379</v>
      </c>
      <c r="K32" s="31" t="s">
        <v>311</v>
      </c>
      <c r="L32" s="31" t="s">
        <v>380</v>
      </c>
      <c r="N32" s="35"/>
      <c r="O32" s="35"/>
    </row>
    <row r="33" customFormat="false" ht="15" hidden="false" customHeight="false" outlineLevel="0" collapsed="false">
      <c r="A33" s="32"/>
      <c r="B33" s="32"/>
      <c r="C33" s="32"/>
      <c r="D33" s="32"/>
      <c r="E33" s="32"/>
      <c r="F33" s="32"/>
      <c r="G33" s="32"/>
      <c r="H33" s="32"/>
      <c r="J33" s="31" t="s">
        <v>381</v>
      </c>
      <c r="K33" s="31" t="s">
        <v>296</v>
      </c>
      <c r="L33" s="31" t="s">
        <v>382</v>
      </c>
      <c r="N33" s="35"/>
      <c r="O33" s="35"/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  <c r="J34" s="31" t="s">
        <v>383</v>
      </c>
      <c r="K34" s="31" t="s">
        <v>351</v>
      </c>
      <c r="L34" s="31" t="s">
        <v>384</v>
      </c>
      <c r="N34" s="35"/>
      <c r="O34" s="35"/>
    </row>
    <row r="35" customFormat="false" ht="15" hidden="false" customHeight="false" outlineLevel="0" collapsed="false">
      <c r="A35" s="32"/>
      <c r="B35" s="32"/>
      <c r="C35" s="32"/>
      <c r="D35" s="32"/>
      <c r="E35" s="32"/>
      <c r="F35" s="32"/>
      <c r="G35" s="32"/>
      <c r="H35" s="32"/>
      <c r="J35" s="31" t="s">
        <v>385</v>
      </c>
      <c r="K35" s="31" t="s">
        <v>386</v>
      </c>
      <c r="L35" s="31" t="s">
        <v>387</v>
      </c>
      <c r="N35" s="35"/>
      <c r="O35" s="35"/>
    </row>
    <row r="36" customFormat="false" ht="15" hidden="false" customHeight="false" outlineLevel="0" collapsed="false">
      <c r="A36" s="32"/>
      <c r="B36" s="32"/>
      <c r="C36" s="32"/>
      <c r="D36" s="32"/>
      <c r="E36" s="32"/>
      <c r="F36" s="32"/>
      <c r="G36" s="32"/>
      <c r="H36" s="32"/>
      <c r="J36" s="31" t="s">
        <v>388</v>
      </c>
      <c r="K36" s="31" t="s">
        <v>296</v>
      </c>
      <c r="L36" s="31" t="s">
        <v>389</v>
      </c>
      <c r="N36" s="35"/>
      <c r="O36" s="35"/>
    </row>
    <row r="37" customFormat="false" ht="15" hidden="false" customHeight="false" outlineLevel="0" collapsed="false">
      <c r="A37" s="32"/>
      <c r="B37" s="32"/>
      <c r="C37" s="32"/>
      <c r="D37" s="32"/>
      <c r="E37" s="32"/>
      <c r="F37" s="32"/>
      <c r="G37" s="32"/>
      <c r="H37" s="32"/>
      <c r="J37" s="31" t="s">
        <v>390</v>
      </c>
      <c r="K37" s="31" t="s">
        <v>377</v>
      </c>
      <c r="L37" s="31" t="s">
        <v>391</v>
      </c>
      <c r="N37" s="35"/>
      <c r="O37" s="35"/>
    </row>
    <row r="38" customFormat="false" ht="15" hidden="false" customHeight="false" outlineLevel="0" collapsed="false">
      <c r="A38" s="32"/>
      <c r="B38" s="32"/>
      <c r="C38" s="32"/>
      <c r="D38" s="32"/>
      <c r="E38" s="32"/>
      <c r="F38" s="32"/>
      <c r="G38" s="32"/>
      <c r="H38" s="32"/>
      <c r="J38" s="31" t="s">
        <v>392</v>
      </c>
      <c r="K38" s="31" t="s">
        <v>393</v>
      </c>
      <c r="L38" s="31" t="s">
        <v>394</v>
      </c>
      <c r="N38" s="35"/>
      <c r="O38" s="35"/>
    </row>
    <row r="39" customFormat="false" ht="15" hidden="false" customHeight="false" outlineLevel="0" collapsed="false">
      <c r="A39" s="32"/>
      <c r="B39" s="32"/>
      <c r="C39" s="32"/>
      <c r="D39" s="32"/>
      <c r="E39" s="32"/>
      <c r="F39" s="32"/>
      <c r="G39" s="32"/>
      <c r="H39" s="32"/>
      <c r="J39" s="31" t="s">
        <v>395</v>
      </c>
      <c r="K39" s="31" t="s">
        <v>396</v>
      </c>
      <c r="L39" s="31" t="s">
        <v>397</v>
      </c>
      <c r="N39" s="35"/>
      <c r="O39" s="35"/>
    </row>
    <row r="40" customFormat="false" ht="15" hidden="false" customHeight="false" outlineLevel="0" collapsed="false">
      <c r="A40" s="32"/>
      <c r="B40" s="32"/>
      <c r="C40" s="32"/>
      <c r="D40" s="32"/>
      <c r="E40" s="32"/>
      <c r="F40" s="32"/>
      <c r="G40" s="32"/>
      <c r="H40" s="32"/>
      <c r="J40" s="31" t="s">
        <v>398</v>
      </c>
      <c r="K40" s="31" t="s">
        <v>399</v>
      </c>
      <c r="L40" s="31" t="s">
        <v>400</v>
      </c>
      <c r="N40" s="35"/>
      <c r="O40" s="35"/>
    </row>
    <row r="41" customFormat="false" ht="15" hidden="false" customHeight="false" outlineLevel="0" collapsed="false">
      <c r="A41" s="32"/>
      <c r="B41" s="32"/>
      <c r="C41" s="32"/>
      <c r="D41" s="32"/>
      <c r="E41" s="32"/>
      <c r="F41" s="32"/>
      <c r="G41" s="32"/>
      <c r="H41" s="32"/>
      <c r="J41" s="31" t="s">
        <v>401</v>
      </c>
      <c r="K41" s="31" t="s">
        <v>402</v>
      </c>
      <c r="L41" s="31" t="s">
        <v>403</v>
      </c>
      <c r="N41" s="35"/>
      <c r="O41" s="35"/>
    </row>
    <row r="42" customFormat="false" ht="15" hidden="false" customHeight="false" outlineLevel="0" collapsed="false">
      <c r="A42" s="32"/>
      <c r="B42" s="32"/>
      <c r="C42" s="32"/>
      <c r="D42" s="32"/>
      <c r="E42" s="32"/>
      <c r="F42" s="32"/>
      <c r="G42" s="32"/>
      <c r="H42" s="32"/>
      <c r="J42" s="31" t="s">
        <v>404</v>
      </c>
      <c r="K42" s="31" t="s">
        <v>405</v>
      </c>
      <c r="L42" s="31" t="s">
        <v>406</v>
      </c>
      <c r="N42" s="35"/>
      <c r="O42" s="35"/>
    </row>
    <row r="43" customFormat="false" ht="15" hidden="false" customHeight="false" outlineLevel="0" collapsed="false">
      <c r="A43" s="32"/>
      <c r="B43" s="32"/>
      <c r="C43" s="32"/>
      <c r="D43" s="32"/>
      <c r="E43" s="32"/>
      <c r="F43" s="32"/>
      <c r="G43" s="32"/>
      <c r="H43" s="32"/>
      <c r="J43" s="31" t="s">
        <v>376</v>
      </c>
      <c r="K43" s="31" t="s">
        <v>407</v>
      </c>
      <c r="L43" s="31" t="s">
        <v>408</v>
      </c>
      <c r="N43" s="35"/>
      <c r="O43" s="35"/>
    </row>
    <row r="44" customFormat="false" ht="15" hidden="false" customHeight="false" outlineLevel="0" collapsed="false">
      <c r="A44" s="32"/>
      <c r="B44" s="32"/>
      <c r="C44" s="32"/>
      <c r="D44" s="32"/>
      <c r="E44" s="32"/>
      <c r="F44" s="32"/>
      <c r="G44" s="32"/>
      <c r="H44" s="32"/>
      <c r="J44" s="31" t="s">
        <v>409</v>
      </c>
      <c r="K44" s="31" t="s">
        <v>407</v>
      </c>
      <c r="L44" s="31" t="s">
        <v>410</v>
      </c>
      <c r="N44" s="35"/>
      <c r="O44" s="35"/>
    </row>
    <row r="45" customFormat="false" ht="15" hidden="false" customHeight="false" outlineLevel="0" collapsed="false">
      <c r="A45" s="32"/>
      <c r="B45" s="32"/>
      <c r="C45" s="32"/>
      <c r="D45" s="32"/>
      <c r="E45" s="32"/>
      <c r="F45" s="32"/>
      <c r="G45" s="32"/>
      <c r="H45" s="32"/>
      <c r="J45" s="31" t="s">
        <v>411</v>
      </c>
      <c r="K45" s="31" t="s">
        <v>377</v>
      </c>
      <c r="L45" s="31" t="s">
        <v>412</v>
      </c>
      <c r="N45" s="35"/>
      <c r="O45" s="35"/>
    </row>
    <row r="46" customFormat="false" ht="15" hidden="false" customHeight="false" outlineLevel="0" collapsed="false">
      <c r="A46" s="32"/>
      <c r="B46" s="32"/>
      <c r="C46" s="32"/>
      <c r="D46" s="32"/>
      <c r="E46" s="32"/>
      <c r="F46" s="32"/>
      <c r="G46" s="32"/>
      <c r="H46" s="32"/>
      <c r="J46" s="31" t="s">
        <v>413</v>
      </c>
      <c r="K46" s="31" t="s">
        <v>414</v>
      </c>
      <c r="L46" s="31" t="s">
        <v>413</v>
      </c>
      <c r="N46" s="35"/>
      <c r="O46" s="35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32"/>
      <c r="G47" s="32"/>
      <c r="H47" s="32"/>
      <c r="J47" s="31" t="s">
        <v>250</v>
      </c>
      <c r="K47" s="31" t="s">
        <v>415</v>
      </c>
      <c r="L47" s="31" t="s">
        <v>251</v>
      </c>
      <c r="N47" s="35"/>
      <c r="O47" s="35"/>
    </row>
    <row r="48" customFormat="false" ht="15" hidden="false" customHeight="false" outlineLevel="0" collapsed="false">
      <c r="A48" s="32"/>
      <c r="B48" s="32"/>
      <c r="C48" s="32"/>
      <c r="D48" s="32"/>
      <c r="E48" s="32"/>
      <c r="F48" s="32"/>
      <c r="G48" s="32"/>
      <c r="H48" s="32"/>
      <c r="J48" s="31" t="s">
        <v>416</v>
      </c>
      <c r="K48" s="31" t="s">
        <v>417</v>
      </c>
      <c r="L48" s="31" t="s">
        <v>418</v>
      </c>
      <c r="N48" s="35"/>
      <c r="O48" s="35"/>
    </row>
    <row r="49" customFormat="false" ht="15" hidden="false" customHeight="false" outlineLevel="0" collapsed="false">
      <c r="A49" s="32"/>
      <c r="B49" s="32"/>
      <c r="C49" s="32"/>
      <c r="D49" s="32"/>
      <c r="E49" s="32"/>
      <c r="F49" s="32"/>
      <c r="G49" s="32"/>
      <c r="H49" s="32"/>
      <c r="J49" s="32"/>
      <c r="K49" s="32"/>
      <c r="L49" s="32"/>
      <c r="N49" s="35"/>
      <c r="O49" s="35"/>
    </row>
    <row r="50" customFormat="false" ht="15" hidden="false" customHeight="false" outlineLevel="0" collapsed="false">
      <c r="A50" s="32"/>
      <c r="B50" s="32"/>
      <c r="C50" s="32"/>
      <c r="D50" s="32"/>
      <c r="E50" s="32"/>
      <c r="F50" s="32"/>
      <c r="G50" s="32"/>
      <c r="H50" s="32"/>
      <c r="J50" s="32"/>
      <c r="K50" s="32"/>
      <c r="L50" s="32"/>
      <c r="N50" s="35"/>
      <c r="O50" s="35"/>
    </row>
    <row r="51" customFormat="false" ht="15" hidden="false" customHeight="false" outlineLevel="0" collapsed="false">
      <c r="A51" s="32"/>
      <c r="B51" s="32"/>
      <c r="C51" s="32"/>
      <c r="D51" s="32"/>
      <c r="E51" s="32"/>
      <c r="F51" s="32"/>
      <c r="G51" s="32"/>
      <c r="H51" s="32"/>
      <c r="J51" s="32"/>
      <c r="K51" s="32"/>
      <c r="L51" s="32"/>
      <c r="N51" s="35"/>
      <c r="O51" s="35"/>
    </row>
    <row r="52" customFormat="false" ht="15" hidden="false" customHeight="false" outlineLevel="0" collapsed="false">
      <c r="A52" s="32"/>
      <c r="B52" s="32"/>
      <c r="C52" s="32"/>
      <c r="D52" s="32"/>
      <c r="E52" s="32"/>
      <c r="F52" s="32"/>
      <c r="G52" s="32"/>
      <c r="H52" s="32"/>
      <c r="J52" s="32"/>
      <c r="K52" s="32"/>
      <c r="L52" s="32"/>
      <c r="N52" s="35"/>
      <c r="O52" s="35"/>
    </row>
    <row r="53" customFormat="false" ht="15" hidden="false" customHeight="false" outlineLevel="0" collapsed="false">
      <c r="A53" s="32"/>
      <c r="B53" s="32"/>
      <c r="C53" s="32"/>
      <c r="D53" s="32"/>
      <c r="E53" s="32"/>
      <c r="F53" s="32"/>
      <c r="G53" s="32"/>
      <c r="H53" s="32"/>
      <c r="J53" s="32"/>
      <c r="K53" s="32"/>
      <c r="L53" s="32"/>
      <c r="N53" s="35"/>
      <c r="O53" s="35"/>
    </row>
    <row r="54" customFormat="false" ht="15" hidden="false" customHeight="false" outlineLevel="0" collapsed="false">
      <c r="A54" s="32"/>
      <c r="B54" s="32"/>
      <c r="C54" s="32"/>
      <c r="D54" s="32"/>
      <c r="E54" s="32"/>
      <c r="F54" s="32"/>
      <c r="G54" s="32"/>
      <c r="H54" s="32"/>
      <c r="J54" s="32"/>
      <c r="K54" s="32"/>
      <c r="L54" s="32"/>
      <c r="N54" s="35"/>
      <c r="O54" s="35"/>
    </row>
    <row r="55" customFormat="false" ht="15" hidden="false" customHeight="false" outlineLevel="0" collapsed="false">
      <c r="A55" s="32"/>
      <c r="B55" s="32"/>
      <c r="C55" s="32"/>
      <c r="D55" s="32"/>
      <c r="E55" s="32"/>
      <c r="F55" s="32"/>
      <c r="G55" s="32"/>
      <c r="H55" s="32"/>
      <c r="J55" s="32"/>
      <c r="K55" s="32"/>
      <c r="L55" s="32"/>
      <c r="N55" s="35"/>
      <c r="O55" s="35"/>
    </row>
    <row r="56" customFormat="false" ht="15" hidden="false" customHeight="false" outlineLevel="0" collapsed="false">
      <c r="A56" s="32"/>
      <c r="B56" s="32"/>
      <c r="C56" s="32"/>
      <c r="D56" s="32"/>
      <c r="E56" s="32"/>
      <c r="F56" s="32"/>
      <c r="G56" s="32"/>
      <c r="H56" s="32"/>
      <c r="J56" s="32"/>
      <c r="K56" s="32"/>
      <c r="L56" s="32"/>
      <c r="N56" s="35"/>
      <c r="O56" s="35"/>
    </row>
    <row r="57" customFormat="false" ht="15" hidden="false" customHeight="false" outlineLevel="0" collapsed="false">
      <c r="A57" s="32"/>
      <c r="B57" s="32"/>
      <c r="C57" s="32"/>
      <c r="D57" s="32"/>
      <c r="E57" s="32"/>
      <c r="F57" s="32"/>
      <c r="G57" s="32"/>
      <c r="H57" s="32"/>
      <c r="J57" s="32"/>
      <c r="K57" s="32"/>
      <c r="L57" s="32"/>
      <c r="N57" s="35"/>
      <c r="O57" s="35"/>
    </row>
    <row r="58" customFormat="false" ht="15" hidden="false" customHeight="false" outlineLevel="0" collapsed="false">
      <c r="A58" s="32"/>
      <c r="B58" s="32"/>
      <c r="C58" s="32"/>
      <c r="D58" s="32"/>
      <c r="E58" s="32"/>
      <c r="F58" s="32"/>
      <c r="G58" s="32"/>
      <c r="H58" s="32"/>
      <c r="J58" s="32"/>
      <c r="K58" s="32"/>
      <c r="L58" s="32"/>
      <c r="N58" s="35"/>
      <c r="O58" s="35"/>
    </row>
    <row r="59" customFormat="false" ht="15" hidden="false" customHeight="false" outlineLevel="0" collapsed="false">
      <c r="A59" s="32"/>
      <c r="B59" s="32"/>
      <c r="C59" s="32"/>
      <c r="D59" s="32"/>
      <c r="E59" s="32"/>
      <c r="F59" s="32"/>
      <c r="G59" s="32"/>
      <c r="H59" s="32"/>
      <c r="J59" s="32"/>
      <c r="K59" s="32"/>
      <c r="L59" s="32"/>
      <c r="N59" s="35"/>
      <c r="O59" s="35"/>
    </row>
    <row r="60" customFormat="false" ht="15" hidden="false" customHeight="false" outlineLevel="0" collapsed="false">
      <c r="A60" s="32"/>
      <c r="B60" s="32"/>
      <c r="C60" s="32"/>
      <c r="D60" s="32"/>
      <c r="E60" s="32"/>
      <c r="F60" s="32"/>
      <c r="G60" s="32"/>
      <c r="H60" s="32"/>
      <c r="J60" s="32"/>
      <c r="K60" s="32"/>
      <c r="L60" s="32"/>
      <c r="N60" s="35"/>
      <c r="O60" s="35"/>
    </row>
    <row r="61" customFormat="false" ht="15" hidden="false" customHeight="false" outlineLevel="0" collapsed="false">
      <c r="A61" s="32"/>
      <c r="B61" s="32"/>
      <c r="C61" s="32"/>
      <c r="D61" s="32"/>
      <c r="E61" s="32"/>
      <c r="F61" s="32"/>
      <c r="G61" s="32"/>
      <c r="H61" s="32"/>
      <c r="J61" s="32"/>
      <c r="K61" s="32"/>
      <c r="L61" s="32"/>
    </row>
    <row r="62" customFormat="false" ht="15" hidden="false" customHeight="true" outlineLevel="0" collapsed="false">
      <c r="A62" s="32"/>
      <c r="B62" s="32"/>
      <c r="C62" s="32"/>
      <c r="D62" s="32"/>
      <c r="E62" s="32"/>
      <c r="F62" s="32"/>
      <c r="G62" s="32"/>
      <c r="H62" s="32"/>
      <c r="J62" s="32"/>
      <c r="K62" s="32"/>
      <c r="L62" s="32"/>
      <c r="N62" s="36" t="s">
        <v>419</v>
      </c>
      <c r="O62" s="36"/>
    </row>
    <row r="63" customFormat="false" ht="15" hidden="false" customHeight="false" outlineLevel="0" collapsed="false">
      <c r="A63" s="32"/>
      <c r="B63" s="32"/>
      <c r="C63" s="32"/>
      <c r="D63" s="32"/>
      <c r="E63" s="32"/>
      <c r="F63" s="32"/>
      <c r="G63" s="32"/>
      <c r="H63" s="32"/>
      <c r="J63" s="32"/>
      <c r="K63" s="32"/>
      <c r="L63" s="32"/>
      <c r="N63" s="36"/>
      <c r="O63" s="36"/>
    </row>
    <row r="64" customFormat="false" ht="15" hidden="false" customHeight="false" outlineLevel="0" collapsed="false">
      <c r="A64" s="32"/>
      <c r="B64" s="32"/>
      <c r="C64" s="32"/>
      <c r="D64" s="32"/>
      <c r="E64" s="32"/>
      <c r="F64" s="32"/>
      <c r="G64" s="32"/>
      <c r="H64" s="32"/>
      <c r="J64" s="32"/>
      <c r="K64" s="32"/>
      <c r="L64" s="32"/>
      <c r="N64" s="36"/>
      <c r="O64" s="36"/>
    </row>
    <row r="65" customFormat="false" ht="15" hidden="false" customHeight="false" outlineLevel="0" collapsed="false">
      <c r="A65" s="32"/>
      <c r="B65" s="32"/>
      <c r="C65" s="32"/>
      <c r="D65" s="32"/>
      <c r="E65" s="32"/>
      <c r="F65" s="32"/>
      <c r="G65" s="32"/>
      <c r="H65" s="32"/>
      <c r="J65" s="32"/>
      <c r="K65" s="32"/>
      <c r="L65" s="32"/>
      <c r="N65" s="36"/>
      <c r="O65" s="36"/>
    </row>
    <row r="66" customFormat="false" ht="15" hidden="false" customHeight="false" outlineLevel="0" collapsed="false">
      <c r="A66" s="32"/>
      <c r="B66" s="32"/>
      <c r="C66" s="32"/>
      <c r="D66" s="32"/>
      <c r="E66" s="32"/>
      <c r="F66" s="32"/>
      <c r="G66" s="32"/>
      <c r="H66" s="32"/>
      <c r="J66" s="32"/>
      <c r="K66" s="32"/>
      <c r="L66" s="32"/>
      <c r="N66" s="36"/>
      <c r="O66" s="36"/>
    </row>
    <row r="67" customFormat="false" ht="15" hidden="false" customHeight="false" outlineLevel="0" collapsed="false">
      <c r="A67" s="32"/>
      <c r="B67" s="32"/>
      <c r="C67" s="32"/>
      <c r="D67" s="32"/>
      <c r="E67" s="32"/>
      <c r="F67" s="32"/>
      <c r="G67" s="32"/>
      <c r="H67" s="32"/>
      <c r="J67" s="32"/>
      <c r="K67" s="32"/>
      <c r="L67" s="32"/>
    </row>
    <row r="68" customFormat="false" ht="15" hidden="false" customHeight="false" outlineLevel="0" collapsed="false">
      <c r="A68" s="32"/>
      <c r="B68" s="32"/>
      <c r="C68" s="32"/>
      <c r="D68" s="32"/>
      <c r="E68" s="32"/>
      <c r="F68" s="32"/>
      <c r="G68" s="32"/>
      <c r="H68" s="32"/>
      <c r="J68" s="32"/>
      <c r="K68" s="32"/>
      <c r="L68" s="32"/>
    </row>
    <row r="69" customFormat="false" ht="15" hidden="false" customHeight="false" outlineLevel="0" collapsed="false">
      <c r="A69" s="32"/>
      <c r="B69" s="32"/>
      <c r="C69" s="32"/>
      <c r="D69" s="32"/>
      <c r="E69" s="32"/>
      <c r="F69" s="32"/>
      <c r="G69" s="32"/>
      <c r="H69" s="32"/>
      <c r="J69" s="32"/>
      <c r="K69" s="32"/>
      <c r="L69" s="32"/>
    </row>
    <row r="70" customFormat="false" ht="15" hidden="false" customHeight="false" outlineLevel="0" collapsed="false">
      <c r="A70" s="32"/>
      <c r="B70" s="32"/>
      <c r="C70" s="32"/>
      <c r="D70" s="32"/>
      <c r="E70" s="32"/>
      <c r="F70" s="32"/>
      <c r="G70" s="32"/>
      <c r="H70" s="32"/>
      <c r="J70" s="32"/>
      <c r="K70" s="32"/>
      <c r="L70" s="32"/>
    </row>
    <row r="71" customFormat="false" ht="15" hidden="false" customHeight="false" outlineLevel="0" collapsed="false">
      <c r="A71" s="32"/>
      <c r="B71" s="32"/>
      <c r="C71" s="32"/>
      <c r="D71" s="32"/>
      <c r="E71" s="32"/>
      <c r="F71" s="32"/>
      <c r="G71" s="32"/>
      <c r="H71" s="32"/>
      <c r="J71" s="32"/>
      <c r="K71" s="32"/>
      <c r="L71" s="32"/>
    </row>
    <row r="72" customFormat="false" ht="15" hidden="false" customHeight="false" outlineLevel="0" collapsed="false">
      <c r="A72" s="32"/>
      <c r="B72" s="32"/>
      <c r="C72" s="32"/>
      <c r="D72" s="32"/>
      <c r="E72" s="32"/>
      <c r="F72" s="32"/>
      <c r="G72" s="32"/>
      <c r="H72" s="32"/>
      <c r="J72" s="32"/>
      <c r="K72" s="32"/>
      <c r="L72" s="32"/>
    </row>
    <row r="73" customFormat="false" ht="15" hidden="false" customHeight="false" outlineLevel="0" collapsed="false">
      <c r="A73" s="32"/>
      <c r="B73" s="32"/>
      <c r="C73" s="32"/>
      <c r="D73" s="32"/>
      <c r="E73" s="32"/>
      <c r="F73" s="32"/>
      <c r="G73" s="32"/>
      <c r="H73" s="32"/>
      <c r="J73" s="32"/>
      <c r="K73" s="32"/>
      <c r="L73" s="32"/>
    </row>
    <row r="74" customFormat="false" ht="1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J74" s="32"/>
      <c r="K74" s="32"/>
      <c r="L74" s="32"/>
    </row>
    <row r="75" customFormat="false" ht="1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J75" s="32"/>
      <c r="K75" s="32"/>
      <c r="L75" s="32"/>
    </row>
    <row r="76" customFormat="false" ht="1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J76" s="32"/>
      <c r="K76" s="32"/>
      <c r="L76" s="32"/>
    </row>
    <row r="77" customFormat="false" ht="15" hidden="false" customHeight="false" outlineLevel="0" collapsed="false">
      <c r="A77" s="32"/>
      <c r="B77" s="32"/>
      <c r="C77" s="32"/>
      <c r="D77" s="32"/>
      <c r="E77" s="32"/>
      <c r="F77" s="32"/>
      <c r="G77" s="32"/>
      <c r="H77" s="32"/>
      <c r="J77" s="32"/>
      <c r="K77" s="32"/>
      <c r="L77" s="32"/>
    </row>
    <row r="78" customFormat="false" ht="15" hidden="false" customHeight="false" outlineLevel="0" collapsed="false">
      <c r="A78" s="32"/>
      <c r="B78" s="32"/>
      <c r="C78" s="32"/>
      <c r="D78" s="32"/>
      <c r="E78" s="32"/>
      <c r="F78" s="32"/>
      <c r="G78" s="32"/>
      <c r="H78" s="32"/>
      <c r="J78" s="32"/>
      <c r="K78" s="32"/>
      <c r="L78" s="32"/>
    </row>
    <row r="79" customFormat="false" ht="1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J79" s="32"/>
      <c r="K79" s="32"/>
      <c r="L79" s="32"/>
    </row>
    <row r="80" customFormat="false" ht="1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J80" s="32"/>
      <c r="K80" s="32"/>
      <c r="L80" s="32"/>
    </row>
    <row r="81" customFormat="false" ht="15" hidden="false" customHeight="false" outlineLevel="0" collapsed="false">
      <c r="A81" s="32"/>
      <c r="B81" s="32"/>
      <c r="C81" s="32"/>
      <c r="D81" s="32"/>
      <c r="E81" s="32"/>
      <c r="F81" s="32"/>
      <c r="G81" s="32"/>
      <c r="H81" s="32"/>
      <c r="J81" s="32"/>
      <c r="K81" s="32"/>
      <c r="L81" s="32"/>
    </row>
    <row r="82" customFormat="false" ht="15" hidden="false" customHeight="false" outlineLevel="0" collapsed="false">
      <c r="A82" s="32"/>
      <c r="B82" s="32"/>
      <c r="C82" s="32"/>
      <c r="D82" s="32"/>
      <c r="E82" s="32"/>
      <c r="F82" s="32"/>
      <c r="G82" s="32"/>
      <c r="H82" s="32"/>
      <c r="J82" s="32"/>
      <c r="K82" s="32"/>
      <c r="L82" s="32"/>
    </row>
    <row r="83" customFormat="false" ht="15" hidden="false" customHeight="false" outlineLevel="0" collapsed="false">
      <c r="A83" s="32"/>
      <c r="B83" s="32"/>
      <c r="C83" s="32"/>
      <c r="D83" s="32"/>
      <c r="E83" s="32"/>
      <c r="F83" s="32"/>
      <c r="G83" s="32"/>
      <c r="H83" s="32"/>
      <c r="J83" s="32"/>
      <c r="K83" s="32"/>
      <c r="L83" s="32"/>
    </row>
    <row r="84" customFormat="false" ht="15" hidden="false" customHeight="false" outlineLevel="0" collapsed="false">
      <c r="A84" s="32"/>
      <c r="B84" s="32"/>
      <c r="C84" s="32"/>
      <c r="D84" s="32"/>
      <c r="E84" s="32"/>
      <c r="F84" s="32"/>
      <c r="G84" s="32"/>
      <c r="H84" s="32"/>
      <c r="J84" s="32"/>
      <c r="K84" s="32"/>
      <c r="L84" s="32"/>
    </row>
    <row r="85" customFormat="false" ht="15" hidden="false" customHeight="false" outlineLevel="0" collapsed="false">
      <c r="A85" s="32"/>
      <c r="B85" s="32"/>
      <c r="C85" s="32"/>
      <c r="D85" s="32"/>
      <c r="E85" s="32"/>
      <c r="F85" s="32"/>
      <c r="G85" s="32"/>
      <c r="H85" s="32"/>
      <c r="J85" s="32"/>
      <c r="K85" s="32"/>
      <c r="L85" s="32"/>
    </row>
    <row r="86" customFormat="false" ht="1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J86" s="32"/>
      <c r="K86" s="32"/>
      <c r="L86" s="32"/>
    </row>
    <row r="87" customFormat="false" ht="1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J87" s="32"/>
      <c r="K87" s="32"/>
      <c r="L87" s="32"/>
    </row>
    <row r="88" customFormat="false" ht="1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J88" s="32"/>
      <c r="K88" s="32"/>
      <c r="L88" s="32"/>
    </row>
    <row r="89" customFormat="false" ht="15" hidden="false" customHeight="false" outlineLevel="0" collapsed="false">
      <c r="A89" s="32"/>
      <c r="B89" s="32"/>
      <c r="C89" s="32"/>
      <c r="D89" s="32"/>
      <c r="E89" s="32"/>
      <c r="F89" s="32"/>
      <c r="G89" s="32"/>
      <c r="H89" s="32"/>
      <c r="J89" s="32"/>
      <c r="K89" s="32"/>
      <c r="L89" s="32"/>
    </row>
    <row r="90" customFormat="false" ht="15" hidden="false" customHeight="false" outlineLevel="0" collapsed="false">
      <c r="A90" s="32"/>
      <c r="B90" s="32"/>
      <c r="C90" s="32"/>
      <c r="D90" s="32"/>
      <c r="E90" s="32"/>
      <c r="F90" s="32"/>
      <c r="G90" s="32"/>
      <c r="H90" s="32"/>
      <c r="J90" s="32"/>
      <c r="K90" s="32"/>
      <c r="L90" s="32"/>
    </row>
    <row r="91" customFormat="false" ht="15" hidden="false" customHeight="false" outlineLevel="0" collapsed="false">
      <c r="A91" s="32"/>
      <c r="B91" s="32"/>
      <c r="C91" s="32"/>
      <c r="D91" s="32"/>
      <c r="E91" s="32"/>
      <c r="F91" s="32"/>
      <c r="G91" s="32"/>
      <c r="H91" s="32"/>
      <c r="J91" s="32"/>
      <c r="K91" s="32"/>
      <c r="L91" s="32"/>
    </row>
    <row r="92" customFormat="false" ht="15" hidden="false" customHeight="false" outlineLevel="0" collapsed="false">
      <c r="A92" s="32"/>
      <c r="B92" s="32"/>
      <c r="C92" s="32"/>
      <c r="D92" s="32"/>
      <c r="E92" s="32"/>
      <c r="F92" s="32"/>
      <c r="G92" s="32"/>
      <c r="H92" s="32"/>
      <c r="J92" s="32"/>
      <c r="K92" s="32"/>
      <c r="L92" s="32"/>
    </row>
    <row r="93" customFormat="false" ht="15" hidden="false" customHeight="false" outlineLevel="0" collapsed="false">
      <c r="A93" s="32"/>
      <c r="B93" s="32"/>
      <c r="C93" s="32"/>
      <c r="D93" s="32"/>
      <c r="E93" s="32"/>
      <c r="F93" s="32"/>
      <c r="G93" s="32"/>
      <c r="H93" s="32"/>
      <c r="J93" s="32"/>
      <c r="K93" s="32"/>
      <c r="L93" s="32"/>
    </row>
    <row r="94" customFormat="false" ht="15" hidden="false" customHeight="false" outlineLevel="0" collapsed="false">
      <c r="A94" s="32"/>
      <c r="B94" s="32"/>
      <c r="C94" s="32"/>
      <c r="D94" s="32"/>
      <c r="E94" s="32"/>
      <c r="F94" s="32"/>
      <c r="G94" s="32"/>
      <c r="H94" s="32"/>
      <c r="J94" s="32"/>
      <c r="K94" s="32"/>
      <c r="L94" s="32"/>
    </row>
    <row r="95" customFormat="false" ht="15" hidden="false" customHeight="false" outlineLevel="0" collapsed="false">
      <c r="A95" s="32"/>
      <c r="B95" s="32"/>
      <c r="C95" s="32"/>
      <c r="D95" s="32"/>
      <c r="E95" s="32"/>
      <c r="F95" s="32"/>
      <c r="G95" s="32"/>
      <c r="H95" s="32"/>
      <c r="J95" s="32"/>
      <c r="K95" s="32"/>
      <c r="L95" s="32"/>
    </row>
    <row r="96" customFormat="false" ht="15" hidden="false" customHeight="false" outlineLevel="0" collapsed="false">
      <c r="A96" s="32"/>
      <c r="B96" s="32"/>
      <c r="C96" s="32"/>
      <c r="D96" s="32"/>
      <c r="E96" s="32"/>
      <c r="F96" s="32"/>
      <c r="G96" s="32"/>
      <c r="H96" s="32"/>
      <c r="J96" s="32"/>
      <c r="K96" s="32"/>
      <c r="L96" s="32"/>
    </row>
    <row r="97" customFormat="false" ht="15" hidden="false" customHeight="false" outlineLevel="0" collapsed="false">
      <c r="A97" s="32"/>
      <c r="B97" s="32"/>
      <c r="C97" s="32"/>
      <c r="D97" s="32"/>
      <c r="E97" s="32"/>
      <c r="F97" s="32"/>
      <c r="G97" s="32"/>
      <c r="H97" s="32"/>
      <c r="J97" s="32"/>
      <c r="K97" s="32"/>
      <c r="L97" s="32"/>
    </row>
    <row r="98" customFormat="false" ht="15" hidden="false" customHeight="false" outlineLevel="0" collapsed="false">
      <c r="A98" s="32"/>
      <c r="B98" s="32"/>
      <c r="C98" s="32"/>
      <c r="D98" s="32"/>
      <c r="E98" s="32"/>
      <c r="F98" s="32"/>
      <c r="G98" s="32"/>
      <c r="H98" s="32"/>
      <c r="J98" s="32"/>
      <c r="K98" s="32"/>
      <c r="L98" s="32"/>
    </row>
    <row r="99" customFormat="false" ht="15" hidden="false" customHeight="false" outlineLevel="0" collapsed="false">
      <c r="A99" s="32"/>
      <c r="B99" s="32"/>
      <c r="C99" s="32"/>
      <c r="D99" s="32"/>
      <c r="E99" s="32"/>
      <c r="F99" s="32"/>
      <c r="G99" s="32"/>
      <c r="H99" s="32"/>
      <c r="J99" s="32"/>
      <c r="K99" s="32"/>
      <c r="L99" s="32"/>
    </row>
    <row r="100" customFormat="false" ht="15" hidden="false" customHeight="false" outlineLevel="0" collapsed="false">
      <c r="A100" s="32"/>
      <c r="B100" s="32"/>
      <c r="C100" s="32"/>
      <c r="D100" s="32"/>
      <c r="E100" s="32"/>
      <c r="F100" s="32"/>
      <c r="G100" s="32"/>
      <c r="H100" s="32"/>
      <c r="J100" s="32"/>
      <c r="K100" s="32"/>
      <c r="L100" s="32"/>
    </row>
    <row r="101" customFormat="false" ht="15" hidden="false" customHeight="false" outlineLevel="0" collapsed="false">
      <c r="A101" s="32"/>
      <c r="B101" s="32"/>
      <c r="C101" s="32"/>
      <c r="D101" s="32"/>
      <c r="E101" s="32"/>
      <c r="F101" s="32"/>
      <c r="G101" s="32"/>
      <c r="H101" s="32"/>
      <c r="J101" s="32"/>
      <c r="K101" s="32"/>
      <c r="L101" s="32"/>
    </row>
    <row r="102" customFormat="false" ht="15" hidden="false" customHeight="false" outlineLevel="0" collapsed="false">
      <c r="A102" s="32"/>
      <c r="B102" s="32"/>
      <c r="C102" s="32"/>
      <c r="D102" s="32"/>
      <c r="E102" s="32"/>
      <c r="F102" s="32"/>
      <c r="G102" s="32"/>
      <c r="H102" s="32"/>
      <c r="J102" s="32"/>
      <c r="K102" s="32"/>
      <c r="L102" s="32"/>
    </row>
    <row r="103" customFormat="false" ht="15" hidden="false" customHeight="false" outlineLevel="0" collapsed="false">
      <c r="A103" s="32"/>
      <c r="B103" s="32"/>
      <c r="C103" s="32"/>
      <c r="D103" s="32"/>
      <c r="E103" s="32"/>
      <c r="F103" s="32"/>
      <c r="G103" s="32"/>
      <c r="H103" s="32"/>
      <c r="J103" s="32"/>
      <c r="K103" s="32"/>
      <c r="L103" s="32"/>
    </row>
    <row r="104" customFormat="false" ht="15" hidden="false" customHeight="false" outlineLevel="0" collapsed="false">
      <c r="A104" s="32"/>
      <c r="B104" s="32"/>
      <c r="C104" s="32"/>
      <c r="D104" s="32"/>
      <c r="E104" s="32"/>
      <c r="F104" s="32"/>
      <c r="G104" s="32"/>
      <c r="H104" s="32"/>
      <c r="J104" s="32"/>
      <c r="K104" s="32"/>
      <c r="L104" s="32"/>
    </row>
    <row r="105" customFormat="false" ht="15" hidden="false" customHeight="false" outlineLevel="0" collapsed="false">
      <c r="A105" s="32"/>
      <c r="B105" s="32"/>
      <c r="C105" s="32"/>
      <c r="D105" s="32"/>
      <c r="E105" s="32"/>
      <c r="F105" s="32"/>
      <c r="G105" s="32"/>
      <c r="H105" s="32"/>
      <c r="J105" s="32"/>
      <c r="K105" s="32"/>
      <c r="L105" s="32"/>
    </row>
    <row r="106" customFormat="false" ht="15" hidden="false" customHeight="false" outlineLevel="0" collapsed="false">
      <c r="A106" s="32"/>
      <c r="B106" s="32"/>
      <c r="C106" s="32"/>
      <c r="D106" s="32"/>
      <c r="E106" s="32"/>
      <c r="F106" s="32"/>
      <c r="G106" s="32"/>
      <c r="H106" s="32"/>
      <c r="J106" s="32"/>
      <c r="K106" s="32"/>
      <c r="L106" s="32"/>
    </row>
    <row r="107" customFormat="false" ht="15" hidden="false" customHeight="false" outlineLevel="0" collapsed="false">
      <c r="A107" s="32"/>
      <c r="B107" s="32"/>
      <c r="C107" s="32"/>
      <c r="D107" s="32"/>
      <c r="E107" s="32"/>
      <c r="F107" s="32"/>
      <c r="G107" s="32"/>
      <c r="H107" s="32"/>
      <c r="J107" s="32"/>
      <c r="K107" s="32"/>
      <c r="L107" s="32"/>
    </row>
    <row r="108" customFormat="false" ht="15" hidden="false" customHeight="false" outlineLevel="0" collapsed="false">
      <c r="A108" s="32"/>
      <c r="B108" s="32"/>
      <c r="C108" s="32"/>
      <c r="D108" s="32"/>
      <c r="E108" s="32"/>
      <c r="F108" s="32"/>
      <c r="G108" s="32"/>
      <c r="H108" s="32"/>
      <c r="J108" s="32"/>
      <c r="K108" s="32"/>
      <c r="L108" s="32"/>
    </row>
    <row r="109" customFormat="false" ht="15" hidden="false" customHeight="false" outlineLevel="0" collapsed="false">
      <c r="A109" s="32"/>
      <c r="B109" s="32"/>
      <c r="C109" s="32"/>
      <c r="D109" s="32"/>
      <c r="E109" s="32"/>
      <c r="F109" s="32"/>
      <c r="G109" s="32"/>
      <c r="H109" s="32"/>
      <c r="J109" s="32"/>
      <c r="K109" s="32"/>
      <c r="L109" s="32"/>
    </row>
    <row r="110" customFormat="false" ht="15" hidden="false" customHeight="false" outlineLevel="0" collapsed="false">
      <c r="A110" s="32"/>
      <c r="B110" s="32"/>
      <c r="C110" s="32"/>
      <c r="D110" s="32"/>
      <c r="E110" s="32"/>
      <c r="F110" s="32"/>
      <c r="G110" s="32"/>
      <c r="H110" s="32"/>
      <c r="J110" s="32"/>
      <c r="K110" s="32"/>
      <c r="L110" s="32"/>
    </row>
    <row r="111" customFormat="false" ht="15" hidden="false" customHeight="false" outlineLevel="0" collapsed="false">
      <c r="A111" s="32"/>
      <c r="B111" s="32"/>
      <c r="C111" s="32"/>
      <c r="D111" s="32"/>
      <c r="E111" s="32"/>
      <c r="F111" s="32"/>
      <c r="G111" s="32"/>
      <c r="H111" s="32"/>
      <c r="J111" s="32"/>
      <c r="K111" s="32"/>
      <c r="L111" s="32"/>
    </row>
    <row r="112" customFormat="false" ht="15" hidden="false" customHeight="false" outlineLevel="0" collapsed="false">
      <c r="A112" s="32"/>
      <c r="B112" s="32"/>
      <c r="C112" s="32"/>
      <c r="D112" s="32"/>
      <c r="E112" s="32"/>
      <c r="F112" s="32"/>
      <c r="G112" s="32"/>
      <c r="H112" s="32"/>
      <c r="J112" s="32"/>
      <c r="K112" s="32"/>
      <c r="L112" s="32"/>
    </row>
    <row r="113" customFormat="false" ht="15" hidden="false" customHeight="false" outlineLevel="0" collapsed="false">
      <c r="A113" s="32"/>
      <c r="B113" s="32"/>
      <c r="C113" s="32"/>
      <c r="D113" s="32"/>
      <c r="E113" s="32"/>
      <c r="F113" s="32"/>
      <c r="G113" s="32"/>
      <c r="H113" s="32"/>
      <c r="J113" s="32"/>
      <c r="K113" s="32"/>
      <c r="L113" s="32"/>
    </row>
    <row r="114" customFormat="false" ht="15" hidden="false" customHeight="false" outlineLevel="0" collapsed="false">
      <c r="A114" s="32"/>
      <c r="B114" s="32"/>
      <c r="C114" s="32"/>
      <c r="D114" s="32"/>
      <c r="E114" s="32"/>
      <c r="F114" s="32"/>
      <c r="G114" s="32"/>
      <c r="H114" s="32"/>
      <c r="J114" s="32"/>
      <c r="K114" s="32"/>
      <c r="L114" s="32"/>
    </row>
    <row r="115" customFormat="false" ht="15" hidden="false" customHeight="false" outlineLevel="0" collapsed="false">
      <c r="A115" s="32"/>
      <c r="B115" s="32"/>
      <c r="C115" s="32"/>
      <c r="D115" s="32"/>
      <c r="E115" s="32"/>
      <c r="F115" s="32"/>
      <c r="G115" s="32"/>
      <c r="H115" s="32"/>
      <c r="J115" s="32"/>
      <c r="K115" s="32"/>
      <c r="L115" s="32"/>
    </row>
    <row r="116" customFormat="false" ht="15" hidden="false" customHeight="false" outlineLevel="0" collapsed="false">
      <c r="A116" s="32"/>
      <c r="B116" s="32"/>
      <c r="C116" s="32"/>
      <c r="D116" s="32"/>
      <c r="E116" s="32"/>
      <c r="F116" s="32"/>
      <c r="G116" s="32"/>
      <c r="H116" s="32"/>
      <c r="J116" s="32"/>
      <c r="K116" s="32"/>
      <c r="L116" s="32"/>
    </row>
    <row r="117" customFormat="false" ht="15" hidden="false" customHeight="false" outlineLevel="0" collapsed="false">
      <c r="A117" s="32"/>
      <c r="B117" s="32"/>
      <c r="C117" s="32"/>
      <c r="D117" s="32"/>
      <c r="E117" s="32"/>
      <c r="F117" s="32"/>
      <c r="G117" s="32"/>
      <c r="H117" s="32"/>
      <c r="J117" s="32"/>
      <c r="K117" s="32"/>
      <c r="L117" s="32"/>
    </row>
    <row r="118" customFormat="false" ht="15" hidden="false" customHeight="false" outlineLevel="0" collapsed="false">
      <c r="A118" s="32"/>
      <c r="B118" s="32"/>
      <c r="C118" s="32"/>
      <c r="D118" s="32"/>
      <c r="E118" s="32"/>
      <c r="F118" s="32"/>
      <c r="G118" s="32"/>
      <c r="H118" s="32"/>
      <c r="J118" s="32"/>
      <c r="K118" s="32"/>
      <c r="L118" s="32"/>
    </row>
    <row r="119" customFormat="false" ht="15" hidden="false" customHeight="false" outlineLevel="0" collapsed="false">
      <c r="A119" s="32"/>
      <c r="B119" s="32"/>
      <c r="C119" s="32"/>
      <c r="D119" s="32"/>
      <c r="E119" s="32"/>
      <c r="F119" s="32"/>
      <c r="G119" s="32"/>
      <c r="H119" s="32"/>
      <c r="J119" s="32"/>
      <c r="K119" s="32"/>
      <c r="L119" s="32"/>
    </row>
    <row r="120" customFormat="false" ht="15" hidden="false" customHeight="false" outlineLevel="0" collapsed="false">
      <c r="A120" s="32"/>
      <c r="B120" s="32"/>
      <c r="C120" s="32"/>
      <c r="D120" s="32"/>
      <c r="E120" s="32"/>
      <c r="F120" s="32"/>
      <c r="G120" s="32"/>
      <c r="H120" s="32"/>
      <c r="J120" s="32"/>
      <c r="K120" s="32"/>
      <c r="L120" s="32"/>
    </row>
    <row r="121" customFormat="false" ht="15" hidden="false" customHeight="false" outlineLevel="0" collapsed="false">
      <c r="A121" s="32"/>
      <c r="B121" s="32"/>
      <c r="C121" s="32"/>
      <c r="D121" s="32"/>
      <c r="E121" s="32"/>
      <c r="F121" s="32"/>
      <c r="G121" s="32"/>
      <c r="H121" s="32"/>
      <c r="J121" s="32"/>
      <c r="K121" s="32"/>
      <c r="L121" s="32"/>
    </row>
    <row r="122" customFormat="false" ht="15" hidden="false" customHeight="false" outlineLevel="0" collapsed="false">
      <c r="A122" s="32"/>
      <c r="B122" s="32"/>
      <c r="C122" s="32"/>
      <c r="D122" s="32"/>
      <c r="E122" s="32"/>
      <c r="F122" s="32"/>
      <c r="G122" s="32"/>
      <c r="H122" s="32"/>
      <c r="J122" s="32"/>
      <c r="K122" s="32"/>
      <c r="L122" s="32"/>
    </row>
    <row r="123" customFormat="false" ht="15" hidden="false" customHeight="false" outlineLevel="0" collapsed="false">
      <c r="A123" s="32"/>
      <c r="B123" s="32"/>
      <c r="C123" s="32"/>
      <c r="D123" s="32"/>
      <c r="E123" s="32"/>
      <c r="F123" s="32"/>
      <c r="G123" s="32"/>
      <c r="H123" s="32"/>
      <c r="J123" s="32"/>
      <c r="K123" s="32"/>
      <c r="L123" s="32"/>
    </row>
    <row r="124" customFormat="false" ht="15" hidden="false" customHeight="false" outlineLevel="0" collapsed="false">
      <c r="A124" s="32"/>
      <c r="B124" s="32"/>
      <c r="C124" s="32"/>
      <c r="D124" s="32"/>
      <c r="E124" s="32"/>
      <c r="F124" s="32"/>
      <c r="G124" s="32"/>
      <c r="H124" s="32"/>
      <c r="J124" s="32"/>
      <c r="K124" s="32"/>
      <c r="L124" s="32"/>
    </row>
    <row r="125" customFormat="false" ht="15" hidden="false" customHeight="false" outlineLevel="0" collapsed="false">
      <c r="A125" s="32"/>
      <c r="B125" s="32"/>
      <c r="C125" s="32"/>
      <c r="D125" s="32"/>
      <c r="E125" s="32"/>
      <c r="F125" s="32"/>
      <c r="G125" s="32"/>
      <c r="H125" s="32"/>
      <c r="J125" s="32"/>
      <c r="K125" s="32"/>
      <c r="L125" s="32"/>
    </row>
    <row r="126" customFormat="false" ht="15" hidden="false" customHeight="false" outlineLevel="0" collapsed="false">
      <c r="A126" s="32"/>
      <c r="B126" s="32"/>
      <c r="C126" s="32"/>
      <c r="D126" s="32"/>
      <c r="E126" s="32"/>
      <c r="F126" s="32"/>
      <c r="G126" s="32"/>
      <c r="H126" s="32"/>
      <c r="J126" s="32"/>
      <c r="K126" s="32"/>
      <c r="L126" s="32"/>
    </row>
    <row r="127" customFormat="false" ht="15" hidden="false" customHeight="false" outlineLevel="0" collapsed="false">
      <c r="A127" s="32"/>
      <c r="B127" s="32"/>
      <c r="C127" s="32"/>
      <c r="D127" s="32"/>
      <c r="E127" s="32"/>
      <c r="F127" s="32"/>
      <c r="G127" s="32"/>
      <c r="H127" s="32"/>
      <c r="J127" s="32"/>
      <c r="K127" s="32"/>
      <c r="L127" s="32"/>
    </row>
    <row r="128" customFormat="false" ht="15" hidden="false" customHeight="false" outlineLevel="0" collapsed="false">
      <c r="A128" s="32"/>
      <c r="B128" s="32"/>
      <c r="C128" s="32"/>
      <c r="D128" s="32"/>
      <c r="E128" s="32"/>
      <c r="F128" s="32"/>
      <c r="G128" s="32"/>
      <c r="H128" s="32"/>
      <c r="J128" s="32"/>
      <c r="K128" s="32"/>
      <c r="L128" s="32"/>
    </row>
    <row r="129" customFormat="false" ht="15" hidden="false" customHeight="false" outlineLevel="0" collapsed="false">
      <c r="A129" s="32"/>
      <c r="B129" s="32"/>
      <c r="C129" s="32"/>
      <c r="D129" s="32"/>
      <c r="E129" s="32"/>
      <c r="F129" s="32"/>
      <c r="G129" s="32"/>
      <c r="H129" s="32"/>
      <c r="J129" s="32"/>
      <c r="K129" s="32"/>
      <c r="L129" s="32"/>
    </row>
    <row r="130" customFormat="false" ht="15" hidden="false" customHeight="false" outlineLevel="0" collapsed="false">
      <c r="A130" s="32"/>
      <c r="B130" s="32"/>
      <c r="C130" s="32"/>
      <c r="D130" s="32"/>
      <c r="E130" s="32"/>
      <c r="F130" s="32"/>
      <c r="G130" s="32"/>
      <c r="H130" s="32"/>
      <c r="J130" s="32"/>
      <c r="K130" s="32"/>
      <c r="L130" s="32"/>
    </row>
    <row r="131" customFormat="false" ht="15" hidden="false" customHeight="false" outlineLevel="0" collapsed="false">
      <c r="A131" s="32"/>
      <c r="B131" s="32"/>
      <c r="C131" s="32"/>
      <c r="D131" s="32"/>
      <c r="E131" s="32"/>
      <c r="F131" s="32"/>
      <c r="G131" s="32"/>
      <c r="H131" s="32"/>
      <c r="J131" s="32"/>
      <c r="K131" s="32"/>
      <c r="L131" s="32"/>
    </row>
    <row r="132" customFormat="false" ht="15" hidden="false" customHeight="false" outlineLevel="0" collapsed="false">
      <c r="A132" s="32"/>
      <c r="B132" s="32"/>
      <c r="C132" s="32"/>
      <c r="D132" s="32"/>
      <c r="E132" s="32"/>
      <c r="F132" s="32"/>
      <c r="G132" s="32"/>
      <c r="H132" s="32"/>
      <c r="J132" s="32"/>
      <c r="K132" s="32"/>
      <c r="L132" s="32"/>
    </row>
    <row r="133" customFormat="false" ht="15" hidden="false" customHeight="false" outlineLevel="0" collapsed="false">
      <c r="A133" s="32"/>
      <c r="B133" s="32"/>
      <c r="C133" s="32"/>
      <c r="D133" s="32"/>
      <c r="E133" s="32"/>
      <c r="F133" s="32"/>
      <c r="G133" s="32"/>
      <c r="H133" s="32"/>
      <c r="J133" s="32"/>
      <c r="K133" s="32"/>
      <c r="L133" s="32"/>
    </row>
    <row r="134" customFormat="false" ht="15" hidden="false" customHeight="false" outlineLevel="0" collapsed="false">
      <c r="A134" s="32"/>
      <c r="B134" s="32"/>
      <c r="C134" s="32"/>
      <c r="D134" s="32"/>
      <c r="E134" s="32"/>
      <c r="F134" s="32"/>
      <c r="G134" s="32"/>
      <c r="H134" s="32"/>
      <c r="J134" s="32"/>
      <c r="K134" s="32"/>
      <c r="L134" s="32"/>
    </row>
    <row r="135" customFormat="false" ht="15" hidden="false" customHeight="false" outlineLevel="0" collapsed="false">
      <c r="A135" s="32"/>
      <c r="B135" s="32"/>
      <c r="C135" s="32"/>
      <c r="D135" s="32"/>
      <c r="E135" s="32"/>
      <c r="F135" s="32"/>
      <c r="G135" s="32"/>
      <c r="H135" s="32"/>
      <c r="J135" s="32"/>
      <c r="K135" s="32"/>
      <c r="L135" s="32"/>
    </row>
    <row r="136" customFormat="false" ht="15" hidden="false" customHeight="false" outlineLevel="0" collapsed="false">
      <c r="A136" s="32"/>
      <c r="B136" s="32"/>
      <c r="C136" s="32"/>
      <c r="D136" s="32"/>
      <c r="E136" s="32"/>
      <c r="F136" s="32"/>
      <c r="G136" s="32"/>
      <c r="H136" s="32"/>
      <c r="J136" s="32"/>
      <c r="K136" s="32"/>
      <c r="L136" s="32"/>
    </row>
    <row r="137" customFormat="false" ht="15" hidden="false" customHeight="false" outlineLevel="0" collapsed="false">
      <c r="A137" s="32"/>
      <c r="B137" s="32"/>
      <c r="C137" s="32"/>
      <c r="D137" s="32"/>
      <c r="E137" s="32"/>
      <c r="F137" s="32"/>
      <c r="G137" s="32"/>
      <c r="H137" s="32"/>
      <c r="J137" s="32"/>
      <c r="K137" s="32"/>
      <c r="L137" s="32"/>
    </row>
    <row r="138" customFormat="false" ht="15" hidden="false" customHeight="false" outlineLevel="0" collapsed="false">
      <c r="A138" s="32"/>
      <c r="B138" s="32"/>
      <c r="C138" s="32"/>
      <c r="D138" s="32"/>
      <c r="E138" s="32"/>
      <c r="F138" s="32"/>
      <c r="G138" s="32"/>
      <c r="H138" s="32"/>
      <c r="J138" s="32"/>
      <c r="K138" s="32"/>
      <c r="L138" s="32"/>
    </row>
    <row r="139" customFormat="false" ht="15" hidden="false" customHeight="false" outlineLevel="0" collapsed="false">
      <c r="A139" s="32"/>
      <c r="B139" s="32"/>
      <c r="C139" s="32"/>
      <c r="D139" s="32"/>
      <c r="E139" s="32"/>
      <c r="F139" s="32"/>
      <c r="G139" s="32"/>
      <c r="H139" s="32"/>
      <c r="J139" s="32"/>
      <c r="K139" s="32"/>
      <c r="L139" s="32"/>
    </row>
    <row r="140" customFormat="false" ht="15" hidden="false" customHeight="false" outlineLevel="0" collapsed="false">
      <c r="A140" s="32"/>
      <c r="B140" s="32"/>
      <c r="C140" s="32"/>
      <c r="D140" s="32"/>
      <c r="E140" s="32"/>
      <c r="F140" s="32"/>
      <c r="G140" s="32"/>
      <c r="H140" s="32"/>
      <c r="J140" s="32"/>
      <c r="K140" s="32"/>
      <c r="L140" s="32"/>
    </row>
    <row r="141" customFormat="false" ht="15" hidden="false" customHeight="false" outlineLevel="0" collapsed="false">
      <c r="A141" s="32"/>
      <c r="B141" s="32"/>
      <c r="C141" s="32"/>
      <c r="D141" s="32"/>
      <c r="E141" s="32"/>
      <c r="F141" s="32"/>
      <c r="G141" s="32"/>
      <c r="H141" s="32"/>
      <c r="J141" s="32"/>
      <c r="K141" s="32"/>
      <c r="L141" s="32"/>
    </row>
    <row r="142" customFormat="false" ht="15" hidden="false" customHeight="false" outlineLevel="0" collapsed="false">
      <c r="A142" s="32"/>
      <c r="B142" s="32"/>
      <c r="C142" s="32"/>
      <c r="D142" s="32"/>
      <c r="E142" s="32"/>
      <c r="F142" s="32"/>
      <c r="G142" s="32"/>
      <c r="H142" s="32"/>
      <c r="J142" s="32"/>
      <c r="K142" s="32"/>
      <c r="L142" s="32"/>
    </row>
    <row r="143" customFormat="false" ht="15" hidden="false" customHeight="false" outlineLevel="0" collapsed="false">
      <c r="A143" s="32"/>
      <c r="B143" s="32"/>
      <c r="C143" s="32"/>
      <c r="D143" s="32"/>
      <c r="E143" s="32"/>
      <c r="F143" s="32"/>
      <c r="G143" s="32"/>
      <c r="H143" s="32"/>
      <c r="J143" s="32"/>
      <c r="K143" s="32"/>
      <c r="L143" s="32"/>
    </row>
    <row r="144" customFormat="false" ht="15" hidden="false" customHeight="false" outlineLevel="0" collapsed="false">
      <c r="A144" s="32"/>
      <c r="B144" s="32"/>
      <c r="C144" s="32"/>
      <c r="D144" s="32"/>
      <c r="E144" s="32"/>
      <c r="F144" s="32"/>
      <c r="G144" s="32"/>
      <c r="H144" s="32"/>
      <c r="J144" s="32"/>
      <c r="K144" s="32"/>
      <c r="L144" s="32"/>
    </row>
    <row r="145" customFormat="false" ht="15" hidden="false" customHeight="false" outlineLevel="0" collapsed="false">
      <c r="A145" s="32"/>
      <c r="B145" s="32"/>
      <c r="C145" s="32"/>
      <c r="D145" s="32"/>
      <c r="E145" s="32"/>
      <c r="F145" s="32"/>
      <c r="G145" s="32"/>
      <c r="H145" s="32"/>
      <c r="J145" s="32"/>
      <c r="K145" s="32"/>
      <c r="L145" s="32"/>
    </row>
    <row r="146" customFormat="false" ht="15" hidden="false" customHeight="false" outlineLevel="0" collapsed="false">
      <c r="A146" s="32"/>
      <c r="B146" s="32"/>
      <c r="C146" s="32"/>
      <c r="D146" s="32"/>
      <c r="E146" s="32"/>
      <c r="F146" s="32"/>
      <c r="G146" s="32"/>
      <c r="H146" s="32"/>
      <c r="J146" s="32"/>
      <c r="K146" s="32"/>
      <c r="L146" s="32"/>
    </row>
    <row r="147" customFormat="false" ht="15" hidden="false" customHeight="false" outlineLevel="0" collapsed="false">
      <c r="A147" s="32"/>
      <c r="B147" s="32"/>
      <c r="C147" s="32"/>
      <c r="D147" s="32"/>
      <c r="E147" s="32"/>
      <c r="F147" s="32"/>
      <c r="G147" s="32"/>
      <c r="H147" s="32"/>
      <c r="J147" s="32"/>
      <c r="K147" s="32"/>
      <c r="L147" s="32"/>
    </row>
    <row r="148" customFormat="false" ht="15" hidden="false" customHeight="false" outlineLevel="0" collapsed="false">
      <c r="A148" s="32"/>
      <c r="B148" s="32"/>
      <c r="C148" s="32"/>
      <c r="D148" s="32"/>
      <c r="E148" s="32"/>
      <c r="F148" s="32"/>
      <c r="G148" s="32"/>
      <c r="H148" s="32"/>
      <c r="J148" s="32"/>
      <c r="K148" s="32"/>
      <c r="L148" s="32"/>
    </row>
    <row r="149" customFormat="false" ht="15" hidden="false" customHeight="false" outlineLevel="0" collapsed="false">
      <c r="A149" s="32"/>
      <c r="B149" s="32"/>
      <c r="C149" s="32"/>
      <c r="D149" s="32"/>
      <c r="E149" s="32"/>
      <c r="F149" s="32"/>
      <c r="G149" s="32"/>
      <c r="H149" s="32"/>
      <c r="J149" s="32"/>
      <c r="K149" s="32"/>
      <c r="L149" s="32"/>
    </row>
    <row r="150" customFormat="false" ht="15" hidden="false" customHeight="false" outlineLevel="0" collapsed="false">
      <c r="A150" s="32"/>
      <c r="B150" s="32"/>
      <c r="C150" s="32"/>
      <c r="D150" s="32"/>
      <c r="E150" s="32"/>
      <c r="F150" s="32"/>
      <c r="G150" s="32"/>
      <c r="H150" s="32"/>
      <c r="J150" s="32"/>
      <c r="K150" s="32"/>
      <c r="L150" s="32"/>
    </row>
    <row r="151" customFormat="false" ht="15" hidden="false" customHeight="false" outlineLevel="0" collapsed="false">
      <c r="A151" s="32"/>
      <c r="B151" s="32"/>
      <c r="C151" s="32"/>
      <c r="D151" s="32"/>
      <c r="E151" s="32"/>
      <c r="F151" s="32"/>
      <c r="G151" s="32"/>
      <c r="H151" s="32"/>
      <c r="J151" s="32"/>
      <c r="K151" s="32"/>
      <c r="L151" s="32"/>
    </row>
    <row r="152" customFormat="false" ht="15" hidden="false" customHeight="false" outlineLevel="0" collapsed="false">
      <c r="A152" s="32"/>
      <c r="B152" s="32"/>
      <c r="C152" s="32"/>
      <c r="D152" s="32"/>
      <c r="E152" s="32"/>
      <c r="F152" s="32"/>
      <c r="G152" s="32"/>
      <c r="H152" s="32"/>
      <c r="J152" s="32"/>
      <c r="K152" s="32"/>
      <c r="L152" s="32"/>
    </row>
    <row r="153" customFormat="false" ht="15" hidden="false" customHeight="false" outlineLevel="0" collapsed="false">
      <c r="A153" s="32"/>
      <c r="B153" s="32"/>
      <c r="C153" s="32"/>
      <c r="D153" s="32"/>
      <c r="E153" s="32"/>
      <c r="F153" s="32"/>
      <c r="G153" s="32"/>
      <c r="H153" s="32"/>
      <c r="J153" s="32"/>
      <c r="K153" s="32"/>
      <c r="L153" s="32"/>
    </row>
    <row r="154" customFormat="false" ht="15" hidden="false" customHeight="false" outlineLevel="0" collapsed="false">
      <c r="A154" s="32"/>
      <c r="B154" s="32"/>
      <c r="C154" s="32"/>
      <c r="D154" s="32"/>
      <c r="E154" s="32"/>
      <c r="F154" s="32"/>
      <c r="G154" s="32"/>
      <c r="H154" s="32"/>
      <c r="J154" s="32"/>
      <c r="K154" s="32"/>
      <c r="L154" s="32"/>
    </row>
    <row r="155" customFormat="false" ht="15" hidden="false" customHeight="false" outlineLevel="0" collapsed="false">
      <c r="A155" s="32"/>
      <c r="B155" s="32"/>
      <c r="C155" s="32"/>
      <c r="D155" s="32"/>
      <c r="E155" s="32"/>
      <c r="F155" s="32"/>
      <c r="G155" s="32"/>
      <c r="H155" s="32"/>
      <c r="J155" s="32"/>
      <c r="K155" s="32"/>
      <c r="L155" s="32"/>
    </row>
    <row r="156" customFormat="false" ht="15" hidden="false" customHeight="false" outlineLevel="0" collapsed="false">
      <c r="A156" s="32"/>
      <c r="B156" s="32"/>
      <c r="C156" s="32"/>
      <c r="D156" s="32"/>
      <c r="E156" s="32"/>
      <c r="F156" s="32"/>
      <c r="G156" s="32"/>
      <c r="H156" s="32"/>
      <c r="J156" s="32"/>
      <c r="K156" s="32"/>
      <c r="L156" s="32"/>
    </row>
    <row r="157" customFormat="false" ht="15" hidden="false" customHeight="false" outlineLevel="0" collapsed="false">
      <c r="A157" s="32"/>
      <c r="B157" s="32"/>
      <c r="C157" s="32"/>
      <c r="D157" s="32"/>
      <c r="E157" s="32"/>
      <c r="F157" s="32"/>
      <c r="G157" s="32"/>
      <c r="H157" s="32"/>
      <c r="J157" s="32"/>
      <c r="K157" s="32"/>
      <c r="L157" s="32"/>
    </row>
    <row r="158" customFormat="false" ht="15" hidden="false" customHeight="false" outlineLevel="0" collapsed="false">
      <c r="A158" s="32"/>
      <c r="B158" s="32"/>
      <c r="C158" s="32"/>
      <c r="D158" s="32"/>
      <c r="E158" s="32"/>
      <c r="F158" s="32"/>
      <c r="G158" s="32"/>
      <c r="H158" s="32"/>
      <c r="J158" s="32"/>
      <c r="K158" s="32"/>
      <c r="L158" s="32"/>
    </row>
    <row r="159" customFormat="false" ht="15" hidden="false" customHeight="false" outlineLevel="0" collapsed="false">
      <c r="A159" s="32"/>
      <c r="B159" s="32"/>
      <c r="C159" s="32"/>
      <c r="D159" s="32"/>
      <c r="E159" s="32"/>
      <c r="F159" s="32"/>
      <c r="G159" s="32"/>
      <c r="H159" s="32"/>
      <c r="J159" s="32"/>
      <c r="K159" s="32"/>
      <c r="L159" s="32"/>
    </row>
    <row r="160" customFormat="false" ht="15" hidden="false" customHeight="false" outlineLevel="0" collapsed="false">
      <c r="A160" s="32"/>
      <c r="B160" s="32"/>
      <c r="C160" s="32"/>
      <c r="D160" s="32"/>
      <c r="E160" s="32"/>
      <c r="F160" s="32"/>
      <c r="G160" s="32"/>
      <c r="H160" s="32"/>
      <c r="J160" s="32"/>
      <c r="K160" s="32"/>
      <c r="L160" s="32"/>
    </row>
    <row r="161" customFormat="false" ht="15" hidden="false" customHeight="false" outlineLevel="0" collapsed="false">
      <c r="A161" s="32"/>
      <c r="B161" s="32"/>
      <c r="C161" s="32"/>
      <c r="D161" s="32"/>
      <c r="E161" s="32"/>
      <c r="F161" s="32"/>
      <c r="G161" s="32"/>
      <c r="H161" s="32"/>
      <c r="J161" s="32"/>
      <c r="K161" s="32"/>
      <c r="L161" s="32"/>
    </row>
    <row r="162" customFormat="false" ht="15" hidden="false" customHeight="false" outlineLevel="0" collapsed="false">
      <c r="A162" s="32"/>
      <c r="B162" s="32"/>
      <c r="C162" s="32"/>
      <c r="D162" s="32"/>
      <c r="E162" s="32"/>
      <c r="F162" s="32"/>
      <c r="G162" s="32"/>
      <c r="H162" s="32"/>
      <c r="J162" s="32"/>
      <c r="K162" s="32"/>
      <c r="L162" s="32"/>
    </row>
    <row r="163" customFormat="false" ht="15" hidden="false" customHeight="false" outlineLevel="0" collapsed="false">
      <c r="A163" s="32"/>
      <c r="B163" s="32"/>
      <c r="C163" s="32"/>
      <c r="D163" s="32"/>
      <c r="E163" s="32"/>
      <c r="F163" s="32"/>
      <c r="G163" s="32"/>
      <c r="H163" s="32"/>
      <c r="J163" s="32"/>
      <c r="K163" s="32"/>
      <c r="L163" s="32"/>
    </row>
    <row r="164" customFormat="false" ht="15" hidden="false" customHeight="false" outlineLevel="0" collapsed="false">
      <c r="A164" s="32"/>
      <c r="B164" s="32"/>
      <c r="C164" s="32"/>
      <c r="D164" s="32"/>
      <c r="E164" s="32"/>
      <c r="F164" s="32"/>
      <c r="G164" s="32"/>
      <c r="H164" s="32"/>
      <c r="J164" s="32"/>
      <c r="K164" s="32"/>
      <c r="L164" s="32"/>
    </row>
    <row r="165" customFormat="false" ht="15" hidden="false" customHeight="false" outlineLevel="0" collapsed="false">
      <c r="A165" s="32"/>
      <c r="B165" s="32"/>
      <c r="C165" s="32"/>
      <c r="D165" s="32"/>
      <c r="E165" s="32"/>
      <c r="F165" s="32"/>
      <c r="G165" s="32"/>
      <c r="H165" s="32"/>
      <c r="J165" s="32"/>
      <c r="K165" s="32"/>
      <c r="L165" s="32"/>
    </row>
    <row r="166" customFormat="false" ht="15" hidden="false" customHeight="false" outlineLevel="0" collapsed="false">
      <c r="A166" s="32"/>
      <c r="B166" s="32"/>
      <c r="C166" s="32"/>
      <c r="D166" s="32"/>
      <c r="E166" s="32"/>
      <c r="F166" s="32"/>
      <c r="G166" s="32"/>
      <c r="H166" s="32"/>
      <c r="J166" s="32"/>
      <c r="K166" s="32"/>
      <c r="L166" s="32"/>
    </row>
    <row r="167" customFormat="false" ht="15" hidden="false" customHeight="false" outlineLevel="0" collapsed="false">
      <c r="A167" s="32"/>
      <c r="B167" s="32"/>
      <c r="C167" s="32"/>
      <c r="D167" s="32"/>
      <c r="E167" s="32"/>
      <c r="F167" s="32"/>
      <c r="G167" s="32"/>
      <c r="H167" s="32"/>
      <c r="J167" s="32"/>
      <c r="K167" s="32"/>
      <c r="L167" s="32"/>
    </row>
    <row r="168" customFormat="false" ht="15" hidden="false" customHeight="false" outlineLevel="0" collapsed="false">
      <c r="A168" s="32"/>
      <c r="B168" s="32"/>
      <c r="C168" s="32"/>
      <c r="D168" s="32"/>
      <c r="E168" s="32"/>
      <c r="F168" s="32"/>
      <c r="G168" s="32"/>
      <c r="H168" s="32"/>
      <c r="J168" s="32"/>
      <c r="K168" s="32"/>
      <c r="L168" s="32"/>
    </row>
    <row r="169" customFormat="false" ht="15" hidden="false" customHeight="false" outlineLevel="0" collapsed="false">
      <c r="A169" s="32"/>
      <c r="B169" s="32"/>
      <c r="C169" s="32"/>
      <c r="D169" s="32"/>
      <c r="E169" s="32"/>
      <c r="F169" s="32"/>
      <c r="G169" s="32"/>
      <c r="H169" s="32"/>
      <c r="J169" s="32"/>
      <c r="K169" s="32"/>
      <c r="L169" s="32"/>
    </row>
    <row r="170" customFormat="false" ht="15" hidden="false" customHeight="false" outlineLevel="0" collapsed="false">
      <c r="A170" s="32"/>
      <c r="B170" s="32"/>
      <c r="C170" s="32"/>
      <c r="D170" s="32"/>
      <c r="E170" s="32"/>
      <c r="F170" s="32"/>
      <c r="G170" s="32"/>
      <c r="H170" s="32"/>
      <c r="J170" s="32"/>
      <c r="K170" s="32"/>
      <c r="L170" s="32"/>
    </row>
    <row r="171" customFormat="false" ht="15" hidden="false" customHeight="false" outlineLevel="0" collapsed="false">
      <c r="A171" s="32"/>
      <c r="B171" s="32"/>
      <c r="C171" s="32"/>
      <c r="D171" s="32"/>
      <c r="E171" s="32"/>
      <c r="F171" s="32"/>
      <c r="G171" s="32"/>
      <c r="H171" s="32"/>
      <c r="J171" s="32"/>
      <c r="K171" s="32"/>
      <c r="L171" s="32"/>
    </row>
    <row r="172" customFormat="false" ht="15" hidden="false" customHeight="false" outlineLevel="0" collapsed="false">
      <c r="A172" s="32"/>
      <c r="B172" s="32"/>
      <c r="C172" s="32"/>
      <c r="D172" s="32"/>
      <c r="E172" s="32"/>
      <c r="F172" s="32"/>
      <c r="G172" s="32"/>
      <c r="H172" s="32"/>
      <c r="J172" s="32"/>
      <c r="K172" s="32"/>
      <c r="L172" s="32"/>
    </row>
    <row r="173" customFormat="false" ht="15" hidden="false" customHeight="false" outlineLevel="0" collapsed="false">
      <c r="A173" s="32"/>
      <c r="B173" s="32"/>
      <c r="C173" s="32"/>
      <c r="D173" s="32"/>
      <c r="E173" s="32"/>
      <c r="F173" s="32"/>
      <c r="G173" s="32"/>
      <c r="H173" s="32"/>
      <c r="J173" s="32"/>
      <c r="K173" s="32"/>
      <c r="L173" s="32"/>
    </row>
    <row r="174" customFormat="false" ht="15" hidden="false" customHeight="false" outlineLevel="0" collapsed="false">
      <c r="A174" s="32"/>
      <c r="B174" s="32"/>
      <c r="C174" s="32"/>
      <c r="D174" s="32"/>
      <c r="E174" s="32"/>
      <c r="F174" s="32"/>
      <c r="G174" s="32"/>
      <c r="H174" s="32"/>
      <c r="J174" s="32"/>
      <c r="K174" s="32"/>
      <c r="L174" s="32"/>
    </row>
    <row r="175" customFormat="false" ht="15" hidden="false" customHeight="false" outlineLevel="0" collapsed="false">
      <c r="A175" s="32"/>
      <c r="B175" s="32"/>
      <c r="C175" s="32"/>
      <c r="D175" s="32"/>
      <c r="E175" s="32"/>
      <c r="F175" s="32"/>
      <c r="G175" s="32"/>
      <c r="H175" s="32"/>
      <c r="J175" s="32"/>
      <c r="K175" s="32"/>
      <c r="L175" s="32"/>
    </row>
    <row r="176" customFormat="false" ht="15" hidden="false" customHeight="false" outlineLevel="0" collapsed="false">
      <c r="A176" s="32"/>
      <c r="B176" s="32"/>
      <c r="C176" s="32"/>
      <c r="D176" s="32"/>
      <c r="E176" s="32"/>
      <c r="F176" s="32"/>
      <c r="G176" s="32"/>
      <c r="H176" s="32"/>
      <c r="J176" s="32"/>
      <c r="K176" s="32"/>
      <c r="L176" s="32"/>
    </row>
    <row r="177" customFormat="false" ht="15" hidden="false" customHeight="false" outlineLevel="0" collapsed="false">
      <c r="A177" s="32"/>
      <c r="B177" s="32"/>
      <c r="C177" s="32"/>
      <c r="D177" s="32"/>
      <c r="E177" s="32"/>
      <c r="F177" s="32"/>
      <c r="G177" s="32"/>
      <c r="H177" s="32"/>
      <c r="J177" s="32"/>
      <c r="K177" s="32"/>
      <c r="L177" s="32"/>
    </row>
    <row r="178" customFormat="false" ht="15" hidden="false" customHeight="false" outlineLevel="0" collapsed="false">
      <c r="A178" s="32"/>
      <c r="B178" s="32"/>
      <c r="C178" s="32"/>
      <c r="D178" s="32"/>
      <c r="E178" s="32"/>
      <c r="F178" s="32"/>
      <c r="G178" s="32"/>
      <c r="H178" s="32"/>
      <c r="J178" s="32"/>
      <c r="K178" s="32"/>
      <c r="L178" s="32"/>
    </row>
    <row r="179" customFormat="false" ht="15" hidden="false" customHeight="false" outlineLevel="0" collapsed="false">
      <c r="A179" s="32"/>
      <c r="B179" s="32"/>
      <c r="C179" s="32"/>
      <c r="D179" s="32"/>
      <c r="E179" s="32"/>
      <c r="F179" s="32"/>
      <c r="G179" s="32"/>
      <c r="H179" s="32"/>
      <c r="J179" s="32"/>
      <c r="K179" s="32"/>
      <c r="L179" s="32"/>
    </row>
    <row r="180" customFormat="false" ht="15" hidden="false" customHeight="false" outlineLevel="0" collapsed="false">
      <c r="A180" s="32"/>
      <c r="B180" s="32"/>
      <c r="C180" s="32"/>
      <c r="D180" s="32"/>
      <c r="E180" s="32"/>
      <c r="F180" s="32"/>
      <c r="G180" s="32"/>
      <c r="H180" s="32"/>
      <c r="J180" s="32"/>
      <c r="K180" s="32"/>
      <c r="L180" s="32"/>
    </row>
    <row r="181" customFormat="false" ht="15" hidden="false" customHeight="false" outlineLevel="0" collapsed="false">
      <c r="A181" s="32"/>
      <c r="B181" s="32"/>
      <c r="C181" s="32"/>
      <c r="D181" s="32"/>
      <c r="E181" s="32"/>
      <c r="F181" s="32"/>
      <c r="G181" s="32"/>
      <c r="H181" s="32"/>
      <c r="J181" s="32"/>
      <c r="K181" s="32"/>
      <c r="L181" s="32"/>
    </row>
    <row r="182" customFormat="false" ht="15" hidden="false" customHeight="false" outlineLevel="0" collapsed="false">
      <c r="A182" s="32"/>
      <c r="B182" s="32"/>
      <c r="C182" s="32"/>
      <c r="D182" s="32"/>
      <c r="E182" s="32"/>
      <c r="F182" s="32"/>
      <c r="G182" s="32"/>
      <c r="H182" s="32"/>
      <c r="J182" s="32"/>
      <c r="K182" s="32"/>
      <c r="L182" s="32"/>
    </row>
    <row r="183" customFormat="false" ht="15" hidden="false" customHeight="false" outlineLevel="0" collapsed="false">
      <c r="A183" s="32"/>
      <c r="B183" s="32"/>
      <c r="C183" s="32"/>
      <c r="D183" s="32"/>
      <c r="E183" s="32"/>
      <c r="F183" s="32"/>
      <c r="G183" s="32"/>
      <c r="H183" s="32"/>
      <c r="J183" s="32"/>
      <c r="K183" s="32"/>
      <c r="L183" s="32"/>
    </row>
    <row r="184" customFormat="false" ht="15" hidden="false" customHeight="false" outlineLevel="0" collapsed="false">
      <c r="A184" s="32"/>
      <c r="B184" s="32"/>
      <c r="C184" s="32"/>
      <c r="D184" s="32"/>
      <c r="E184" s="32"/>
      <c r="F184" s="32"/>
      <c r="G184" s="32"/>
      <c r="H184" s="32"/>
      <c r="J184" s="32"/>
      <c r="K184" s="32"/>
      <c r="L184" s="32"/>
    </row>
    <row r="185" customFormat="false" ht="15" hidden="false" customHeight="false" outlineLevel="0" collapsed="false">
      <c r="A185" s="32"/>
      <c r="B185" s="32"/>
      <c r="C185" s="32"/>
      <c r="D185" s="32"/>
      <c r="E185" s="32"/>
      <c r="F185" s="32"/>
      <c r="G185" s="32"/>
      <c r="H185" s="32"/>
      <c r="J185" s="32"/>
      <c r="K185" s="32"/>
      <c r="L185" s="32"/>
    </row>
    <row r="186" customFormat="false" ht="15" hidden="false" customHeight="false" outlineLevel="0" collapsed="false">
      <c r="A186" s="32"/>
      <c r="B186" s="32"/>
      <c r="C186" s="32"/>
      <c r="D186" s="32"/>
      <c r="E186" s="32"/>
      <c r="F186" s="32"/>
      <c r="G186" s="32"/>
      <c r="H186" s="32"/>
      <c r="J186" s="32"/>
      <c r="K186" s="32"/>
      <c r="L186" s="32"/>
    </row>
    <row r="187" customFormat="false" ht="15" hidden="false" customHeight="false" outlineLevel="0" collapsed="false">
      <c r="A187" s="32"/>
      <c r="B187" s="32"/>
      <c r="C187" s="32"/>
      <c r="D187" s="32"/>
      <c r="E187" s="32"/>
      <c r="F187" s="32"/>
      <c r="G187" s="32"/>
      <c r="H187" s="32"/>
      <c r="J187" s="32"/>
      <c r="K187" s="32"/>
      <c r="L187" s="32"/>
    </row>
    <row r="188" customFormat="false" ht="15" hidden="false" customHeight="false" outlineLevel="0" collapsed="false">
      <c r="A188" s="32"/>
      <c r="B188" s="32"/>
      <c r="C188" s="32"/>
      <c r="D188" s="32"/>
      <c r="E188" s="32"/>
      <c r="F188" s="32"/>
      <c r="G188" s="32"/>
      <c r="H188" s="32"/>
      <c r="J188" s="32"/>
      <c r="K188" s="32"/>
      <c r="L188" s="32"/>
    </row>
    <row r="189" customFormat="false" ht="15" hidden="false" customHeight="false" outlineLevel="0" collapsed="false">
      <c r="A189" s="32"/>
      <c r="B189" s="32"/>
      <c r="C189" s="32"/>
      <c r="D189" s="32"/>
      <c r="E189" s="32"/>
      <c r="F189" s="32"/>
      <c r="G189" s="32"/>
      <c r="H189" s="32"/>
      <c r="J189" s="32"/>
      <c r="K189" s="32"/>
      <c r="L189" s="32"/>
    </row>
    <row r="190" customFormat="false" ht="15" hidden="false" customHeight="false" outlineLevel="0" collapsed="false">
      <c r="A190" s="32"/>
      <c r="B190" s="32"/>
      <c r="C190" s="32"/>
      <c r="D190" s="32"/>
      <c r="E190" s="32"/>
      <c r="F190" s="32"/>
      <c r="G190" s="32"/>
      <c r="H190" s="32"/>
      <c r="J190" s="32"/>
      <c r="K190" s="32"/>
      <c r="L190" s="32"/>
    </row>
    <row r="191" customFormat="false" ht="15" hidden="false" customHeight="false" outlineLevel="0" collapsed="false">
      <c r="A191" s="32"/>
      <c r="B191" s="32"/>
      <c r="C191" s="32"/>
      <c r="D191" s="32"/>
      <c r="E191" s="32"/>
      <c r="F191" s="32"/>
      <c r="G191" s="32"/>
      <c r="H191" s="32"/>
      <c r="J191" s="32"/>
      <c r="K191" s="32"/>
      <c r="L191" s="32"/>
    </row>
    <row r="192" customFormat="false" ht="15" hidden="false" customHeight="false" outlineLevel="0" collapsed="false">
      <c r="A192" s="32"/>
      <c r="B192" s="32"/>
      <c r="C192" s="32"/>
      <c r="D192" s="32"/>
      <c r="E192" s="32"/>
      <c r="F192" s="32"/>
      <c r="G192" s="32"/>
      <c r="H192" s="32"/>
      <c r="J192" s="32"/>
      <c r="K192" s="32"/>
      <c r="L192" s="32"/>
    </row>
    <row r="193" customFormat="false" ht="15" hidden="false" customHeight="false" outlineLevel="0" collapsed="false">
      <c r="A193" s="32"/>
      <c r="B193" s="32"/>
      <c r="C193" s="32"/>
      <c r="D193" s="32"/>
      <c r="E193" s="32"/>
      <c r="F193" s="32"/>
      <c r="G193" s="32"/>
      <c r="H193" s="32"/>
      <c r="J193" s="32"/>
      <c r="K193" s="32"/>
      <c r="L193" s="32"/>
    </row>
    <row r="194" customFormat="false" ht="15" hidden="false" customHeight="false" outlineLevel="0" collapsed="false">
      <c r="A194" s="32"/>
      <c r="B194" s="32"/>
      <c r="C194" s="32"/>
      <c r="D194" s="32"/>
      <c r="E194" s="32"/>
      <c r="F194" s="32"/>
      <c r="G194" s="32"/>
      <c r="H194" s="32"/>
      <c r="J194" s="32"/>
      <c r="K194" s="32"/>
      <c r="L194" s="32"/>
    </row>
    <row r="195" customFormat="false" ht="15" hidden="false" customHeight="false" outlineLevel="0" collapsed="false">
      <c r="A195" s="32"/>
      <c r="B195" s="32"/>
      <c r="C195" s="32"/>
      <c r="D195" s="32"/>
      <c r="E195" s="32"/>
      <c r="F195" s="32"/>
      <c r="G195" s="32"/>
      <c r="H195" s="32"/>
      <c r="J195" s="32"/>
      <c r="K195" s="32"/>
      <c r="L195" s="32"/>
    </row>
    <row r="196" customFormat="false" ht="15" hidden="false" customHeight="false" outlineLevel="0" collapsed="false">
      <c r="A196" s="32"/>
      <c r="B196" s="32"/>
      <c r="C196" s="32"/>
      <c r="D196" s="32"/>
      <c r="E196" s="32"/>
      <c r="F196" s="32"/>
      <c r="G196" s="32"/>
      <c r="H196" s="32"/>
      <c r="J196" s="32"/>
      <c r="K196" s="32"/>
      <c r="L196" s="32"/>
    </row>
    <row r="197" customFormat="false" ht="15" hidden="false" customHeight="false" outlineLevel="0" collapsed="false">
      <c r="A197" s="32"/>
      <c r="B197" s="32"/>
      <c r="C197" s="32"/>
      <c r="D197" s="32"/>
      <c r="E197" s="32"/>
      <c r="F197" s="32"/>
      <c r="G197" s="32"/>
      <c r="H197" s="32"/>
      <c r="J197" s="32"/>
      <c r="K197" s="32"/>
      <c r="L197" s="32"/>
    </row>
    <row r="198" customFormat="false" ht="15" hidden="false" customHeight="false" outlineLevel="0" collapsed="false">
      <c r="A198" s="32"/>
      <c r="B198" s="32"/>
      <c r="C198" s="32"/>
      <c r="D198" s="32"/>
      <c r="E198" s="32"/>
      <c r="F198" s="32"/>
      <c r="G198" s="32"/>
      <c r="H198" s="32"/>
      <c r="J198" s="32"/>
      <c r="K198" s="32"/>
      <c r="L198" s="32"/>
    </row>
    <row r="199" customFormat="false" ht="15" hidden="false" customHeight="false" outlineLevel="0" collapsed="false">
      <c r="A199" s="32"/>
      <c r="B199" s="32"/>
      <c r="C199" s="32"/>
      <c r="D199" s="32"/>
      <c r="E199" s="32"/>
      <c r="F199" s="32"/>
      <c r="G199" s="32"/>
      <c r="H199" s="32"/>
      <c r="J199" s="32"/>
      <c r="K199" s="32"/>
      <c r="L199" s="32"/>
    </row>
    <row r="200" customFormat="false" ht="15" hidden="false" customHeight="false" outlineLevel="0" collapsed="false">
      <c r="A200" s="32"/>
      <c r="B200" s="32"/>
      <c r="C200" s="32"/>
      <c r="D200" s="32"/>
      <c r="E200" s="32"/>
      <c r="F200" s="32"/>
      <c r="G200" s="32"/>
      <c r="H200" s="32"/>
      <c r="J200" s="32"/>
      <c r="K200" s="32"/>
      <c r="L200" s="32"/>
    </row>
    <row r="201" customFormat="false" ht="15" hidden="false" customHeight="false" outlineLevel="0" collapsed="false">
      <c r="A201" s="32"/>
      <c r="B201" s="32"/>
      <c r="C201" s="32"/>
      <c r="D201" s="32"/>
      <c r="E201" s="32"/>
      <c r="F201" s="32"/>
      <c r="G201" s="32"/>
      <c r="H201" s="32"/>
      <c r="J201" s="32"/>
      <c r="K201" s="32"/>
      <c r="L201" s="32"/>
    </row>
    <row r="202" customFormat="false" ht="15" hidden="false" customHeight="false" outlineLevel="0" collapsed="false">
      <c r="A202" s="32"/>
      <c r="B202" s="32"/>
      <c r="C202" s="32"/>
      <c r="D202" s="32"/>
      <c r="E202" s="32"/>
      <c r="F202" s="32"/>
      <c r="G202" s="32"/>
      <c r="H202" s="32"/>
      <c r="J202" s="32"/>
      <c r="K202" s="32"/>
      <c r="L202" s="32"/>
    </row>
    <row r="203" customFormat="false" ht="15" hidden="false" customHeight="false" outlineLevel="0" collapsed="false">
      <c r="A203" s="32"/>
      <c r="B203" s="32"/>
      <c r="C203" s="32"/>
      <c r="D203" s="32"/>
      <c r="E203" s="32"/>
      <c r="F203" s="32"/>
      <c r="G203" s="32"/>
      <c r="H203" s="32"/>
      <c r="J203" s="32"/>
      <c r="K203" s="32"/>
      <c r="L203" s="32"/>
    </row>
    <row r="204" customFormat="false" ht="15" hidden="false" customHeight="false" outlineLevel="0" collapsed="false">
      <c r="A204" s="32"/>
      <c r="B204" s="32"/>
      <c r="C204" s="32"/>
      <c r="D204" s="32"/>
      <c r="E204" s="32"/>
      <c r="F204" s="32"/>
      <c r="G204" s="32"/>
      <c r="H204" s="32"/>
      <c r="J204" s="32"/>
      <c r="K204" s="32"/>
      <c r="L204" s="32"/>
    </row>
    <row r="205" customFormat="false" ht="15" hidden="false" customHeight="false" outlineLevel="0" collapsed="false">
      <c r="A205" s="32"/>
      <c r="B205" s="32"/>
      <c r="C205" s="32"/>
      <c r="D205" s="32"/>
      <c r="E205" s="32"/>
      <c r="F205" s="32"/>
      <c r="G205" s="32"/>
      <c r="H205" s="32"/>
    </row>
    <row r="206" customFormat="false" ht="15" hidden="false" customHeight="false" outlineLevel="0" collapsed="false">
      <c r="A206" s="32"/>
      <c r="B206" s="32"/>
      <c r="C206" s="32"/>
      <c r="D206" s="32"/>
      <c r="E206" s="32"/>
      <c r="F206" s="32"/>
      <c r="G206" s="32"/>
      <c r="H206" s="32"/>
    </row>
    <row r="207" customFormat="false" ht="15" hidden="false" customHeight="false" outlineLevel="0" collapsed="false">
      <c r="A207" s="32"/>
      <c r="B207" s="32"/>
      <c r="C207" s="32"/>
      <c r="D207" s="32"/>
      <c r="E207" s="32"/>
      <c r="F207" s="32"/>
      <c r="G207" s="32"/>
      <c r="H207" s="32"/>
    </row>
    <row r="208" customFormat="false" ht="15" hidden="false" customHeight="false" outlineLevel="0" collapsed="false">
      <c r="A208" s="32"/>
      <c r="B208" s="32"/>
      <c r="C208" s="32"/>
      <c r="D208" s="32"/>
      <c r="E208" s="32"/>
      <c r="F208" s="32"/>
      <c r="G208" s="32"/>
      <c r="H208" s="32"/>
    </row>
    <row r="209" customFormat="false" ht="15" hidden="false" customHeight="false" outlineLevel="0" collapsed="false">
      <c r="A209" s="32"/>
      <c r="B209" s="32"/>
      <c r="C209" s="32"/>
      <c r="D209" s="32"/>
      <c r="E209" s="32"/>
      <c r="F209" s="32"/>
      <c r="G209" s="32"/>
      <c r="H209" s="32"/>
    </row>
    <row r="210" customFormat="false" ht="15" hidden="false" customHeight="false" outlineLevel="0" collapsed="false">
      <c r="A210" s="32"/>
      <c r="B210" s="32"/>
      <c r="C210" s="32"/>
      <c r="D210" s="32"/>
      <c r="E210" s="32"/>
      <c r="F210" s="32"/>
      <c r="G210" s="32"/>
      <c r="H210" s="32"/>
    </row>
    <row r="211" customFormat="false" ht="15" hidden="false" customHeight="false" outlineLevel="0" collapsed="false">
      <c r="A211" s="32"/>
      <c r="B211" s="32"/>
      <c r="C211" s="32"/>
      <c r="D211" s="32"/>
      <c r="E211" s="32"/>
      <c r="F211" s="32"/>
      <c r="G211" s="32"/>
      <c r="H211" s="32"/>
    </row>
    <row r="212" customFormat="false" ht="15" hidden="false" customHeight="false" outlineLevel="0" collapsed="false">
      <c r="A212" s="32"/>
      <c r="B212" s="32"/>
      <c r="C212" s="32"/>
      <c r="D212" s="32"/>
      <c r="E212" s="32"/>
      <c r="F212" s="32"/>
      <c r="G212" s="32"/>
      <c r="H212" s="32"/>
    </row>
    <row r="213" customFormat="false" ht="15" hidden="false" customHeight="false" outlineLevel="0" collapsed="false">
      <c r="A213" s="32"/>
      <c r="B213" s="32"/>
      <c r="C213" s="32"/>
      <c r="D213" s="32"/>
      <c r="E213" s="32"/>
      <c r="F213" s="32"/>
      <c r="G213" s="32"/>
      <c r="H213" s="32"/>
    </row>
    <row r="214" customFormat="false" ht="15" hidden="false" customHeight="false" outlineLevel="0" collapsed="false">
      <c r="A214" s="32"/>
      <c r="B214" s="32"/>
      <c r="C214" s="32"/>
      <c r="D214" s="32"/>
      <c r="E214" s="32"/>
      <c r="F214" s="32"/>
      <c r="G214" s="32"/>
      <c r="H214" s="32"/>
    </row>
    <row r="215" customFormat="false" ht="15" hidden="false" customHeight="false" outlineLevel="0" collapsed="false">
      <c r="A215" s="32"/>
      <c r="B215" s="32"/>
      <c r="C215" s="32"/>
      <c r="D215" s="32"/>
      <c r="E215" s="32"/>
      <c r="F215" s="32"/>
      <c r="G215" s="32"/>
      <c r="H215" s="32"/>
    </row>
    <row r="216" customFormat="false" ht="15" hidden="false" customHeight="false" outlineLevel="0" collapsed="false">
      <c r="A216" s="32"/>
      <c r="B216" s="32"/>
      <c r="C216" s="32"/>
      <c r="D216" s="32"/>
      <c r="E216" s="32"/>
      <c r="F216" s="32"/>
      <c r="G216" s="32"/>
      <c r="H216" s="32"/>
    </row>
    <row r="217" customFormat="false" ht="15" hidden="false" customHeight="false" outlineLevel="0" collapsed="false">
      <c r="A217" s="32"/>
      <c r="B217" s="32"/>
      <c r="C217" s="32"/>
      <c r="D217" s="32"/>
      <c r="E217" s="32"/>
      <c r="F217" s="32"/>
      <c r="G217" s="32"/>
      <c r="H217" s="32"/>
    </row>
    <row r="218" customFormat="false" ht="15" hidden="false" customHeight="false" outlineLevel="0" collapsed="false">
      <c r="A218" s="32"/>
      <c r="B218" s="32"/>
      <c r="C218" s="32"/>
      <c r="D218" s="32"/>
      <c r="E218" s="32"/>
      <c r="F218" s="32"/>
      <c r="G218" s="32"/>
      <c r="H218" s="32"/>
    </row>
    <row r="219" customFormat="false" ht="15" hidden="false" customHeight="false" outlineLevel="0" collapsed="false">
      <c r="A219" s="32"/>
      <c r="B219" s="32"/>
      <c r="C219" s="32"/>
      <c r="D219" s="32"/>
      <c r="E219" s="32"/>
      <c r="F219" s="32"/>
      <c r="G219" s="32"/>
      <c r="H219" s="32"/>
    </row>
    <row r="220" customFormat="false" ht="15" hidden="false" customHeight="false" outlineLevel="0" collapsed="false">
      <c r="A220" s="32"/>
      <c r="B220" s="32"/>
      <c r="C220" s="32"/>
      <c r="D220" s="32"/>
      <c r="E220" s="32"/>
      <c r="F220" s="32"/>
      <c r="G220" s="32"/>
      <c r="H220" s="32"/>
    </row>
    <row r="221" customFormat="false" ht="15" hidden="false" customHeight="false" outlineLevel="0" collapsed="false">
      <c r="A221" s="32"/>
      <c r="B221" s="32"/>
      <c r="C221" s="32"/>
      <c r="D221" s="32"/>
      <c r="E221" s="32"/>
      <c r="F221" s="32"/>
      <c r="G221" s="32"/>
      <c r="H221" s="32"/>
    </row>
    <row r="222" customFormat="false" ht="15" hidden="false" customHeight="false" outlineLevel="0" collapsed="false">
      <c r="A222" s="32"/>
      <c r="B222" s="32"/>
      <c r="C222" s="32"/>
      <c r="D222" s="32"/>
      <c r="E222" s="32"/>
      <c r="F222" s="32"/>
      <c r="G222" s="32"/>
      <c r="H222" s="32"/>
    </row>
    <row r="223" customFormat="false" ht="15" hidden="false" customHeight="false" outlineLevel="0" collapsed="false">
      <c r="A223" s="32"/>
      <c r="B223" s="32"/>
      <c r="C223" s="32"/>
      <c r="D223" s="32"/>
      <c r="E223" s="32"/>
      <c r="F223" s="32"/>
      <c r="G223" s="32"/>
      <c r="H223" s="32"/>
    </row>
    <row r="224" customFormat="false" ht="15" hidden="false" customHeight="false" outlineLevel="0" collapsed="false">
      <c r="A224" s="32"/>
      <c r="B224" s="32"/>
      <c r="C224" s="32"/>
      <c r="D224" s="32"/>
      <c r="E224" s="32"/>
      <c r="F224" s="32"/>
      <c r="G224" s="32"/>
      <c r="H224" s="32"/>
    </row>
    <row r="225" customFormat="false" ht="15" hidden="false" customHeight="false" outlineLevel="0" collapsed="false">
      <c r="A225" s="32"/>
      <c r="B225" s="32"/>
      <c r="C225" s="32"/>
      <c r="D225" s="32"/>
      <c r="E225" s="32"/>
      <c r="F225" s="32"/>
      <c r="G225" s="32"/>
      <c r="H225" s="32"/>
    </row>
    <row r="226" customFormat="false" ht="15" hidden="false" customHeight="false" outlineLevel="0" collapsed="false">
      <c r="A226" s="32"/>
      <c r="B226" s="32"/>
      <c r="C226" s="32"/>
      <c r="D226" s="32"/>
      <c r="E226" s="32"/>
      <c r="F226" s="32"/>
      <c r="G226" s="32"/>
      <c r="H226" s="32"/>
    </row>
    <row r="227" customFormat="false" ht="15" hidden="false" customHeight="false" outlineLevel="0" collapsed="false">
      <c r="A227" s="32"/>
      <c r="B227" s="32"/>
      <c r="C227" s="32"/>
      <c r="D227" s="32"/>
      <c r="E227" s="32"/>
      <c r="F227" s="32"/>
      <c r="G227" s="32"/>
      <c r="H227" s="32"/>
    </row>
    <row r="228" customFormat="false" ht="15" hidden="false" customHeight="false" outlineLevel="0" collapsed="false">
      <c r="A228" s="32"/>
      <c r="B228" s="32"/>
      <c r="C228" s="32"/>
      <c r="D228" s="32"/>
      <c r="E228" s="32"/>
      <c r="F228" s="32"/>
      <c r="G228" s="32"/>
      <c r="H228" s="32"/>
    </row>
    <row r="229" customFormat="false" ht="15" hidden="false" customHeight="false" outlineLevel="0" collapsed="false">
      <c r="A229" s="32"/>
      <c r="B229" s="32"/>
      <c r="C229" s="32"/>
      <c r="D229" s="32"/>
      <c r="E229" s="32"/>
      <c r="F229" s="32"/>
      <c r="G229" s="32"/>
      <c r="H229" s="32"/>
    </row>
    <row r="230" customFormat="false" ht="15" hidden="false" customHeight="false" outlineLevel="0" collapsed="false">
      <c r="A230" s="32"/>
      <c r="B230" s="32"/>
      <c r="C230" s="32"/>
      <c r="D230" s="32"/>
      <c r="E230" s="32"/>
      <c r="F230" s="32"/>
      <c r="G230" s="32"/>
      <c r="H230" s="32"/>
    </row>
    <row r="231" customFormat="false" ht="15" hidden="false" customHeight="false" outlineLevel="0" collapsed="false">
      <c r="A231" s="32"/>
      <c r="B231" s="32"/>
      <c r="C231" s="32"/>
      <c r="D231" s="32"/>
      <c r="E231" s="32"/>
      <c r="F231" s="32"/>
      <c r="G231" s="32"/>
      <c r="H231" s="32"/>
    </row>
    <row r="232" customFormat="false" ht="15" hidden="false" customHeight="false" outlineLevel="0" collapsed="false">
      <c r="A232" s="32"/>
      <c r="B232" s="32"/>
      <c r="C232" s="32"/>
      <c r="D232" s="32"/>
      <c r="E232" s="32"/>
      <c r="F232" s="32"/>
      <c r="G232" s="32"/>
      <c r="H232" s="32"/>
    </row>
    <row r="233" customFormat="false" ht="15" hidden="false" customHeight="false" outlineLevel="0" collapsed="false">
      <c r="A233" s="32"/>
      <c r="B233" s="32"/>
      <c r="C233" s="32"/>
      <c r="D233" s="32"/>
      <c r="E233" s="32"/>
      <c r="F233" s="32"/>
      <c r="G233" s="32"/>
      <c r="H233" s="32"/>
    </row>
    <row r="234" customFormat="false" ht="15" hidden="false" customHeight="false" outlineLevel="0" collapsed="false">
      <c r="A234" s="32"/>
      <c r="B234" s="32"/>
      <c r="C234" s="32"/>
      <c r="D234" s="32"/>
      <c r="E234" s="32"/>
      <c r="F234" s="32"/>
      <c r="G234" s="32"/>
      <c r="H234" s="32"/>
    </row>
    <row r="235" customFormat="false" ht="15" hidden="false" customHeight="false" outlineLevel="0" collapsed="false">
      <c r="A235" s="32"/>
      <c r="B235" s="32"/>
      <c r="C235" s="32"/>
      <c r="D235" s="32"/>
      <c r="E235" s="32"/>
      <c r="F235" s="32"/>
      <c r="G235" s="32"/>
      <c r="H235" s="32"/>
    </row>
    <row r="236" customFormat="false" ht="15" hidden="false" customHeight="false" outlineLevel="0" collapsed="false">
      <c r="A236" s="32"/>
      <c r="B236" s="32"/>
      <c r="C236" s="32"/>
      <c r="D236" s="32"/>
      <c r="E236" s="32"/>
      <c r="F236" s="32"/>
      <c r="G236" s="32"/>
      <c r="H236" s="32"/>
    </row>
    <row r="237" customFormat="false" ht="15" hidden="false" customHeight="false" outlineLevel="0" collapsed="false">
      <c r="A237" s="32"/>
      <c r="B237" s="32"/>
      <c r="C237" s="32"/>
      <c r="D237" s="32"/>
      <c r="E237" s="32"/>
      <c r="F237" s="32"/>
      <c r="G237" s="32"/>
      <c r="H237" s="32"/>
    </row>
    <row r="238" customFormat="false" ht="15" hidden="false" customHeight="false" outlineLevel="0" collapsed="false">
      <c r="A238" s="32"/>
      <c r="B238" s="32"/>
      <c r="C238" s="32"/>
      <c r="D238" s="32"/>
      <c r="E238" s="32"/>
      <c r="F238" s="32"/>
      <c r="G238" s="32"/>
      <c r="H238" s="32"/>
    </row>
    <row r="239" customFormat="false" ht="15" hidden="false" customHeight="false" outlineLevel="0" collapsed="false">
      <c r="A239" s="32"/>
      <c r="B239" s="32"/>
      <c r="C239" s="32"/>
      <c r="D239" s="32"/>
      <c r="E239" s="32"/>
      <c r="F239" s="32"/>
      <c r="G239" s="32"/>
      <c r="H239" s="32"/>
    </row>
    <row r="240" customFormat="false" ht="15" hidden="false" customHeight="false" outlineLevel="0" collapsed="false">
      <c r="A240" s="32"/>
      <c r="B240" s="32"/>
      <c r="C240" s="32"/>
      <c r="D240" s="32"/>
      <c r="E240" s="32"/>
      <c r="F240" s="32"/>
      <c r="G240" s="32"/>
      <c r="H240" s="32"/>
    </row>
    <row r="241" customFormat="false" ht="15" hidden="false" customHeight="false" outlineLevel="0" collapsed="false">
      <c r="A241" s="32"/>
      <c r="B241" s="32"/>
      <c r="C241" s="32"/>
      <c r="D241" s="32"/>
      <c r="E241" s="32"/>
      <c r="F241" s="32"/>
      <c r="G241" s="32"/>
      <c r="H241" s="32"/>
    </row>
    <row r="242" customFormat="false" ht="15" hidden="false" customHeight="false" outlineLevel="0" collapsed="false">
      <c r="A242" s="32"/>
      <c r="B242" s="32"/>
      <c r="C242" s="32"/>
      <c r="D242" s="32"/>
      <c r="E242" s="32"/>
      <c r="F242" s="32"/>
      <c r="G242" s="32"/>
      <c r="H242" s="32"/>
    </row>
    <row r="243" customFormat="false" ht="15" hidden="false" customHeight="false" outlineLevel="0" collapsed="false">
      <c r="A243" s="32"/>
      <c r="B243" s="32"/>
      <c r="C243" s="32"/>
      <c r="D243" s="32"/>
      <c r="E243" s="32"/>
      <c r="F243" s="32"/>
      <c r="G243" s="32"/>
      <c r="H243" s="32"/>
    </row>
    <row r="244" customFormat="false" ht="15" hidden="false" customHeight="false" outlineLevel="0" collapsed="false">
      <c r="A244" s="32"/>
      <c r="B244" s="32"/>
      <c r="C244" s="32"/>
      <c r="D244" s="32"/>
      <c r="E244" s="32"/>
      <c r="F244" s="32"/>
      <c r="G244" s="32"/>
      <c r="H244" s="32"/>
    </row>
    <row r="245" customFormat="false" ht="15" hidden="false" customHeight="false" outlineLevel="0" collapsed="false">
      <c r="A245" s="32"/>
      <c r="B245" s="32"/>
      <c r="C245" s="32"/>
      <c r="D245" s="32"/>
      <c r="E245" s="32"/>
      <c r="F245" s="32"/>
      <c r="G245" s="32"/>
      <c r="H245" s="32"/>
    </row>
    <row r="246" customFormat="false" ht="15" hidden="false" customHeight="false" outlineLevel="0" collapsed="false">
      <c r="A246" s="32"/>
      <c r="B246" s="32"/>
      <c r="C246" s="32"/>
      <c r="D246" s="32"/>
      <c r="E246" s="32"/>
      <c r="F246" s="32"/>
      <c r="G246" s="32"/>
      <c r="H246" s="32"/>
    </row>
    <row r="247" customFormat="false" ht="15" hidden="false" customHeight="false" outlineLevel="0" collapsed="false">
      <c r="A247" s="32"/>
      <c r="B247" s="32"/>
      <c r="C247" s="32"/>
      <c r="D247" s="32"/>
      <c r="E247" s="32"/>
      <c r="F247" s="32"/>
      <c r="G247" s="32"/>
      <c r="H247" s="32"/>
    </row>
    <row r="248" customFormat="false" ht="15" hidden="false" customHeight="false" outlineLevel="0" collapsed="false">
      <c r="A248" s="32"/>
      <c r="B248" s="32"/>
      <c r="C248" s="32"/>
      <c r="D248" s="32"/>
      <c r="E248" s="32"/>
      <c r="F248" s="32"/>
      <c r="G248" s="32"/>
      <c r="H248" s="32"/>
    </row>
    <row r="249" customFormat="false" ht="15" hidden="false" customHeight="false" outlineLevel="0" collapsed="false">
      <c r="A249" s="32"/>
      <c r="B249" s="32"/>
      <c r="C249" s="32"/>
      <c r="D249" s="32"/>
      <c r="E249" s="32"/>
      <c r="F249" s="32"/>
      <c r="G249" s="32"/>
      <c r="H249" s="32"/>
    </row>
    <row r="250" customFormat="false" ht="15" hidden="false" customHeight="false" outlineLevel="0" collapsed="false">
      <c r="A250" s="32"/>
      <c r="B250" s="32"/>
      <c r="C250" s="32"/>
      <c r="D250" s="32"/>
      <c r="E250" s="32"/>
      <c r="F250" s="32"/>
      <c r="G250" s="32"/>
      <c r="H250" s="32"/>
    </row>
    <row r="251" customFormat="false" ht="15" hidden="false" customHeight="false" outlineLevel="0" collapsed="false">
      <c r="A251" s="32"/>
      <c r="B251" s="32"/>
      <c r="C251" s="32"/>
      <c r="D251" s="32"/>
      <c r="E251" s="32"/>
      <c r="F251" s="32"/>
      <c r="G251" s="32"/>
      <c r="H251" s="32"/>
    </row>
    <row r="252" customFormat="false" ht="15" hidden="false" customHeight="false" outlineLevel="0" collapsed="false">
      <c r="A252" s="32"/>
      <c r="B252" s="32"/>
      <c r="C252" s="32"/>
      <c r="D252" s="32"/>
      <c r="E252" s="32"/>
      <c r="F252" s="32"/>
      <c r="G252" s="32"/>
      <c r="H252" s="32"/>
    </row>
    <row r="253" customFormat="false" ht="15" hidden="false" customHeight="false" outlineLevel="0" collapsed="false">
      <c r="A253" s="32"/>
      <c r="B253" s="32"/>
      <c r="C253" s="32"/>
      <c r="D253" s="32"/>
      <c r="E253" s="32"/>
      <c r="F253" s="32"/>
      <c r="G253" s="32"/>
      <c r="H253" s="32"/>
    </row>
    <row r="254" customFormat="false" ht="15" hidden="false" customHeight="false" outlineLevel="0" collapsed="false">
      <c r="A254" s="32"/>
      <c r="B254" s="32"/>
      <c r="C254" s="32"/>
      <c r="D254" s="32"/>
      <c r="E254" s="32"/>
      <c r="F254" s="32"/>
      <c r="G254" s="32"/>
      <c r="H254" s="32"/>
    </row>
    <row r="255" customFormat="false" ht="15" hidden="false" customHeight="false" outlineLevel="0" collapsed="false">
      <c r="A255" s="32"/>
      <c r="B255" s="32"/>
      <c r="C255" s="32"/>
      <c r="D255" s="32"/>
      <c r="E255" s="32"/>
      <c r="F255" s="32"/>
      <c r="G255" s="32"/>
      <c r="H255" s="32"/>
    </row>
    <row r="256" customFormat="false" ht="15" hidden="false" customHeight="false" outlineLevel="0" collapsed="false">
      <c r="A256" s="32"/>
      <c r="B256" s="32"/>
      <c r="C256" s="32"/>
      <c r="D256" s="32"/>
      <c r="E256" s="32"/>
      <c r="F256" s="32"/>
      <c r="G256" s="32"/>
      <c r="H256" s="32"/>
    </row>
    <row r="257" customFormat="false" ht="15" hidden="false" customHeight="false" outlineLevel="0" collapsed="false">
      <c r="A257" s="32"/>
      <c r="B257" s="32"/>
      <c r="C257" s="32"/>
      <c r="D257" s="32"/>
      <c r="E257" s="32"/>
      <c r="F257" s="32"/>
      <c r="G257" s="32"/>
      <c r="H257" s="32"/>
    </row>
    <row r="258" customFormat="false" ht="15" hidden="false" customHeight="false" outlineLevel="0" collapsed="false">
      <c r="A258" s="32"/>
      <c r="B258" s="32"/>
      <c r="C258" s="32"/>
      <c r="D258" s="32"/>
      <c r="E258" s="32"/>
      <c r="F258" s="32"/>
      <c r="G258" s="32"/>
      <c r="H258" s="32"/>
    </row>
    <row r="259" customFormat="false" ht="15" hidden="false" customHeight="false" outlineLevel="0" collapsed="false">
      <c r="A259" s="32"/>
      <c r="B259" s="32"/>
      <c r="C259" s="32"/>
      <c r="D259" s="32"/>
      <c r="E259" s="32"/>
      <c r="F259" s="32"/>
      <c r="G259" s="32"/>
      <c r="H259" s="32"/>
    </row>
    <row r="260" customFormat="false" ht="15" hidden="false" customHeight="false" outlineLevel="0" collapsed="false">
      <c r="A260" s="32"/>
      <c r="B260" s="32"/>
      <c r="C260" s="32"/>
      <c r="D260" s="32"/>
      <c r="E260" s="32"/>
      <c r="F260" s="32"/>
      <c r="G260" s="32"/>
      <c r="H260" s="32"/>
    </row>
    <row r="261" customFormat="false" ht="15" hidden="false" customHeight="false" outlineLevel="0" collapsed="false">
      <c r="A261" s="32"/>
      <c r="B261" s="32"/>
      <c r="C261" s="32"/>
      <c r="D261" s="32"/>
      <c r="E261" s="32"/>
      <c r="F261" s="32"/>
      <c r="G261" s="32"/>
      <c r="H261" s="32"/>
    </row>
    <row r="262" customFormat="false" ht="15" hidden="false" customHeight="false" outlineLevel="0" collapsed="false">
      <c r="A262" s="32"/>
      <c r="B262" s="32"/>
      <c r="C262" s="32"/>
      <c r="D262" s="32"/>
      <c r="E262" s="32"/>
      <c r="F262" s="32"/>
      <c r="G262" s="32"/>
      <c r="H262" s="32"/>
    </row>
    <row r="263" customFormat="false" ht="15" hidden="false" customHeight="false" outlineLevel="0" collapsed="false">
      <c r="A263" s="32"/>
      <c r="B263" s="32"/>
      <c r="C263" s="32"/>
      <c r="D263" s="32"/>
      <c r="E263" s="32"/>
      <c r="F263" s="32"/>
      <c r="G263" s="32"/>
      <c r="H263" s="32"/>
    </row>
    <row r="264" customFormat="false" ht="15" hidden="false" customHeight="false" outlineLevel="0" collapsed="false">
      <c r="A264" s="32"/>
      <c r="B264" s="32"/>
      <c r="C264" s="32"/>
      <c r="D264" s="32"/>
      <c r="E264" s="32"/>
      <c r="F264" s="32"/>
      <c r="G264" s="32"/>
      <c r="H264" s="32"/>
    </row>
    <row r="265" customFormat="false" ht="15" hidden="false" customHeight="false" outlineLevel="0" collapsed="false">
      <c r="A265" s="32"/>
      <c r="B265" s="32"/>
      <c r="C265" s="32"/>
      <c r="D265" s="32"/>
      <c r="E265" s="32"/>
      <c r="F265" s="32"/>
      <c r="G265" s="32"/>
      <c r="H265" s="32"/>
    </row>
    <row r="266" customFormat="false" ht="15" hidden="false" customHeight="false" outlineLevel="0" collapsed="false">
      <c r="A266" s="32"/>
      <c r="B266" s="32"/>
      <c r="C266" s="32"/>
      <c r="D266" s="32"/>
      <c r="E266" s="32"/>
      <c r="F266" s="32"/>
      <c r="G266" s="32"/>
      <c r="H266" s="32"/>
    </row>
    <row r="267" customFormat="false" ht="15" hidden="false" customHeight="false" outlineLevel="0" collapsed="false">
      <c r="A267" s="32"/>
      <c r="B267" s="32"/>
      <c r="C267" s="32"/>
      <c r="D267" s="32"/>
      <c r="E267" s="32"/>
      <c r="F267" s="32"/>
      <c r="G267" s="32"/>
      <c r="H267" s="32"/>
    </row>
    <row r="268" customFormat="false" ht="15" hidden="false" customHeight="false" outlineLevel="0" collapsed="false">
      <c r="A268" s="32"/>
      <c r="B268" s="32"/>
      <c r="C268" s="32"/>
      <c r="D268" s="32"/>
      <c r="E268" s="32"/>
      <c r="F268" s="32"/>
      <c r="G268" s="32"/>
      <c r="H268" s="32"/>
    </row>
    <row r="269" customFormat="false" ht="15" hidden="false" customHeight="false" outlineLevel="0" collapsed="false">
      <c r="A269" s="32"/>
      <c r="B269" s="32"/>
      <c r="C269" s="32"/>
      <c r="D269" s="32"/>
      <c r="E269" s="32"/>
      <c r="F269" s="32"/>
      <c r="G269" s="32"/>
      <c r="H269" s="32"/>
    </row>
    <row r="270" customFormat="false" ht="15" hidden="false" customHeight="false" outlineLevel="0" collapsed="false">
      <c r="A270" s="32"/>
      <c r="B270" s="32"/>
      <c r="C270" s="32"/>
      <c r="D270" s="32"/>
      <c r="E270" s="32"/>
      <c r="F270" s="32"/>
      <c r="G270" s="32"/>
      <c r="H270" s="32"/>
    </row>
    <row r="271" customFormat="false" ht="15" hidden="false" customHeight="false" outlineLevel="0" collapsed="false">
      <c r="A271" s="32"/>
      <c r="B271" s="32"/>
      <c r="C271" s="32"/>
      <c r="D271" s="32"/>
      <c r="E271" s="32"/>
      <c r="F271" s="32"/>
      <c r="G271" s="32"/>
      <c r="H271" s="32"/>
    </row>
    <row r="272" customFormat="false" ht="15" hidden="false" customHeight="false" outlineLevel="0" collapsed="false">
      <c r="A272" s="32"/>
      <c r="B272" s="32"/>
      <c r="C272" s="32"/>
      <c r="D272" s="32"/>
      <c r="E272" s="32"/>
      <c r="F272" s="32"/>
      <c r="G272" s="32"/>
      <c r="H272" s="32"/>
    </row>
    <row r="273" customFormat="false" ht="15" hidden="false" customHeight="false" outlineLevel="0" collapsed="false">
      <c r="A273" s="32"/>
      <c r="B273" s="32"/>
      <c r="C273" s="32"/>
      <c r="D273" s="32"/>
      <c r="E273" s="32"/>
      <c r="F273" s="32"/>
      <c r="G273" s="32"/>
      <c r="H273" s="32"/>
    </row>
    <row r="274" customFormat="false" ht="15" hidden="false" customHeight="false" outlineLevel="0" collapsed="false">
      <c r="A274" s="32"/>
      <c r="B274" s="32"/>
      <c r="C274" s="32"/>
      <c r="D274" s="32"/>
      <c r="E274" s="32"/>
      <c r="F274" s="32"/>
      <c r="G274" s="32"/>
      <c r="H274" s="32"/>
    </row>
    <row r="275" customFormat="false" ht="15" hidden="false" customHeight="false" outlineLevel="0" collapsed="false">
      <c r="A275" s="32"/>
      <c r="B275" s="32"/>
      <c r="C275" s="32"/>
      <c r="D275" s="32"/>
      <c r="E275" s="32"/>
      <c r="F275" s="32"/>
      <c r="G275" s="32"/>
      <c r="H275" s="32"/>
    </row>
    <row r="276" customFormat="false" ht="15" hidden="false" customHeight="false" outlineLevel="0" collapsed="false">
      <c r="A276" s="32"/>
      <c r="B276" s="32"/>
      <c r="C276" s="32"/>
      <c r="D276" s="32"/>
      <c r="E276" s="32"/>
      <c r="F276" s="32"/>
      <c r="G276" s="32"/>
      <c r="H276" s="32"/>
    </row>
    <row r="277" customFormat="false" ht="15" hidden="false" customHeight="false" outlineLevel="0" collapsed="false">
      <c r="A277" s="32"/>
      <c r="B277" s="32"/>
      <c r="C277" s="32"/>
      <c r="D277" s="32"/>
      <c r="E277" s="32"/>
      <c r="F277" s="32"/>
      <c r="G277" s="32"/>
      <c r="H277" s="32"/>
    </row>
    <row r="278" customFormat="false" ht="15" hidden="false" customHeight="false" outlineLevel="0" collapsed="false">
      <c r="A278" s="32"/>
      <c r="B278" s="32"/>
      <c r="C278" s="32"/>
      <c r="D278" s="32"/>
      <c r="E278" s="32"/>
      <c r="F278" s="32"/>
      <c r="G278" s="32"/>
      <c r="H278" s="32"/>
    </row>
    <row r="279" customFormat="false" ht="15" hidden="false" customHeight="false" outlineLevel="0" collapsed="false">
      <c r="A279" s="32"/>
      <c r="B279" s="32"/>
      <c r="C279" s="32"/>
      <c r="D279" s="32"/>
      <c r="E279" s="32"/>
      <c r="F279" s="32"/>
      <c r="G279" s="32"/>
      <c r="H279" s="32"/>
    </row>
    <row r="280" customFormat="false" ht="15" hidden="false" customHeight="false" outlineLevel="0" collapsed="false">
      <c r="A280" s="32"/>
      <c r="B280" s="32"/>
      <c r="C280" s="32"/>
      <c r="D280" s="32"/>
      <c r="E280" s="32"/>
      <c r="F280" s="32"/>
      <c r="G280" s="32"/>
      <c r="H280" s="32"/>
    </row>
    <row r="281" customFormat="false" ht="15" hidden="false" customHeight="false" outlineLevel="0" collapsed="false">
      <c r="A281" s="32"/>
      <c r="B281" s="32"/>
      <c r="C281" s="32"/>
      <c r="D281" s="32"/>
      <c r="E281" s="32"/>
      <c r="F281" s="32"/>
      <c r="G281" s="32"/>
      <c r="H281" s="32"/>
    </row>
    <row r="282" customFormat="false" ht="15" hidden="false" customHeight="false" outlineLevel="0" collapsed="false">
      <c r="A282" s="32"/>
      <c r="B282" s="32"/>
      <c r="C282" s="32"/>
      <c r="D282" s="32"/>
      <c r="E282" s="32"/>
      <c r="F282" s="32"/>
      <c r="G282" s="32"/>
      <c r="H282" s="32"/>
    </row>
    <row r="283" customFormat="false" ht="15" hidden="false" customHeight="false" outlineLevel="0" collapsed="false">
      <c r="A283" s="32"/>
      <c r="B283" s="32"/>
      <c r="C283" s="32"/>
      <c r="D283" s="32"/>
      <c r="E283" s="32"/>
      <c r="F283" s="32"/>
      <c r="G283" s="32"/>
      <c r="H283" s="32"/>
    </row>
    <row r="284" customFormat="false" ht="15" hidden="false" customHeight="false" outlineLevel="0" collapsed="false">
      <c r="A284" s="32"/>
      <c r="B284" s="32"/>
      <c r="C284" s="32"/>
      <c r="D284" s="32"/>
      <c r="E284" s="32"/>
      <c r="F284" s="32"/>
      <c r="G284" s="32"/>
      <c r="H284" s="32"/>
    </row>
    <row r="285" customFormat="false" ht="15" hidden="false" customHeight="false" outlineLevel="0" collapsed="false">
      <c r="A285" s="32"/>
      <c r="B285" s="32"/>
      <c r="C285" s="32"/>
      <c r="D285" s="32"/>
      <c r="E285" s="32"/>
      <c r="F285" s="32"/>
      <c r="G285" s="32"/>
      <c r="H285" s="32"/>
    </row>
    <row r="286" customFormat="false" ht="15" hidden="false" customHeight="false" outlineLevel="0" collapsed="false">
      <c r="A286" s="32"/>
      <c r="B286" s="32"/>
      <c r="C286" s="32"/>
      <c r="D286" s="32"/>
      <c r="E286" s="32"/>
      <c r="F286" s="32"/>
      <c r="G286" s="32"/>
      <c r="H286" s="32"/>
    </row>
    <row r="287" customFormat="false" ht="15" hidden="false" customHeight="false" outlineLevel="0" collapsed="false">
      <c r="A287" s="32"/>
      <c r="B287" s="32"/>
      <c r="C287" s="32"/>
      <c r="D287" s="32"/>
      <c r="E287" s="32"/>
      <c r="F287" s="32"/>
      <c r="G287" s="32"/>
      <c r="H287" s="32"/>
    </row>
    <row r="288" customFormat="false" ht="15" hidden="false" customHeight="false" outlineLevel="0" collapsed="false">
      <c r="A288" s="32"/>
      <c r="B288" s="32"/>
      <c r="C288" s="32"/>
      <c r="D288" s="32"/>
      <c r="E288" s="32"/>
      <c r="F288" s="32"/>
      <c r="G288" s="32"/>
      <c r="H288" s="32"/>
    </row>
    <row r="289" customFormat="false" ht="15" hidden="false" customHeight="false" outlineLevel="0" collapsed="false">
      <c r="A289" s="32"/>
      <c r="B289" s="32"/>
      <c r="C289" s="32"/>
      <c r="D289" s="32"/>
      <c r="E289" s="32"/>
      <c r="F289" s="32"/>
      <c r="G289" s="32"/>
      <c r="H289" s="32"/>
    </row>
    <row r="290" customFormat="false" ht="15" hidden="false" customHeight="false" outlineLevel="0" collapsed="false">
      <c r="A290" s="32"/>
      <c r="B290" s="32"/>
      <c r="C290" s="32"/>
      <c r="D290" s="32"/>
      <c r="E290" s="32"/>
      <c r="F290" s="32"/>
      <c r="G290" s="32"/>
      <c r="H290" s="32"/>
    </row>
    <row r="291" customFormat="false" ht="15" hidden="false" customHeight="false" outlineLevel="0" collapsed="false">
      <c r="A291" s="32"/>
      <c r="B291" s="32"/>
      <c r="C291" s="32"/>
      <c r="D291" s="32"/>
      <c r="E291" s="32"/>
      <c r="F291" s="32"/>
      <c r="G291" s="32"/>
      <c r="H291" s="32"/>
    </row>
    <row r="292" customFormat="false" ht="15" hidden="false" customHeight="false" outlineLevel="0" collapsed="false">
      <c r="A292" s="32"/>
      <c r="B292" s="32"/>
      <c r="C292" s="32"/>
      <c r="D292" s="32"/>
      <c r="E292" s="32"/>
      <c r="F292" s="32"/>
      <c r="G292" s="32"/>
      <c r="H292" s="32"/>
    </row>
    <row r="293" customFormat="false" ht="15" hidden="false" customHeight="false" outlineLevel="0" collapsed="false">
      <c r="A293" s="32"/>
      <c r="B293" s="32"/>
      <c r="C293" s="32"/>
      <c r="D293" s="32"/>
      <c r="E293" s="32"/>
      <c r="F293" s="32"/>
      <c r="G293" s="32"/>
      <c r="H293" s="32"/>
    </row>
    <row r="294" customFormat="false" ht="15" hidden="false" customHeight="false" outlineLevel="0" collapsed="false">
      <c r="A294" s="32"/>
      <c r="B294" s="32"/>
      <c r="C294" s="32"/>
      <c r="D294" s="32"/>
      <c r="E294" s="32"/>
      <c r="F294" s="32"/>
      <c r="G294" s="32"/>
      <c r="H294" s="32"/>
    </row>
    <row r="295" customFormat="false" ht="15" hidden="false" customHeight="false" outlineLevel="0" collapsed="false">
      <c r="A295" s="32"/>
      <c r="B295" s="32"/>
      <c r="C295" s="32"/>
      <c r="D295" s="32"/>
      <c r="E295" s="32"/>
      <c r="F295" s="32"/>
      <c r="G295" s="32"/>
      <c r="H295" s="32"/>
    </row>
    <row r="296" customFormat="false" ht="15" hidden="false" customHeight="false" outlineLevel="0" collapsed="false">
      <c r="A296" s="32"/>
      <c r="B296" s="32"/>
      <c r="C296" s="32"/>
      <c r="D296" s="32"/>
      <c r="E296" s="32"/>
      <c r="F296" s="32"/>
      <c r="G296" s="32"/>
      <c r="H296" s="32"/>
    </row>
    <row r="297" customFormat="false" ht="15" hidden="false" customHeight="false" outlineLevel="0" collapsed="false">
      <c r="A297" s="32"/>
      <c r="B297" s="32"/>
      <c r="C297" s="32"/>
      <c r="D297" s="32"/>
      <c r="E297" s="32"/>
      <c r="F297" s="32"/>
      <c r="G297" s="32"/>
      <c r="H297" s="32"/>
    </row>
    <row r="298" customFormat="false" ht="15" hidden="false" customHeight="false" outlineLevel="0" collapsed="false">
      <c r="A298" s="32"/>
      <c r="B298" s="32"/>
      <c r="C298" s="32"/>
      <c r="D298" s="32"/>
      <c r="E298" s="32"/>
      <c r="F298" s="32"/>
      <c r="G298" s="32"/>
      <c r="H298" s="32"/>
    </row>
    <row r="299" customFormat="false" ht="15" hidden="false" customHeight="false" outlineLevel="0" collapsed="false">
      <c r="A299" s="32"/>
      <c r="B299" s="32"/>
      <c r="C299" s="32"/>
      <c r="D299" s="32"/>
      <c r="E299" s="32"/>
      <c r="F299" s="32"/>
      <c r="G299" s="32"/>
      <c r="H299" s="32"/>
    </row>
    <row r="300" customFormat="false" ht="15" hidden="false" customHeight="false" outlineLevel="0" collapsed="false">
      <c r="A300" s="32"/>
      <c r="B300" s="32"/>
      <c r="C300" s="32"/>
      <c r="D300" s="32"/>
      <c r="E300" s="32"/>
      <c r="F300" s="32"/>
      <c r="G300" s="32"/>
      <c r="H300" s="32"/>
    </row>
    <row r="301" customFormat="false" ht="15" hidden="false" customHeight="false" outlineLevel="0" collapsed="false">
      <c r="A301" s="32"/>
      <c r="B301" s="32"/>
      <c r="C301" s="32"/>
      <c r="D301" s="32"/>
      <c r="E301" s="32"/>
      <c r="F301" s="32"/>
      <c r="G301" s="32"/>
      <c r="H301" s="32"/>
    </row>
    <row r="302" customFormat="false" ht="15" hidden="false" customHeight="false" outlineLevel="0" collapsed="false">
      <c r="A302" s="32"/>
      <c r="B302" s="32"/>
      <c r="C302" s="32"/>
      <c r="D302" s="32"/>
      <c r="E302" s="32"/>
      <c r="F302" s="32"/>
      <c r="G302" s="32"/>
      <c r="H302" s="32"/>
    </row>
    <row r="303" customFormat="false" ht="15" hidden="false" customHeight="false" outlineLevel="0" collapsed="false">
      <c r="A303" s="32"/>
      <c r="B303" s="32"/>
      <c r="C303" s="32"/>
      <c r="D303" s="32"/>
      <c r="E303" s="32"/>
      <c r="F303" s="32"/>
      <c r="G303" s="32"/>
      <c r="H303" s="32"/>
    </row>
    <row r="304" customFormat="false" ht="15" hidden="false" customHeight="false" outlineLevel="0" collapsed="false">
      <c r="A304" s="32"/>
      <c r="B304" s="32"/>
      <c r="C304" s="32"/>
      <c r="D304" s="32"/>
      <c r="E304" s="32"/>
      <c r="F304" s="32"/>
      <c r="G304" s="32"/>
      <c r="H304" s="32"/>
    </row>
    <row r="305" customFormat="false" ht="15" hidden="false" customHeight="false" outlineLevel="0" collapsed="false">
      <c r="A305" s="32"/>
      <c r="B305" s="32"/>
      <c r="C305" s="32"/>
      <c r="D305" s="32"/>
      <c r="E305" s="32"/>
      <c r="F305" s="32"/>
      <c r="G305" s="32"/>
      <c r="H305" s="32"/>
    </row>
    <row r="306" customFormat="false" ht="15" hidden="false" customHeight="false" outlineLevel="0" collapsed="false">
      <c r="A306" s="32"/>
      <c r="B306" s="32"/>
      <c r="C306" s="32"/>
      <c r="D306" s="32"/>
      <c r="E306" s="32"/>
      <c r="F306" s="32"/>
      <c r="G306" s="32"/>
      <c r="H306" s="32"/>
    </row>
    <row r="307" customFormat="false" ht="15" hidden="false" customHeight="false" outlineLevel="0" collapsed="false">
      <c r="A307" s="32"/>
      <c r="B307" s="32"/>
      <c r="C307" s="32"/>
      <c r="D307" s="32"/>
      <c r="E307" s="32"/>
      <c r="F307" s="32"/>
      <c r="G307" s="32"/>
      <c r="H307" s="32"/>
    </row>
    <row r="308" customFormat="false" ht="15" hidden="false" customHeight="false" outlineLevel="0" collapsed="false">
      <c r="A308" s="32"/>
      <c r="B308" s="32"/>
      <c r="C308" s="32"/>
      <c r="D308" s="32"/>
      <c r="E308" s="32"/>
      <c r="F308" s="32"/>
      <c r="G308" s="32"/>
      <c r="H308" s="32"/>
    </row>
    <row r="309" customFormat="false" ht="15" hidden="false" customHeight="false" outlineLevel="0" collapsed="false">
      <c r="A309" s="32"/>
      <c r="B309" s="32"/>
      <c r="C309" s="32"/>
      <c r="D309" s="32"/>
      <c r="E309" s="32"/>
      <c r="F309" s="32"/>
      <c r="G309" s="32"/>
      <c r="H309" s="32"/>
    </row>
    <row r="310" customFormat="false" ht="15" hidden="false" customHeight="false" outlineLevel="0" collapsed="false">
      <c r="A310" s="32"/>
      <c r="B310" s="32"/>
      <c r="C310" s="32"/>
      <c r="D310" s="32"/>
      <c r="E310" s="32"/>
      <c r="F310" s="32"/>
      <c r="G310" s="32"/>
      <c r="H310" s="32"/>
    </row>
    <row r="311" customFormat="false" ht="15" hidden="false" customHeight="false" outlineLevel="0" collapsed="false">
      <c r="A311" s="32"/>
      <c r="B311" s="32"/>
      <c r="C311" s="32"/>
      <c r="D311" s="32"/>
      <c r="E311" s="32"/>
      <c r="F311" s="32"/>
      <c r="G311" s="32"/>
      <c r="H311" s="32"/>
    </row>
    <row r="312" customFormat="false" ht="15" hidden="false" customHeight="false" outlineLevel="0" collapsed="false">
      <c r="A312" s="32"/>
      <c r="B312" s="32"/>
      <c r="C312" s="32"/>
      <c r="D312" s="32"/>
      <c r="E312" s="32"/>
      <c r="F312" s="32"/>
      <c r="G312" s="32"/>
      <c r="H312" s="32"/>
    </row>
    <row r="313" customFormat="false" ht="15" hidden="false" customHeight="false" outlineLevel="0" collapsed="false">
      <c r="A313" s="32"/>
      <c r="B313" s="32"/>
      <c r="C313" s="32"/>
      <c r="D313" s="32"/>
      <c r="E313" s="32"/>
      <c r="F313" s="32"/>
      <c r="G313" s="32"/>
      <c r="H313" s="32"/>
    </row>
    <row r="314" customFormat="false" ht="15" hidden="false" customHeight="false" outlineLevel="0" collapsed="false">
      <c r="A314" s="32"/>
      <c r="B314" s="32"/>
      <c r="C314" s="32"/>
      <c r="D314" s="32"/>
      <c r="E314" s="32"/>
      <c r="F314" s="32"/>
      <c r="G314" s="32"/>
      <c r="H314" s="32"/>
    </row>
    <row r="315" customFormat="false" ht="15" hidden="false" customHeight="false" outlineLevel="0" collapsed="false">
      <c r="A315" s="32"/>
      <c r="B315" s="32"/>
      <c r="C315" s="32"/>
      <c r="D315" s="32"/>
      <c r="E315" s="32"/>
      <c r="F315" s="32"/>
      <c r="G315" s="32"/>
      <c r="H315" s="32"/>
    </row>
    <row r="316" customFormat="false" ht="15" hidden="false" customHeight="false" outlineLevel="0" collapsed="false">
      <c r="A316" s="32"/>
      <c r="B316" s="32"/>
      <c r="C316" s="32"/>
      <c r="D316" s="32"/>
      <c r="E316" s="32"/>
      <c r="F316" s="32"/>
      <c r="G316" s="32"/>
      <c r="H316" s="32"/>
    </row>
    <row r="317" customFormat="false" ht="15" hidden="false" customHeight="false" outlineLevel="0" collapsed="false">
      <c r="A317" s="32"/>
      <c r="B317" s="32"/>
      <c r="C317" s="32"/>
      <c r="D317" s="32"/>
      <c r="E317" s="32"/>
      <c r="F317" s="32"/>
      <c r="G317" s="32"/>
      <c r="H317" s="32"/>
    </row>
    <row r="318" customFormat="false" ht="15" hidden="false" customHeight="false" outlineLevel="0" collapsed="false">
      <c r="A318" s="32"/>
      <c r="B318" s="32"/>
      <c r="C318" s="32"/>
      <c r="D318" s="32"/>
      <c r="E318" s="32"/>
      <c r="F318" s="32"/>
      <c r="G318" s="32"/>
      <c r="H318" s="32"/>
    </row>
    <row r="319" customFormat="false" ht="15" hidden="false" customHeight="false" outlineLevel="0" collapsed="false">
      <c r="A319" s="32"/>
      <c r="B319" s="32"/>
      <c r="C319" s="32"/>
      <c r="D319" s="32"/>
      <c r="E319" s="32"/>
      <c r="F319" s="32"/>
      <c r="G319" s="32"/>
      <c r="H319" s="32"/>
    </row>
    <row r="320" customFormat="false" ht="15" hidden="false" customHeight="false" outlineLevel="0" collapsed="false">
      <c r="A320" s="32"/>
      <c r="B320" s="32"/>
      <c r="C320" s="32"/>
      <c r="D320" s="32"/>
      <c r="E320" s="32"/>
      <c r="F320" s="32"/>
      <c r="G320" s="32"/>
      <c r="H320" s="32"/>
    </row>
    <row r="321" customFormat="false" ht="15" hidden="false" customHeight="false" outlineLevel="0" collapsed="false">
      <c r="A321" s="32"/>
      <c r="B321" s="32"/>
      <c r="C321" s="32"/>
      <c r="D321" s="32"/>
      <c r="E321" s="32"/>
      <c r="F321" s="32"/>
      <c r="G321" s="32"/>
      <c r="H321" s="32"/>
    </row>
    <row r="322" customFormat="false" ht="15" hidden="false" customHeight="false" outlineLevel="0" collapsed="false">
      <c r="A322" s="32"/>
      <c r="B322" s="32"/>
      <c r="C322" s="32"/>
      <c r="D322" s="32"/>
      <c r="E322" s="32"/>
      <c r="F322" s="32"/>
      <c r="G322" s="32"/>
      <c r="H322" s="32"/>
    </row>
    <row r="323" customFormat="false" ht="15" hidden="false" customHeight="false" outlineLevel="0" collapsed="false">
      <c r="A323" s="32"/>
      <c r="B323" s="32"/>
      <c r="C323" s="32"/>
      <c r="D323" s="32"/>
      <c r="E323" s="32"/>
      <c r="F323" s="32"/>
      <c r="G323" s="32"/>
      <c r="H323" s="32"/>
    </row>
    <row r="324" customFormat="false" ht="15" hidden="false" customHeight="false" outlineLevel="0" collapsed="false">
      <c r="A324" s="32"/>
      <c r="B324" s="32"/>
      <c r="C324" s="32"/>
      <c r="D324" s="32"/>
      <c r="E324" s="32"/>
      <c r="F324" s="32"/>
      <c r="G324" s="32"/>
      <c r="H324" s="32"/>
    </row>
    <row r="325" customFormat="false" ht="15" hidden="false" customHeight="false" outlineLevel="0" collapsed="false">
      <c r="A325" s="32"/>
      <c r="B325" s="32"/>
      <c r="C325" s="32"/>
      <c r="D325" s="32"/>
      <c r="E325" s="32"/>
      <c r="F325" s="32"/>
      <c r="G325" s="32"/>
      <c r="H325" s="32"/>
    </row>
    <row r="326" customFormat="false" ht="15" hidden="false" customHeight="false" outlineLevel="0" collapsed="false">
      <c r="A326" s="32"/>
      <c r="B326" s="32"/>
      <c r="C326" s="32"/>
      <c r="D326" s="32"/>
      <c r="E326" s="32"/>
      <c r="F326" s="32"/>
      <c r="G326" s="32"/>
      <c r="H326" s="32"/>
    </row>
    <row r="327" customFormat="false" ht="15" hidden="false" customHeight="false" outlineLevel="0" collapsed="false">
      <c r="A327" s="32"/>
      <c r="B327" s="32"/>
      <c r="C327" s="32"/>
      <c r="D327" s="32"/>
      <c r="E327" s="32"/>
      <c r="F327" s="32"/>
      <c r="G327" s="32"/>
      <c r="H327" s="32"/>
    </row>
    <row r="328" customFormat="false" ht="15" hidden="false" customHeight="false" outlineLevel="0" collapsed="false">
      <c r="A328" s="32"/>
      <c r="B328" s="32"/>
      <c r="C328" s="32"/>
      <c r="D328" s="32"/>
      <c r="E328" s="32"/>
      <c r="F328" s="32"/>
      <c r="G328" s="32"/>
      <c r="H328" s="32"/>
    </row>
    <row r="329" customFormat="false" ht="15" hidden="false" customHeight="false" outlineLevel="0" collapsed="false">
      <c r="A329" s="32"/>
      <c r="B329" s="32"/>
      <c r="C329" s="32"/>
      <c r="D329" s="32"/>
      <c r="E329" s="32"/>
      <c r="F329" s="32"/>
      <c r="G329" s="32"/>
      <c r="H329" s="32"/>
    </row>
    <row r="330" customFormat="false" ht="15" hidden="false" customHeight="false" outlineLevel="0" collapsed="false">
      <c r="A330" s="32"/>
      <c r="B330" s="32"/>
      <c r="C330" s="32"/>
      <c r="D330" s="32"/>
      <c r="E330" s="32"/>
      <c r="F330" s="32"/>
      <c r="G330" s="32"/>
      <c r="H330" s="32"/>
    </row>
    <row r="331" customFormat="false" ht="15" hidden="false" customHeight="false" outlineLevel="0" collapsed="false">
      <c r="A331" s="32"/>
      <c r="B331" s="32"/>
      <c r="C331" s="32"/>
      <c r="D331" s="32"/>
      <c r="E331" s="32"/>
      <c r="F331" s="32"/>
      <c r="G331" s="32"/>
      <c r="H331" s="32"/>
    </row>
    <row r="332" customFormat="false" ht="15" hidden="false" customHeight="false" outlineLevel="0" collapsed="false">
      <c r="A332" s="32"/>
      <c r="B332" s="32"/>
      <c r="C332" s="32"/>
      <c r="D332" s="32"/>
      <c r="E332" s="32"/>
      <c r="F332" s="32"/>
      <c r="G332" s="32"/>
      <c r="H332" s="32"/>
    </row>
    <row r="333" customFormat="false" ht="15" hidden="false" customHeight="false" outlineLevel="0" collapsed="false">
      <c r="A333" s="32"/>
      <c r="B333" s="32"/>
      <c r="C333" s="32"/>
      <c r="D333" s="32"/>
      <c r="E333" s="32"/>
      <c r="F333" s="32"/>
      <c r="G333" s="32"/>
      <c r="H333" s="32"/>
    </row>
    <row r="334" customFormat="false" ht="15" hidden="false" customHeight="false" outlineLevel="0" collapsed="false">
      <c r="A334" s="32"/>
      <c r="B334" s="32"/>
      <c r="C334" s="32"/>
      <c r="D334" s="32"/>
      <c r="E334" s="32"/>
      <c r="F334" s="32"/>
      <c r="G334" s="32"/>
      <c r="H334" s="32"/>
    </row>
    <row r="335" customFormat="false" ht="15" hidden="false" customHeight="false" outlineLevel="0" collapsed="false">
      <c r="A335" s="32"/>
      <c r="B335" s="32"/>
      <c r="C335" s="32"/>
      <c r="D335" s="32"/>
      <c r="E335" s="32"/>
      <c r="F335" s="32"/>
      <c r="G335" s="32"/>
      <c r="H335" s="32"/>
    </row>
    <row r="336" customFormat="false" ht="15" hidden="false" customHeight="false" outlineLevel="0" collapsed="false">
      <c r="A336" s="32"/>
      <c r="B336" s="32"/>
      <c r="C336" s="32"/>
      <c r="D336" s="32"/>
      <c r="E336" s="32"/>
      <c r="F336" s="32"/>
      <c r="G336" s="32"/>
      <c r="H336" s="32"/>
    </row>
    <row r="337" customFormat="false" ht="15" hidden="false" customHeight="false" outlineLevel="0" collapsed="false">
      <c r="A337" s="32"/>
      <c r="B337" s="32"/>
      <c r="C337" s="32"/>
      <c r="D337" s="32"/>
      <c r="E337" s="32"/>
      <c r="F337" s="32"/>
      <c r="G337" s="32"/>
      <c r="H337" s="32"/>
    </row>
    <row r="338" customFormat="false" ht="15" hidden="false" customHeight="false" outlineLevel="0" collapsed="false">
      <c r="A338" s="32"/>
      <c r="B338" s="32"/>
      <c r="C338" s="32"/>
      <c r="D338" s="32"/>
      <c r="E338" s="32"/>
      <c r="F338" s="32"/>
      <c r="G338" s="32"/>
      <c r="H338" s="32"/>
    </row>
    <row r="339" customFormat="false" ht="15" hidden="false" customHeight="false" outlineLevel="0" collapsed="false">
      <c r="A339" s="32"/>
      <c r="B339" s="32"/>
      <c r="C339" s="32"/>
      <c r="D339" s="32"/>
      <c r="E339" s="32"/>
      <c r="F339" s="32"/>
      <c r="G339" s="32"/>
      <c r="H339" s="32"/>
    </row>
    <row r="340" customFormat="false" ht="15" hidden="false" customHeight="false" outlineLevel="0" collapsed="false">
      <c r="A340" s="32"/>
      <c r="B340" s="32"/>
      <c r="C340" s="32"/>
      <c r="D340" s="32"/>
      <c r="E340" s="32"/>
      <c r="F340" s="32"/>
      <c r="G340" s="32"/>
      <c r="H340" s="32"/>
    </row>
    <row r="341" customFormat="false" ht="15" hidden="false" customHeight="false" outlineLevel="0" collapsed="false">
      <c r="A341" s="32"/>
      <c r="B341" s="32"/>
      <c r="C341" s="32"/>
      <c r="D341" s="32"/>
      <c r="E341" s="32"/>
      <c r="F341" s="32"/>
      <c r="G341" s="32"/>
      <c r="H341" s="32"/>
    </row>
    <row r="342" customFormat="false" ht="15" hidden="false" customHeight="false" outlineLevel="0" collapsed="false">
      <c r="A342" s="32"/>
      <c r="B342" s="32"/>
      <c r="C342" s="32"/>
      <c r="D342" s="32"/>
      <c r="E342" s="32"/>
      <c r="F342" s="32"/>
      <c r="G342" s="32"/>
      <c r="H342" s="32"/>
    </row>
    <row r="343" customFormat="false" ht="15" hidden="false" customHeight="false" outlineLevel="0" collapsed="false">
      <c r="A343" s="32"/>
      <c r="B343" s="32"/>
      <c r="C343" s="32"/>
      <c r="D343" s="32"/>
      <c r="E343" s="32"/>
      <c r="F343" s="32"/>
      <c r="G343" s="32"/>
      <c r="H343" s="32"/>
    </row>
    <row r="344" customFormat="false" ht="15" hidden="false" customHeight="false" outlineLevel="0" collapsed="false">
      <c r="A344" s="32"/>
      <c r="B344" s="32"/>
      <c r="C344" s="32"/>
      <c r="D344" s="32"/>
      <c r="E344" s="32"/>
      <c r="F344" s="32"/>
      <c r="G344" s="32"/>
      <c r="H344" s="32"/>
    </row>
    <row r="345" customFormat="false" ht="15" hidden="false" customHeight="false" outlineLevel="0" collapsed="false">
      <c r="A345" s="32"/>
      <c r="B345" s="32"/>
      <c r="C345" s="32"/>
      <c r="D345" s="32"/>
      <c r="E345" s="32"/>
      <c r="F345" s="32"/>
      <c r="G345" s="32"/>
      <c r="H345" s="32"/>
    </row>
    <row r="346" customFormat="false" ht="15" hidden="false" customHeight="false" outlineLevel="0" collapsed="false">
      <c r="A346" s="32"/>
      <c r="B346" s="32"/>
      <c r="C346" s="32"/>
      <c r="D346" s="32"/>
      <c r="E346" s="32"/>
      <c r="F346" s="32"/>
      <c r="G346" s="32"/>
      <c r="H346" s="32"/>
    </row>
    <row r="347" customFormat="false" ht="15" hidden="false" customHeight="false" outlineLevel="0" collapsed="false">
      <c r="A347" s="32"/>
      <c r="B347" s="32"/>
      <c r="C347" s="32"/>
      <c r="D347" s="32"/>
      <c r="E347" s="32"/>
      <c r="F347" s="32"/>
      <c r="G347" s="32"/>
      <c r="H347" s="32"/>
    </row>
    <row r="348" customFormat="false" ht="15" hidden="false" customHeight="false" outlineLevel="0" collapsed="false">
      <c r="A348" s="32"/>
      <c r="B348" s="32"/>
      <c r="C348" s="32"/>
      <c r="D348" s="32"/>
      <c r="E348" s="32"/>
      <c r="F348" s="32"/>
      <c r="G348" s="32"/>
      <c r="H348" s="32"/>
    </row>
    <row r="349" customFormat="false" ht="15" hidden="false" customHeight="false" outlineLevel="0" collapsed="false">
      <c r="A349" s="32"/>
      <c r="B349" s="32"/>
      <c r="C349" s="32"/>
      <c r="D349" s="32"/>
      <c r="E349" s="32"/>
      <c r="F349" s="32"/>
      <c r="G349" s="32"/>
      <c r="H349" s="32"/>
    </row>
    <row r="350" customFormat="false" ht="15" hidden="false" customHeight="false" outlineLevel="0" collapsed="false">
      <c r="A350" s="32"/>
      <c r="B350" s="32"/>
      <c r="C350" s="32"/>
      <c r="D350" s="32"/>
      <c r="E350" s="32"/>
      <c r="F350" s="32"/>
      <c r="G350" s="32"/>
      <c r="H350" s="32"/>
    </row>
    <row r="351" customFormat="false" ht="15" hidden="false" customHeight="false" outlineLevel="0" collapsed="false">
      <c r="A351" s="32"/>
      <c r="B351" s="32"/>
      <c r="C351" s="32"/>
      <c r="D351" s="32"/>
      <c r="E351" s="32"/>
      <c r="F351" s="32"/>
      <c r="G351" s="32"/>
      <c r="H351" s="32"/>
    </row>
    <row r="352" customFormat="false" ht="15" hidden="false" customHeight="false" outlineLevel="0" collapsed="false">
      <c r="A352" s="32"/>
      <c r="B352" s="32"/>
      <c r="C352" s="32"/>
      <c r="D352" s="32"/>
      <c r="E352" s="32"/>
      <c r="F352" s="32"/>
      <c r="G352" s="32"/>
      <c r="H352" s="32"/>
    </row>
    <row r="353" customFormat="false" ht="15" hidden="false" customHeight="false" outlineLevel="0" collapsed="false">
      <c r="A353" s="32"/>
      <c r="B353" s="32"/>
      <c r="C353" s="32"/>
      <c r="D353" s="32"/>
      <c r="E353" s="32"/>
      <c r="F353" s="32"/>
      <c r="G353" s="32"/>
      <c r="H353" s="32"/>
    </row>
    <row r="354" customFormat="false" ht="15" hidden="false" customHeight="false" outlineLevel="0" collapsed="false">
      <c r="A354" s="32"/>
      <c r="B354" s="32"/>
      <c r="C354" s="32"/>
      <c r="D354" s="32"/>
      <c r="E354" s="32"/>
      <c r="F354" s="32"/>
      <c r="G354" s="32"/>
      <c r="H354" s="32"/>
    </row>
    <row r="355" customFormat="false" ht="15" hidden="false" customHeight="false" outlineLevel="0" collapsed="false">
      <c r="A355" s="32"/>
      <c r="B355" s="32"/>
      <c r="C355" s="32"/>
      <c r="D355" s="32"/>
      <c r="E355" s="32"/>
      <c r="F355" s="32"/>
      <c r="G355" s="32"/>
      <c r="H355" s="32"/>
    </row>
    <row r="356" customFormat="false" ht="15" hidden="false" customHeight="false" outlineLevel="0" collapsed="false">
      <c r="A356" s="32"/>
      <c r="B356" s="32"/>
      <c r="C356" s="32"/>
      <c r="D356" s="32"/>
      <c r="E356" s="32"/>
      <c r="F356" s="32"/>
      <c r="G356" s="32"/>
      <c r="H356" s="32"/>
    </row>
    <row r="357" customFormat="false" ht="15" hidden="false" customHeight="false" outlineLevel="0" collapsed="false">
      <c r="A357" s="32"/>
      <c r="B357" s="32"/>
      <c r="C357" s="32"/>
      <c r="D357" s="32"/>
      <c r="E357" s="32"/>
      <c r="F357" s="32"/>
      <c r="G357" s="32"/>
      <c r="H357" s="32"/>
    </row>
    <row r="358" customFormat="false" ht="15" hidden="false" customHeight="false" outlineLevel="0" collapsed="false">
      <c r="A358" s="32"/>
      <c r="B358" s="32"/>
      <c r="C358" s="32"/>
      <c r="D358" s="32"/>
      <c r="E358" s="32"/>
      <c r="F358" s="32"/>
      <c r="G358" s="32"/>
      <c r="H358" s="32"/>
    </row>
    <row r="359" customFormat="false" ht="15" hidden="false" customHeight="false" outlineLevel="0" collapsed="false">
      <c r="A359" s="32"/>
      <c r="B359" s="32"/>
      <c r="C359" s="32"/>
      <c r="D359" s="32"/>
      <c r="E359" s="32"/>
      <c r="F359" s="32"/>
      <c r="G359" s="32"/>
      <c r="H359" s="32"/>
    </row>
    <row r="360" customFormat="false" ht="15" hidden="false" customHeight="false" outlineLevel="0" collapsed="false">
      <c r="A360" s="32"/>
      <c r="B360" s="32"/>
      <c r="C360" s="32"/>
      <c r="D360" s="32"/>
      <c r="E360" s="32"/>
      <c r="F360" s="32"/>
      <c r="G360" s="32"/>
      <c r="H360" s="32"/>
    </row>
    <row r="361" customFormat="false" ht="15" hidden="false" customHeight="false" outlineLevel="0" collapsed="false">
      <c r="A361" s="32"/>
      <c r="B361" s="32"/>
      <c r="C361" s="32"/>
      <c r="D361" s="32"/>
      <c r="E361" s="32"/>
      <c r="F361" s="32"/>
      <c r="G361" s="32"/>
      <c r="H361" s="32"/>
    </row>
    <row r="362" customFormat="false" ht="15" hidden="false" customHeight="false" outlineLevel="0" collapsed="false">
      <c r="A362" s="32"/>
      <c r="B362" s="32"/>
      <c r="C362" s="32"/>
      <c r="D362" s="32"/>
      <c r="E362" s="32"/>
      <c r="F362" s="32"/>
      <c r="G362" s="32"/>
      <c r="H362" s="32"/>
    </row>
    <row r="363" customFormat="false" ht="15" hidden="false" customHeight="false" outlineLevel="0" collapsed="false">
      <c r="A363" s="32"/>
      <c r="B363" s="32"/>
      <c r="C363" s="32"/>
      <c r="D363" s="32"/>
      <c r="E363" s="32"/>
      <c r="F363" s="32"/>
      <c r="G363" s="32"/>
      <c r="H363" s="32"/>
    </row>
    <row r="364" customFormat="false" ht="15" hidden="false" customHeight="false" outlineLevel="0" collapsed="false">
      <c r="A364" s="32"/>
      <c r="B364" s="32"/>
      <c r="C364" s="32"/>
      <c r="D364" s="32"/>
      <c r="E364" s="32"/>
      <c r="F364" s="32"/>
      <c r="G364" s="32"/>
      <c r="H364" s="32"/>
    </row>
    <row r="365" customFormat="false" ht="15" hidden="false" customHeight="false" outlineLevel="0" collapsed="false">
      <c r="A365" s="32"/>
      <c r="B365" s="32"/>
      <c r="C365" s="32"/>
      <c r="D365" s="32"/>
      <c r="E365" s="32"/>
      <c r="F365" s="32"/>
      <c r="G365" s="32"/>
      <c r="H365" s="32"/>
    </row>
    <row r="366" customFormat="false" ht="15" hidden="false" customHeight="false" outlineLevel="0" collapsed="false">
      <c r="A366" s="32"/>
      <c r="B366" s="32"/>
      <c r="C366" s="32"/>
      <c r="D366" s="32"/>
      <c r="E366" s="32"/>
      <c r="F366" s="32"/>
      <c r="G366" s="32"/>
      <c r="H366" s="32"/>
    </row>
    <row r="367" customFormat="false" ht="15" hidden="false" customHeight="false" outlineLevel="0" collapsed="false">
      <c r="A367" s="32"/>
      <c r="B367" s="32"/>
      <c r="C367" s="32"/>
      <c r="D367" s="32"/>
      <c r="E367" s="32"/>
      <c r="F367" s="32"/>
      <c r="G367" s="32"/>
      <c r="H367" s="32"/>
    </row>
    <row r="368" customFormat="false" ht="15" hidden="false" customHeight="false" outlineLevel="0" collapsed="false">
      <c r="A368" s="32"/>
      <c r="B368" s="32"/>
      <c r="C368" s="32"/>
      <c r="D368" s="32"/>
      <c r="E368" s="32"/>
      <c r="F368" s="32"/>
      <c r="G368" s="32"/>
      <c r="H368" s="32"/>
    </row>
    <row r="369" customFormat="false" ht="15" hidden="false" customHeight="false" outlineLevel="0" collapsed="false">
      <c r="A369" s="32"/>
      <c r="B369" s="32"/>
      <c r="C369" s="32"/>
      <c r="D369" s="32"/>
      <c r="E369" s="32"/>
      <c r="F369" s="32"/>
      <c r="G369" s="32"/>
      <c r="H369" s="32"/>
    </row>
    <row r="370" customFormat="false" ht="15" hidden="false" customHeight="false" outlineLevel="0" collapsed="false">
      <c r="A370" s="32"/>
      <c r="B370" s="32"/>
      <c r="C370" s="32"/>
      <c r="D370" s="32"/>
      <c r="E370" s="32"/>
      <c r="F370" s="32"/>
      <c r="G370" s="32"/>
      <c r="H370" s="32"/>
    </row>
    <row r="371" customFormat="false" ht="15" hidden="false" customHeight="false" outlineLevel="0" collapsed="false">
      <c r="A371" s="32"/>
      <c r="B371" s="32"/>
      <c r="C371" s="32"/>
      <c r="D371" s="32"/>
      <c r="E371" s="32"/>
      <c r="F371" s="32"/>
      <c r="G371" s="32"/>
      <c r="H371" s="32"/>
    </row>
    <row r="372" customFormat="false" ht="15" hidden="false" customHeight="false" outlineLevel="0" collapsed="false">
      <c r="A372" s="32"/>
      <c r="B372" s="32"/>
      <c r="C372" s="32"/>
      <c r="D372" s="32"/>
      <c r="E372" s="32"/>
      <c r="F372" s="32"/>
      <c r="G372" s="32"/>
      <c r="H372" s="32"/>
    </row>
    <row r="373" customFormat="false" ht="15" hidden="false" customHeight="false" outlineLevel="0" collapsed="false">
      <c r="A373" s="32"/>
      <c r="B373" s="32"/>
      <c r="C373" s="32"/>
      <c r="D373" s="32"/>
      <c r="E373" s="32"/>
      <c r="F373" s="32"/>
      <c r="G373" s="32"/>
      <c r="H373" s="32"/>
    </row>
    <row r="374" customFormat="false" ht="15" hidden="false" customHeight="false" outlineLevel="0" collapsed="false">
      <c r="A374" s="32"/>
      <c r="B374" s="32"/>
      <c r="C374" s="32"/>
      <c r="D374" s="32"/>
      <c r="E374" s="32"/>
      <c r="F374" s="32"/>
      <c r="G374" s="32"/>
      <c r="H374" s="32"/>
    </row>
    <row r="375" customFormat="false" ht="15" hidden="false" customHeight="false" outlineLevel="0" collapsed="false">
      <c r="A375" s="32"/>
      <c r="B375" s="32"/>
      <c r="C375" s="32"/>
      <c r="D375" s="32"/>
      <c r="E375" s="32"/>
      <c r="F375" s="32"/>
      <c r="G375" s="32"/>
      <c r="H375" s="32"/>
    </row>
    <row r="376" customFormat="false" ht="15" hidden="false" customHeight="false" outlineLevel="0" collapsed="false">
      <c r="A376" s="32"/>
      <c r="B376" s="32"/>
      <c r="C376" s="32"/>
      <c r="D376" s="32"/>
      <c r="E376" s="32"/>
      <c r="F376" s="32"/>
      <c r="G376" s="32"/>
      <c r="H376" s="32"/>
    </row>
    <row r="377" customFormat="false" ht="15" hidden="false" customHeight="false" outlineLevel="0" collapsed="false">
      <c r="A377" s="32"/>
      <c r="B377" s="32"/>
      <c r="C377" s="32"/>
      <c r="D377" s="32"/>
      <c r="E377" s="32"/>
      <c r="F377" s="32"/>
      <c r="G377" s="32"/>
      <c r="H377" s="32"/>
    </row>
    <row r="378" customFormat="false" ht="15" hidden="false" customHeight="false" outlineLevel="0" collapsed="false">
      <c r="A378" s="32"/>
      <c r="B378" s="32"/>
      <c r="C378" s="32"/>
      <c r="D378" s="32"/>
      <c r="E378" s="32"/>
      <c r="F378" s="32"/>
      <c r="G378" s="32"/>
      <c r="H378" s="32"/>
    </row>
    <row r="379" customFormat="false" ht="15" hidden="false" customHeight="false" outlineLevel="0" collapsed="false">
      <c r="A379" s="32"/>
      <c r="B379" s="32"/>
      <c r="C379" s="32"/>
      <c r="D379" s="32"/>
      <c r="E379" s="32"/>
      <c r="F379" s="32"/>
      <c r="G379" s="32"/>
      <c r="H379" s="32"/>
    </row>
    <row r="380" customFormat="false" ht="15" hidden="false" customHeight="false" outlineLevel="0" collapsed="false">
      <c r="A380" s="32"/>
      <c r="B380" s="32"/>
      <c r="C380" s="32"/>
      <c r="D380" s="32"/>
      <c r="E380" s="32"/>
      <c r="F380" s="32"/>
      <c r="G380" s="32"/>
      <c r="H380" s="32"/>
    </row>
    <row r="381" customFormat="false" ht="15" hidden="false" customHeight="false" outlineLevel="0" collapsed="false">
      <c r="A381" s="32"/>
      <c r="B381" s="32"/>
      <c r="C381" s="32"/>
      <c r="D381" s="32"/>
      <c r="E381" s="32"/>
      <c r="F381" s="32"/>
      <c r="G381" s="32"/>
      <c r="H381" s="32"/>
    </row>
    <row r="382" customFormat="false" ht="15" hidden="false" customHeight="false" outlineLevel="0" collapsed="false">
      <c r="A382" s="32"/>
      <c r="B382" s="32"/>
      <c r="C382" s="32"/>
      <c r="D382" s="32"/>
      <c r="E382" s="32"/>
      <c r="F382" s="32"/>
      <c r="G382" s="32"/>
      <c r="H382" s="32"/>
    </row>
    <row r="383" customFormat="false" ht="15" hidden="false" customHeight="false" outlineLevel="0" collapsed="false">
      <c r="A383" s="32"/>
      <c r="B383" s="32"/>
      <c r="C383" s="32"/>
      <c r="D383" s="32"/>
      <c r="E383" s="32"/>
      <c r="F383" s="32"/>
      <c r="G383" s="32"/>
      <c r="H383" s="32"/>
    </row>
    <row r="384" customFormat="false" ht="15" hidden="false" customHeight="false" outlineLevel="0" collapsed="false">
      <c r="A384" s="32"/>
      <c r="B384" s="32"/>
      <c r="C384" s="32"/>
      <c r="D384" s="32"/>
      <c r="E384" s="32"/>
      <c r="F384" s="32"/>
      <c r="G384" s="32"/>
      <c r="H384" s="32"/>
    </row>
    <row r="385" customFormat="false" ht="15" hidden="false" customHeight="false" outlineLevel="0" collapsed="false">
      <c r="A385" s="32"/>
      <c r="B385" s="32"/>
      <c r="C385" s="32"/>
      <c r="D385" s="32"/>
      <c r="E385" s="32"/>
      <c r="F385" s="32"/>
      <c r="G385" s="32"/>
      <c r="H385" s="32"/>
    </row>
    <row r="386" customFormat="false" ht="15" hidden="false" customHeight="false" outlineLevel="0" collapsed="false">
      <c r="A386" s="32"/>
      <c r="B386" s="32"/>
      <c r="C386" s="32"/>
      <c r="D386" s="32"/>
      <c r="E386" s="32"/>
      <c r="F386" s="32"/>
      <c r="G386" s="32"/>
      <c r="H386" s="32"/>
    </row>
    <row r="387" customFormat="false" ht="15" hidden="false" customHeight="false" outlineLevel="0" collapsed="false">
      <c r="A387" s="32"/>
      <c r="B387" s="32"/>
      <c r="C387" s="32"/>
      <c r="D387" s="32"/>
      <c r="E387" s="32"/>
      <c r="F387" s="32"/>
      <c r="G387" s="32"/>
      <c r="H387" s="32"/>
    </row>
    <row r="388" customFormat="false" ht="15" hidden="false" customHeight="false" outlineLevel="0" collapsed="false">
      <c r="A388" s="32"/>
      <c r="B388" s="32"/>
      <c r="C388" s="32"/>
      <c r="D388" s="32"/>
      <c r="E388" s="32"/>
      <c r="F388" s="32"/>
      <c r="G388" s="32"/>
      <c r="H388" s="32"/>
    </row>
    <row r="389" customFormat="false" ht="15" hidden="false" customHeight="false" outlineLevel="0" collapsed="false">
      <c r="A389" s="32"/>
      <c r="B389" s="32"/>
      <c r="C389" s="32"/>
      <c r="D389" s="32"/>
      <c r="E389" s="32"/>
      <c r="F389" s="32"/>
      <c r="G389" s="32"/>
      <c r="H389" s="32"/>
    </row>
    <row r="390" customFormat="false" ht="15" hidden="false" customHeight="false" outlineLevel="0" collapsed="false">
      <c r="A390" s="32"/>
      <c r="B390" s="32"/>
      <c r="C390" s="32"/>
      <c r="D390" s="32"/>
      <c r="E390" s="32"/>
      <c r="F390" s="32"/>
      <c r="G390" s="32"/>
      <c r="H390" s="32"/>
    </row>
    <row r="391" customFormat="false" ht="15" hidden="false" customHeight="false" outlineLevel="0" collapsed="false">
      <c r="A391" s="32"/>
      <c r="B391" s="32"/>
      <c r="C391" s="32"/>
      <c r="D391" s="32"/>
      <c r="E391" s="32"/>
      <c r="F391" s="32"/>
      <c r="G391" s="32"/>
      <c r="H391" s="32"/>
    </row>
    <row r="392" customFormat="false" ht="15" hidden="false" customHeight="false" outlineLevel="0" collapsed="false">
      <c r="A392" s="32"/>
      <c r="B392" s="32"/>
      <c r="C392" s="32"/>
      <c r="D392" s="32"/>
      <c r="E392" s="32"/>
      <c r="F392" s="32"/>
      <c r="G392" s="32"/>
      <c r="H392" s="32"/>
    </row>
    <row r="393" customFormat="false" ht="15" hidden="false" customHeight="false" outlineLevel="0" collapsed="false">
      <c r="A393" s="32"/>
      <c r="B393" s="32"/>
      <c r="C393" s="32"/>
      <c r="D393" s="32"/>
      <c r="E393" s="32"/>
      <c r="F393" s="32"/>
      <c r="G393" s="32"/>
      <c r="H393" s="32"/>
    </row>
    <row r="394" customFormat="false" ht="15" hidden="false" customHeight="false" outlineLevel="0" collapsed="false">
      <c r="A394" s="32"/>
      <c r="B394" s="32"/>
      <c r="C394" s="32"/>
      <c r="D394" s="32"/>
      <c r="E394" s="32"/>
      <c r="F394" s="32"/>
      <c r="G394" s="32"/>
      <c r="H394" s="32"/>
    </row>
    <row r="395" customFormat="false" ht="15" hidden="false" customHeight="false" outlineLevel="0" collapsed="false">
      <c r="A395" s="32"/>
      <c r="B395" s="32"/>
      <c r="C395" s="32"/>
      <c r="D395" s="32"/>
      <c r="E395" s="32"/>
      <c r="F395" s="32"/>
      <c r="G395" s="32"/>
      <c r="H395" s="32"/>
    </row>
    <row r="396" customFormat="false" ht="15" hidden="false" customHeight="false" outlineLevel="0" collapsed="false">
      <c r="A396" s="32"/>
      <c r="B396" s="32"/>
      <c r="C396" s="32"/>
      <c r="D396" s="32"/>
      <c r="E396" s="32"/>
      <c r="F396" s="32"/>
      <c r="G396" s="32"/>
      <c r="H396" s="32"/>
    </row>
    <row r="397" customFormat="false" ht="15" hidden="false" customHeight="false" outlineLevel="0" collapsed="false">
      <c r="A397" s="32"/>
      <c r="B397" s="32"/>
      <c r="C397" s="32"/>
      <c r="D397" s="32"/>
      <c r="E397" s="32"/>
      <c r="F397" s="32"/>
      <c r="G397" s="32"/>
      <c r="H397" s="32"/>
    </row>
    <row r="398" customFormat="false" ht="15" hidden="false" customHeight="false" outlineLevel="0" collapsed="false">
      <c r="A398" s="32"/>
      <c r="B398" s="32"/>
      <c r="C398" s="32"/>
      <c r="D398" s="32"/>
      <c r="E398" s="32"/>
      <c r="F398" s="32"/>
      <c r="G398" s="32"/>
      <c r="H398" s="32"/>
    </row>
    <row r="399" customFormat="false" ht="15" hidden="false" customHeight="false" outlineLevel="0" collapsed="false">
      <c r="A399" s="32"/>
      <c r="B399" s="32"/>
      <c r="C399" s="32"/>
      <c r="D399" s="32"/>
      <c r="E399" s="32"/>
      <c r="F399" s="32"/>
      <c r="G399" s="32"/>
      <c r="H399" s="32"/>
    </row>
    <row r="400" customFormat="false" ht="15" hidden="false" customHeight="false" outlineLevel="0" collapsed="false">
      <c r="A400" s="32"/>
      <c r="B400" s="32"/>
      <c r="C400" s="32"/>
      <c r="D400" s="32"/>
      <c r="E400" s="32"/>
      <c r="F400" s="32"/>
      <c r="G400" s="32"/>
      <c r="H400" s="32"/>
    </row>
    <row r="401" customFormat="false" ht="15" hidden="false" customHeight="false" outlineLevel="0" collapsed="false">
      <c r="A401" s="32"/>
      <c r="B401" s="32"/>
      <c r="C401" s="32"/>
      <c r="D401" s="32"/>
      <c r="E401" s="32"/>
      <c r="F401" s="32"/>
      <c r="G401" s="32"/>
      <c r="H401" s="32"/>
    </row>
    <row r="402" customFormat="false" ht="15" hidden="false" customHeight="false" outlineLevel="0" collapsed="false">
      <c r="A402" s="32"/>
      <c r="B402" s="32"/>
      <c r="C402" s="32"/>
      <c r="D402" s="32"/>
      <c r="E402" s="32"/>
      <c r="F402" s="32"/>
      <c r="G402" s="32"/>
      <c r="H402" s="32"/>
    </row>
    <row r="403" customFormat="false" ht="15" hidden="false" customHeight="false" outlineLevel="0" collapsed="false">
      <c r="A403" s="32"/>
      <c r="B403" s="32"/>
      <c r="C403" s="32"/>
      <c r="D403" s="32"/>
      <c r="E403" s="32"/>
      <c r="F403" s="32"/>
      <c r="G403" s="32"/>
      <c r="H403" s="32"/>
    </row>
    <row r="404" customFormat="false" ht="15" hidden="false" customHeight="false" outlineLevel="0" collapsed="false">
      <c r="A404" s="32"/>
      <c r="B404" s="32"/>
      <c r="C404" s="32"/>
      <c r="D404" s="32"/>
      <c r="E404" s="32"/>
      <c r="F404" s="32"/>
      <c r="G404" s="32"/>
      <c r="H404" s="32"/>
    </row>
    <row r="405" customFormat="false" ht="15" hidden="false" customHeight="false" outlineLevel="0" collapsed="false">
      <c r="A405" s="32"/>
      <c r="B405" s="32"/>
      <c r="C405" s="32"/>
      <c r="D405" s="32"/>
      <c r="E405" s="32"/>
      <c r="F405" s="32"/>
      <c r="G405" s="32"/>
      <c r="H405" s="32"/>
    </row>
    <row r="406" customFormat="false" ht="15" hidden="false" customHeight="false" outlineLevel="0" collapsed="false">
      <c r="A406" s="32"/>
      <c r="B406" s="32"/>
      <c r="C406" s="32"/>
      <c r="D406" s="32"/>
      <c r="E406" s="32"/>
      <c r="F406" s="32"/>
      <c r="G406" s="32"/>
      <c r="H406" s="32"/>
    </row>
    <row r="407" customFormat="false" ht="15" hidden="false" customHeight="false" outlineLevel="0" collapsed="false">
      <c r="A407" s="32"/>
      <c r="B407" s="32"/>
      <c r="C407" s="32"/>
      <c r="D407" s="32"/>
      <c r="E407" s="32"/>
      <c r="F407" s="32"/>
      <c r="G407" s="32"/>
      <c r="H407" s="32"/>
    </row>
    <row r="408" customFormat="false" ht="15" hidden="false" customHeight="false" outlineLevel="0" collapsed="false">
      <c r="A408" s="32"/>
      <c r="B408" s="32"/>
      <c r="C408" s="32"/>
      <c r="D408" s="32"/>
      <c r="E408" s="32"/>
      <c r="F408" s="32"/>
      <c r="G408" s="32"/>
      <c r="H408" s="32"/>
    </row>
    <row r="409" customFormat="false" ht="15" hidden="false" customHeight="false" outlineLevel="0" collapsed="false">
      <c r="A409" s="32"/>
      <c r="B409" s="32"/>
      <c r="C409" s="32"/>
      <c r="D409" s="32"/>
      <c r="E409" s="32"/>
      <c r="F409" s="32"/>
      <c r="G409" s="32"/>
      <c r="H409" s="32"/>
    </row>
    <row r="410" customFormat="false" ht="15" hidden="false" customHeight="false" outlineLevel="0" collapsed="false">
      <c r="A410" s="32"/>
      <c r="B410" s="32"/>
      <c r="C410" s="32"/>
      <c r="D410" s="32"/>
      <c r="E410" s="32"/>
      <c r="F410" s="32"/>
      <c r="G410" s="32"/>
      <c r="H410" s="32"/>
    </row>
    <row r="411" customFormat="false" ht="15" hidden="false" customHeight="false" outlineLevel="0" collapsed="false">
      <c r="A411" s="32"/>
      <c r="B411" s="32"/>
      <c r="C411" s="32"/>
      <c r="D411" s="32"/>
      <c r="E411" s="32"/>
      <c r="F411" s="32"/>
      <c r="G411" s="32"/>
      <c r="H411" s="32"/>
    </row>
    <row r="412" customFormat="false" ht="15" hidden="false" customHeight="false" outlineLevel="0" collapsed="false">
      <c r="A412" s="32"/>
      <c r="B412" s="32"/>
      <c r="C412" s="32"/>
      <c r="D412" s="32"/>
      <c r="E412" s="32"/>
      <c r="F412" s="32"/>
      <c r="G412" s="32"/>
      <c r="H412" s="32"/>
    </row>
    <row r="413" customFormat="false" ht="15" hidden="false" customHeight="false" outlineLevel="0" collapsed="false">
      <c r="A413" s="32"/>
      <c r="B413" s="32"/>
      <c r="C413" s="32"/>
      <c r="D413" s="32"/>
      <c r="E413" s="32"/>
      <c r="F413" s="32"/>
      <c r="G413" s="32"/>
      <c r="H413" s="32"/>
    </row>
    <row r="414" customFormat="false" ht="15" hidden="false" customHeight="false" outlineLevel="0" collapsed="false">
      <c r="A414" s="32"/>
      <c r="B414" s="32"/>
      <c r="C414" s="32"/>
      <c r="D414" s="32"/>
      <c r="E414" s="32"/>
      <c r="F414" s="32"/>
      <c r="G414" s="32"/>
      <c r="H414" s="32"/>
    </row>
    <row r="415" customFormat="false" ht="15" hidden="false" customHeight="false" outlineLevel="0" collapsed="false">
      <c r="A415" s="32"/>
      <c r="B415" s="32"/>
      <c r="C415" s="32"/>
      <c r="D415" s="32"/>
      <c r="E415" s="32"/>
      <c r="F415" s="32"/>
      <c r="G415" s="32"/>
      <c r="H415" s="32"/>
    </row>
    <row r="416" customFormat="false" ht="15" hidden="false" customHeight="false" outlineLevel="0" collapsed="false">
      <c r="A416" s="32"/>
      <c r="B416" s="32"/>
      <c r="C416" s="32"/>
      <c r="D416" s="32"/>
      <c r="E416" s="32"/>
      <c r="F416" s="32"/>
      <c r="G416" s="32"/>
      <c r="H416" s="32"/>
    </row>
    <row r="417" customFormat="false" ht="15" hidden="false" customHeight="false" outlineLevel="0" collapsed="false">
      <c r="A417" s="32"/>
      <c r="B417" s="32"/>
      <c r="C417" s="32"/>
      <c r="D417" s="32"/>
      <c r="E417" s="32"/>
      <c r="F417" s="32"/>
      <c r="G417" s="32"/>
      <c r="H417" s="32"/>
    </row>
    <row r="418" customFormat="false" ht="15" hidden="false" customHeight="false" outlineLevel="0" collapsed="false">
      <c r="A418" s="32"/>
      <c r="B418" s="32"/>
      <c r="C418" s="32"/>
      <c r="D418" s="32"/>
      <c r="E418" s="32"/>
      <c r="F418" s="32"/>
      <c r="G418" s="32"/>
      <c r="H418" s="32"/>
    </row>
    <row r="419" customFormat="false" ht="15" hidden="false" customHeight="false" outlineLevel="0" collapsed="false">
      <c r="A419" s="32"/>
      <c r="B419" s="32"/>
      <c r="C419" s="32"/>
      <c r="D419" s="32"/>
      <c r="E419" s="32"/>
      <c r="F419" s="32"/>
      <c r="G419" s="32"/>
      <c r="H419" s="32"/>
    </row>
    <row r="420" customFormat="false" ht="15" hidden="false" customHeight="false" outlineLevel="0" collapsed="false">
      <c r="A420" s="32"/>
      <c r="B420" s="32"/>
      <c r="C420" s="32"/>
      <c r="D420" s="32"/>
      <c r="E420" s="32"/>
      <c r="F420" s="32"/>
      <c r="G420" s="32"/>
      <c r="H420" s="32"/>
    </row>
    <row r="421" customFormat="false" ht="15" hidden="false" customHeight="false" outlineLevel="0" collapsed="false">
      <c r="A421" s="32"/>
      <c r="B421" s="32"/>
      <c r="C421" s="32"/>
      <c r="D421" s="32"/>
      <c r="E421" s="32"/>
      <c r="F421" s="32"/>
      <c r="G421" s="32"/>
      <c r="H421" s="32"/>
    </row>
    <row r="422" customFormat="false" ht="15" hidden="false" customHeight="false" outlineLevel="0" collapsed="false">
      <c r="A422" s="32"/>
      <c r="B422" s="32"/>
      <c r="C422" s="32"/>
      <c r="D422" s="32"/>
      <c r="E422" s="32"/>
      <c r="F422" s="32"/>
      <c r="G422" s="32"/>
      <c r="H422" s="32"/>
    </row>
    <row r="423" customFormat="false" ht="15" hidden="false" customHeight="false" outlineLevel="0" collapsed="false">
      <c r="A423" s="32"/>
      <c r="B423" s="32"/>
      <c r="C423" s="32"/>
      <c r="D423" s="32"/>
      <c r="E423" s="32"/>
      <c r="F423" s="32"/>
      <c r="G423" s="32"/>
      <c r="H423" s="32"/>
    </row>
    <row r="424" customFormat="false" ht="15" hidden="false" customHeight="false" outlineLevel="0" collapsed="false">
      <c r="A424" s="32"/>
      <c r="B424" s="32"/>
      <c r="C424" s="32"/>
      <c r="D424" s="32"/>
      <c r="E424" s="32"/>
      <c r="F424" s="32"/>
      <c r="G424" s="32"/>
      <c r="H424" s="32"/>
    </row>
    <row r="425" customFormat="false" ht="15" hidden="false" customHeight="false" outlineLevel="0" collapsed="false">
      <c r="A425" s="32"/>
      <c r="B425" s="32"/>
      <c r="C425" s="32"/>
      <c r="D425" s="32"/>
      <c r="E425" s="32"/>
      <c r="F425" s="32"/>
      <c r="G425" s="32"/>
      <c r="H425" s="32"/>
    </row>
    <row r="426" customFormat="false" ht="15" hidden="false" customHeight="false" outlineLevel="0" collapsed="false">
      <c r="A426" s="32"/>
      <c r="B426" s="32"/>
      <c r="C426" s="32"/>
      <c r="D426" s="32"/>
      <c r="E426" s="32"/>
      <c r="F426" s="32"/>
      <c r="G426" s="32"/>
      <c r="H426" s="32"/>
    </row>
    <row r="427" customFormat="false" ht="15" hidden="false" customHeight="false" outlineLevel="0" collapsed="false">
      <c r="A427" s="32"/>
      <c r="B427" s="32"/>
      <c r="C427" s="32"/>
      <c r="D427" s="32"/>
      <c r="E427" s="32"/>
      <c r="F427" s="32"/>
      <c r="G427" s="32"/>
      <c r="H427" s="32"/>
    </row>
    <row r="428" customFormat="false" ht="15" hidden="false" customHeight="false" outlineLevel="0" collapsed="false">
      <c r="A428" s="32"/>
      <c r="B428" s="32"/>
      <c r="C428" s="32"/>
      <c r="D428" s="32"/>
      <c r="E428" s="32"/>
      <c r="F428" s="32"/>
      <c r="G428" s="32"/>
      <c r="H428" s="32"/>
    </row>
    <row r="429" customFormat="false" ht="15" hidden="false" customHeight="false" outlineLevel="0" collapsed="false">
      <c r="A429" s="32"/>
      <c r="B429" s="32"/>
      <c r="C429" s="32"/>
      <c r="D429" s="32"/>
      <c r="E429" s="32"/>
      <c r="F429" s="32"/>
      <c r="G429" s="32"/>
      <c r="H429" s="32"/>
    </row>
    <row r="430" customFormat="false" ht="15" hidden="false" customHeight="false" outlineLevel="0" collapsed="false">
      <c r="A430" s="32"/>
      <c r="B430" s="32"/>
      <c r="C430" s="32"/>
      <c r="D430" s="32"/>
      <c r="E430" s="32"/>
      <c r="F430" s="32"/>
      <c r="G430" s="32"/>
      <c r="H430" s="32"/>
    </row>
    <row r="431" customFormat="false" ht="15" hidden="false" customHeight="false" outlineLevel="0" collapsed="false">
      <c r="A431" s="32"/>
      <c r="B431" s="32"/>
      <c r="C431" s="32"/>
      <c r="D431" s="32"/>
      <c r="E431" s="32"/>
      <c r="F431" s="32"/>
      <c r="G431" s="32"/>
      <c r="H431" s="32"/>
    </row>
    <row r="432" customFormat="false" ht="15" hidden="false" customHeight="false" outlineLevel="0" collapsed="false">
      <c r="A432" s="32"/>
      <c r="B432" s="32"/>
      <c r="C432" s="32"/>
      <c r="D432" s="32"/>
      <c r="E432" s="32"/>
      <c r="F432" s="32"/>
      <c r="G432" s="32"/>
      <c r="H432" s="32"/>
    </row>
    <row r="433" customFormat="false" ht="15" hidden="false" customHeight="false" outlineLevel="0" collapsed="false">
      <c r="A433" s="32"/>
      <c r="B433" s="32"/>
      <c r="C433" s="32"/>
      <c r="D433" s="32"/>
      <c r="E433" s="32"/>
      <c r="F433" s="32"/>
      <c r="G433" s="32"/>
      <c r="H433" s="32"/>
    </row>
    <row r="434" customFormat="false" ht="15" hidden="false" customHeight="false" outlineLevel="0" collapsed="false">
      <c r="A434" s="32"/>
      <c r="B434" s="32"/>
      <c r="C434" s="32"/>
      <c r="D434" s="32"/>
      <c r="E434" s="32"/>
      <c r="F434" s="32"/>
      <c r="G434" s="32"/>
      <c r="H434" s="32"/>
    </row>
    <row r="435" customFormat="false" ht="15" hidden="false" customHeight="false" outlineLevel="0" collapsed="false">
      <c r="A435" s="32"/>
      <c r="B435" s="32"/>
      <c r="C435" s="32"/>
      <c r="D435" s="32"/>
      <c r="E435" s="32"/>
      <c r="F435" s="32"/>
      <c r="G435" s="32"/>
      <c r="H435" s="32"/>
    </row>
    <row r="436" customFormat="false" ht="15" hidden="false" customHeight="false" outlineLevel="0" collapsed="false">
      <c r="A436" s="32"/>
      <c r="B436" s="32"/>
      <c r="C436" s="32"/>
      <c r="D436" s="32"/>
      <c r="E436" s="32"/>
      <c r="F436" s="32"/>
      <c r="G436" s="32"/>
      <c r="H436" s="32"/>
    </row>
    <row r="437" customFormat="false" ht="15" hidden="false" customHeight="false" outlineLevel="0" collapsed="false">
      <c r="A437" s="32"/>
      <c r="B437" s="32"/>
      <c r="C437" s="32"/>
      <c r="D437" s="32"/>
      <c r="E437" s="32"/>
      <c r="F437" s="32"/>
      <c r="G437" s="32"/>
      <c r="H437" s="32"/>
    </row>
    <row r="438" customFormat="false" ht="15" hidden="false" customHeight="false" outlineLevel="0" collapsed="false">
      <c r="A438" s="32"/>
      <c r="B438" s="32"/>
      <c r="C438" s="32"/>
      <c r="D438" s="32"/>
      <c r="E438" s="32"/>
      <c r="F438" s="32"/>
      <c r="G438" s="32"/>
      <c r="H438" s="32"/>
    </row>
    <row r="439" customFormat="false" ht="15" hidden="false" customHeight="false" outlineLevel="0" collapsed="false">
      <c r="A439" s="32"/>
      <c r="B439" s="32"/>
      <c r="C439" s="32"/>
      <c r="D439" s="32"/>
      <c r="E439" s="32"/>
      <c r="F439" s="32"/>
      <c r="G439" s="32"/>
      <c r="H439" s="32"/>
    </row>
    <row r="440" customFormat="false" ht="15" hidden="false" customHeight="false" outlineLevel="0" collapsed="false">
      <c r="A440" s="32"/>
      <c r="B440" s="32"/>
      <c r="C440" s="32"/>
      <c r="D440" s="32"/>
      <c r="E440" s="32"/>
      <c r="F440" s="32"/>
      <c r="G440" s="32"/>
      <c r="H440" s="32"/>
    </row>
    <row r="441" customFormat="false" ht="15" hidden="false" customHeight="false" outlineLevel="0" collapsed="false">
      <c r="A441" s="32"/>
      <c r="B441" s="32"/>
      <c r="C441" s="32"/>
      <c r="D441" s="32"/>
      <c r="E441" s="32"/>
      <c r="F441" s="32"/>
      <c r="G441" s="32"/>
      <c r="H441" s="32"/>
    </row>
    <row r="442" customFormat="false" ht="15" hidden="false" customHeight="false" outlineLevel="0" collapsed="false">
      <c r="A442" s="32"/>
      <c r="B442" s="32"/>
      <c r="C442" s="32"/>
      <c r="D442" s="32"/>
      <c r="E442" s="32"/>
      <c r="F442" s="32"/>
      <c r="G442" s="32"/>
      <c r="H442" s="32"/>
    </row>
    <row r="443" customFormat="false" ht="15" hidden="false" customHeight="false" outlineLevel="0" collapsed="false">
      <c r="A443" s="32"/>
      <c r="B443" s="32"/>
      <c r="C443" s="32"/>
      <c r="D443" s="32"/>
      <c r="E443" s="32"/>
      <c r="F443" s="32"/>
      <c r="G443" s="32"/>
      <c r="H443" s="32"/>
    </row>
    <row r="444" customFormat="false" ht="15" hidden="false" customHeight="false" outlineLevel="0" collapsed="false">
      <c r="A444" s="32"/>
      <c r="B444" s="32"/>
      <c r="C444" s="32"/>
      <c r="D444" s="32"/>
      <c r="E444" s="32"/>
      <c r="F444" s="32"/>
      <c r="G444" s="32"/>
      <c r="H444" s="32"/>
    </row>
    <row r="445" customFormat="false" ht="15" hidden="false" customHeight="false" outlineLevel="0" collapsed="false">
      <c r="A445" s="32"/>
      <c r="B445" s="32"/>
      <c r="C445" s="32"/>
      <c r="D445" s="32"/>
      <c r="E445" s="32"/>
      <c r="F445" s="32"/>
      <c r="G445" s="32"/>
      <c r="H445" s="32"/>
    </row>
    <row r="446" customFormat="false" ht="15" hidden="false" customHeight="false" outlineLevel="0" collapsed="false">
      <c r="A446" s="32"/>
      <c r="B446" s="32"/>
      <c r="C446" s="32"/>
      <c r="D446" s="32"/>
      <c r="E446" s="32"/>
      <c r="F446" s="32"/>
      <c r="G446" s="32"/>
      <c r="H446" s="32"/>
    </row>
    <row r="447" customFormat="false" ht="15" hidden="false" customHeight="false" outlineLevel="0" collapsed="false">
      <c r="A447" s="32"/>
      <c r="B447" s="32"/>
      <c r="C447" s="32"/>
      <c r="D447" s="32"/>
      <c r="E447" s="32"/>
      <c r="F447" s="32"/>
      <c r="G447" s="32"/>
      <c r="H447" s="32"/>
    </row>
    <row r="448" customFormat="false" ht="15" hidden="false" customHeight="false" outlineLevel="0" collapsed="false">
      <c r="A448" s="32"/>
      <c r="B448" s="32"/>
      <c r="C448" s="32"/>
      <c r="D448" s="32"/>
      <c r="E448" s="32"/>
      <c r="F448" s="32"/>
      <c r="G448" s="32"/>
      <c r="H448" s="32"/>
    </row>
    <row r="449" customFormat="false" ht="15" hidden="false" customHeight="false" outlineLevel="0" collapsed="false">
      <c r="A449" s="32"/>
      <c r="B449" s="32"/>
      <c r="C449" s="32"/>
      <c r="D449" s="32"/>
      <c r="E449" s="32"/>
      <c r="F449" s="32"/>
      <c r="G449" s="32"/>
      <c r="H449" s="32"/>
    </row>
    <row r="450" customFormat="false" ht="15" hidden="false" customHeight="false" outlineLevel="0" collapsed="false">
      <c r="A450" s="32"/>
      <c r="B450" s="32"/>
      <c r="C450" s="32"/>
      <c r="D450" s="32"/>
      <c r="E450" s="32"/>
      <c r="F450" s="32"/>
      <c r="G450" s="32"/>
      <c r="H450" s="32"/>
    </row>
    <row r="451" customFormat="false" ht="15" hidden="false" customHeight="false" outlineLevel="0" collapsed="false">
      <c r="A451" s="32"/>
      <c r="B451" s="32"/>
      <c r="C451" s="32"/>
      <c r="D451" s="32"/>
      <c r="E451" s="32"/>
      <c r="F451" s="32"/>
      <c r="G451" s="32"/>
      <c r="H451" s="32"/>
    </row>
    <row r="452" customFormat="false" ht="15" hidden="false" customHeight="false" outlineLevel="0" collapsed="false">
      <c r="A452" s="32"/>
      <c r="B452" s="32"/>
      <c r="C452" s="32"/>
      <c r="D452" s="32"/>
      <c r="E452" s="32"/>
      <c r="F452" s="32"/>
      <c r="G452" s="32"/>
      <c r="H452" s="32"/>
    </row>
    <row r="453" customFormat="false" ht="15" hidden="false" customHeight="false" outlineLevel="0" collapsed="false">
      <c r="A453" s="32"/>
      <c r="B453" s="32"/>
      <c r="C453" s="32"/>
      <c r="D453" s="32"/>
      <c r="E453" s="32"/>
      <c r="F453" s="32"/>
      <c r="G453" s="32"/>
      <c r="H453" s="32"/>
    </row>
    <row r="454" customFormat="false" ht="15" hidden="false" customHeight="false" outlineLevel="0" collapsed="false">
      <c r="A454" s="32"/>
      <c r="B454" s="32"/>
      <c r="C454" s="32"/>
      <c r="D454" s="32"/>
      <c r="E454" s="32"/>
      <c r="F454" s="32"/>
      <c r="G454" s="32"/>
      <c r="H454" s="32"/>
    </row>
    <row r="455" customFormat="false" ht="15" hidden="false" customHeight="false" outlineLevel="0" collapsed="false">
      <c r="A455" s="32"/>
      <c r="B455" s="32"/>
      <c r="C455" s="32"/>
      <c r="D455" s="32"/>
      <c r="E455" s="32"/>
      <c r="F455" s="32"/>
      <c r="G455" s="32"/>
      <c r="H455" s="32"/>
    </row>
    <row r="456" customFormat="false" ht="15" hidden="false" customHeight="false" outlineLevel="0" collapsed="false">
      <c r="A456" s="32"/>
      <c r="B456" s="32"/>
      <c r="C456" s="32"/>
      <c r="D456" s="32"/>
      <c r="E456" s="32"/>
      <c r="F456" s="32"/>
      <c r="G456" s="32"/>
      <c r="H456" s="32"/>
    </row>
    <row r="457" customFormat="false" ht="15" hidden="false" customHeight="false" outlineLevel="0" collapsed="false">
      <c r="A457" s="32"/>
      <c r="B457" s="32"/>
      <c r="C457" s="32"/>
      <c r="D457" s="32"/>
      <c r="E457" s="32"/>
      <c r="F457" s="32"/>
      <c r="G457" s="32"/>
      <c r="H457" s="32"/>
    </row>
    <row r="458" customFormat="false" ht="15" hidden="false" customHeight="false" outlineLevel="0" collapsed="false">
      <c r="A458" s="32"/>
      <c r="B458" s="32"/>
      <c r="C458" s="32"/>
      <c r="D458" s="32"/>
      <c r="E458" s="32"/>
      <c r="F458" s="32"/>
      <c r="G458" s="32"/>
      <c r="H458" s="32"/>
    </row>
    <row r="459" customFormat="false" ht="15" hidden="false" customHeight="false" outlineLevel="0" collapsed="false">
      <c r="A459" s="32"/>
      <c r="B459" s="32"/>
      <c r="C459" s="32"/>
      <c r="D459" s="32"/>
      <c r="E459" s="32"/>
      <c r="F459" s="32"/>
      <c r="G459" s="32"/>
      <c r="H459" s="32"/>
    </row>
    <row r="460" customFormat="false" ht="15" hidden="false" customHeight="false" outlineLevel="0" collapsed="false">
      <c r="A460" s="32"/>
      <c r="B460" s="32"/>
      <c r="C460" s="32"/>
      <c r="D460" s="32"/>
      <c r="E460" s="32"/>
      <c r="F460" s="32"/>
      <c r="G460" s="32"/>
      <c r="H460" s="32"/>
    </row>
    <row r="461" customFormat="false" ht="15" hidden="false" customHeight="false" outlineLevel="0" collapsed="false">
      <c r="A461" s="32"/>
      <c r="B461" s="32"/>
      <c r="C461" s="32"/>
      <c r="D461" s="32"/>
      <c r="E461" s="32"/>
      <c r="F461" s="32"/>
      <c r="G461" s="32"/>
      <c r="H461" s="32"/>
    </row>
    <row r="462" customFormat="false" ht="15" hidden="false" customHeight="false" outlineLevel="0" collapsed="false">
      <c r="A462" s="32"/>
      <c r="B462" s="32"/>
      <c r="C462" s="32"/>
      <c r="D462" s="32"/>
      <c r="E462" s="32"/>
      <c r="F462" s="32"/>
      <c r="G462" s="32"/>
      <c r="H462" s="32"/>
    </row>
    <row r="463" customFormat="false" ht="15" hidden="false" customHeight="false" outlineLevel="0" collapsed="false">
      <c r="A463" s="32"/>
      <c r="B463" s="32"/>
      <c r="C463" s="32"/>
      <c r="D463" s="32"/>
      <c r="E463" s="32"/>
      <c r="F463" s="32"/>
      <c r="G463" s="32"/>
      <c r="H463" s="32"/>
    </row>
    <row r="464" customFormat="false" ht="15" hidden="false" customHeight="false" outlineLevel="0" collapsed="false">
      <c r="A464" s="32"/>
      <c r="B464" s="32"/>
      <c r="C464" s="32"/>
      <c r="D464" s="32"/>
      <c r="E464" s="32"/>
      <c r="F464" s="32"/>
      <c r="G464" s="32"/>
      <c r="H464" s="32"/>
    </row>
    <row r="465" customFormat="false" ht="15" hidden="false" customHeight="false" outlineLevel="0" collapsed="false">
      <c r="A465" s="32"/>
      <c r="B465" s="32"/>
      <c r="C465" s="32"/>
      <c r="D465" s="32"/>
      <c r="E465" s="32"/>
      <c r="F465" s="32"/>
      <c r="G465" s="32"/>
      <c r="H465" s="32"/>
    </row>
    <row r="466" customFormat="false" ht="15" hidden="false" customHeight="false" outlineLevel="0" collapsed="false">
      <c r="A466" s="32"/>
      <c r="B466" s="32"/>
      <c r="C466" s="32"/>
      <c r="D466" s="32"/>
      <c r="E466" s="32"/>
      <c r="F466" s="32"/>
      <c r="G466" s="32"/>
      <c r="H466" s="32"/>
    </row>
    <row r="467" customFormat="false" ht="15" hidden="false" customHeight="false" outlineLevel="0" collapsed="false">
      <c r="A467" s="32"/>
      <c r="B467" s="32"/>
      <c r="C467" s="32"/>
      <c r="D467" s="32"/>
      <c r="E467" s="32"/>
      <c r="F467" s="32"/>
      <c r="G467" s="32"/>
      <c r="H467" s="32"/>
    </row>
    <row r="468" customFormat="false" ht="15" hidden="false" customHeight="false" outlineLevel="0" collapsed="false">
      <c r="A468" s="32"/>
      <c r="B468" s="32"/>
      <c r="C468" s="32"/>
      <c r="D468" s="32"/>
      <c r="E468" s="32"/>
      <c r="F468" s="32"/>
      <c r="G468" s="32"/>
      <c r="H468" s="32"/>
    </row>
    <row r="469" customFormat="false" ht="15" hidden="false" customHeight="false" outlineLevel="0" collapsed="false">
      <c r="A469" s="32"/>
      <c r="B469" s="32"/>
      <c r="C469" s="32"/>
      <c r="D469" s="32"/>
      <c r="E469" s="32"/>
      <c r="F469" s="32"/>
      <c r="G469" s="32"/>
      <c r="H469" s="32"/>
    </row>
    <row r="470" customFormat="false" ht="15" hidden="false" customHeight="false" outlineLevel="0" collapsed="false">
      <c r="A470" s="32"/>
      <c r="B470" s="32"/>
      <c r="C470" s="32"/>
      <c r="D470" s="32"/>
      <c r="E470" s="32"/>
      <c r="F470" s="32"/>
      <c r="G470" s="32"/>
      <c r="H470" s="32"/>
    </row>
    <row r="471" customFormat="false" ht="15" hidden="false" customHeight="false" outlineLevel="0" collapsed="false">
      <c r="A471" s="32"/>
      <c r="B471" s="32"/>
      <c r="C471" s="32"/>
      <c r="D471" s="32"/>
      <c r="E471" s="32"/>
      <c r="F471" s="32"/>
      <c r="G471" s="32"/>
      <c r="H471" s="32"/>
    </row>
    <row r="472" customFormat="false" ht="15" hidden="false" customHeight="false" outlineLevel="0" collapsed="false">
      <c r="A472" s="32"/>
      <c r="B472" s="32"/>
      <c r="C472" s="32"/>
      <c r="D472" s="32"/>
      <c r="E472" s="32"/>
      <c r="F472" s="32"/>
      <c r="G472" s="32"/>
      <c r="H472" s="32"/>
    </row>
    <row r="473" customFormat="false" ht="15" hidden="false" customHeight="false" outlineLevel="0" collapsed="false">
      <c r="A473" s="32"/>
      <c r="B473" s="32"/>
      <c r="C473" s="32"/>
      <c r="D473" s="32"/>
      <c r="E473" s="32"/>
      <c r="F473" s="32"/>
      <c r="G473" s="32"/>
      <c r="H473" s="32"/>
    </row>
    <row r="474" customFormat="false" ht="15" hidden="false" customHeight="false" outlineLevel="0" collapsed="false">
      <c r="A474" s="32"/>
      <c r="B474" s="32"/>
      <c r="C474" s="32"/>
      <c r="D474" s="32"/>
      <c r="E474" s="32"/>
      <c r="F474" s="32"/>
      <c r="G474" s="32"/>
      <c r="H474" s="32"/>
    </row>
    <row r="475" customFormat="false" ht="15" hidden="false" customHeight="false" outlineLevel="0" collapsed="false">
      <c r="A475" s="32"/>
      <c r="B475" s="32"/>
      <c r="C475" s="32"/>
      <c r="D475" s="32"/>
      <c r="E475" s="32"/>
      <c r="F475" s="32"/>
      <c r="G475" s="32"/>
      <c r="H475" s="32"/>
    </row>
    <row r="476" customFormat="false" ht="15" hidden="false" customHeight="false" outlineLevel="0" collapsed="false">
      <c r="A476" s="32"/>
      <c r="B476" s="32"/>
      <c r="C476" s="32"/>
      <c r="D476" s="32"/>
      <c r="E476" s="32"/>
      <c r="F476" s="32"/>
      <c r="G476" s="32"/>
      <c r="H476" s="32"/>
    </row>
    <row r="477" customFormat="false" ht="15" hidden="false" customHeight="false" outlineLevel="0" collapsed="false">
      <c r="A477" s="32"/>
      <c r="B477" s="32"/>
      <c r="C477" s="32"/>
      <c r="D477" s="32"/>
      <c r="E477" s="32"/>
      <c r="F477" s="32"/>
      <c r="G477" s="32"/>
      <c r="H477" s="32"/>
    </row>
    <row r="478" customFormat="false" ht="15" hidden="false" customHeight="false" outlineLevel="0" collapsed="false">
      <c r="A478" s="32"/>
      <c r="B478" s="32"/>
      <c r="C478" s="32"/>
      <c r="D478" s="32"/>
      <c r="E478" s="32"/>
      <c r="F478" s="32"/>
      <c r="G478" s="32"/>
      <c r="H478" s="32"/>
    </row>
    <row r="479" customFormat="false" ht="15" hidden="false" customHeight="false" outlineLevel="0" collapsed="false">
      <c r="A479" s="32"/>
      <c r="B479" s="32"/>
      <c r="C479" s="32"/>
      <c r="D479" s="32"/>
      <c r="E479" s="32"/>
      <c r="F479" s="32"/>
      <c r="G479" s="32"/>
      <c r="H479" s="32"/>
    </row>
    <row r="480" customFormat="false" ht="15" hidden="false" customHeight="false" outlineLevel="0" collapsed="false">
      <c r="A480" s="32"/>
      <c r="B480" s="32"/>
      <c r="C480" s="32"/>
      <c r="D480" s="32"/>
      <c r="E480" s="32"/>
      <c r="F480" s="32"/>
      <c r="G480" s="32"/>
      <c r="H480" s="32"/>
    </row>
    <row r="481" customFormat="false" ht="15" hidden="false" customHeight="false" outlineLevel="0" collapsed="false">
      <c r="A481" s="32"/>
      <c r="B481" s="32"/>
      <c r="C481" s="32"/>
      <c r="D481" s="32"/>
      <c r="E481" s="32"/>
      <c r="F481" s="32"/>
      <c r="G481" s="32"/>
      <c r="H481" s="32"/>
    </row>
    <row r="482" customFormat="false" ht="15" hidden="false" customHeight="false" outlineLevel="0" collapsed="false">
      <c r="A482" s="32"/>
      <c r="B482" s="32"/>
      <c r="C482" s="32"/>
      <c r="D482" s="32"/>
      <c r="E482" s="32"/>
      <c r="F482" s="32"/>
      <c r="G482" s="32"/>
      <c r="H482" s="32"/>
    </row>
    <row r="483" customFormat="false" ht="15" hidden="false" customHeight="false" outlineLevel="0" collapsed="false">
      <c r="A483" s="32"/>
      <c r="B483" s="32"/>
      <c r="C483" s="32"/>
      <c r="D483" s="32"/>
      <c r="E483" s="32"/>
      <c r="F483" s="32"/>
      <c r="G483" s="32"/>
      <c r="H483" s="32"/>
    </row>
    <row r="484" customFormat="false" ht="15" hidden="false" customHeight="false" outlineLevel="0" collapsed="false">
      <c r="A484" s="32"/>
      <c r="B484" s="32"/>
      <c r="C484" s="32"/>
      <c r="D484" s="32"/>
      <c r="E484" s="32"/>
      <c r="F484" s="32"/>
      <c r="G484" s="32"/>
      <c r="H484" s="32"/>
    </row>
    <row r="485" customFormat="false" ht="15" hidden="false" customHeight="false" outlineLevel="0" collapsed="false">
      <c r="A485" s="32"/>
      <c r="B485" s="32"/>
      <c r="C485" s="32"/>
      <c r="D485" s="32"/>
      <c r="E485" s="32"/>
      <c r="F485" s="32"/>
      <c r="G485" s="32"/>
      <c r="H485" s="32"/>
    </row>
    <row r="486" customFormat="false" ht="15" hidden="false" customHeight="false" outlineLevel="0" collapsed="false">
      <c r="A486" s="32"/>
      <c r="B486" s="32"/>
      <c r="C486" s="32"/>
      <c r="D486" s="32"/>
      <c r="E486" s="32"/>
      <c r="F486" s="32"/>
      <c r="G486" s="32"/>
      <c r="H486" s="32"/>
    </row>
    <row r="487" customFormat="false" ht="15" hidden="false" customHeight="false" outlineLevel="0" collapsed="false">
      <c r="A487" s="32"/>
      <c r="B487" s="32"/>
      <c r="C487" s="32"/>
      <c r="D487" s="32"/>
      <c r="E487" s="32"/>
      <c r="F487" s="32"/>
      <c r="G487" s="32"/>
      <c r="H487" s="32"/>
    </row>
    <row r="488" customFormat="false" ht="15" hidden="false" customHeight="false" outlineLevel="0" collapsed="false">
      <c r="A488" s="32"/>
      <c r="B488" s="32"/>
      <c r="C488" s="32"/>
      <c r="D488" s="32"/>
      <c r="E488" s="32"/>
      <c r="F488" s="32"/>
      <c r="G488" s="32"/>
      <c r="H488" s="32"/>
    </row>
    <row r="489" customFormat="false" ht="15" hidden="false" customHeight="false" outlineLevel="0" collapsed="false">
      <c r="A489" s="32"/>
      <c r="B489" s="32"/>
      <c r="C489" s="32"/>
      <c r="D489" s="32"/>
      <c r="E489" s="32"/>
      <c r="F489" s="32"/>
      <c r="G489" s="32"/>
      <c r="H489" s="32"/>
    </row>
    <row r="490" customFormat="false" ht="15" hidden="false" customHeight="false" outlineLevel="0" collapsed="false">
      <c r="A490" s="32"/>
      <c r="B490" s="32"/>
      <c r="C490" s="32"/>
      <c r="D490" s="32"/>
      <c r="E490" s="32"/>
      <c r="F490" s="32"/>
      <c r="G490" s="32"/>
      <c r="H490" s="32"/>
    </row>
    <row r="491" customFormat="false" ht="15" hidden="false" customHeight="false" outlineLevel="0" collapsed="false">
      <c r="A491" s="32"/>
      <c r="B491" s="32"/>
      <c r="C491" s="32"/>
      <c r="D491" s="32"/>
      <c r="E491" s="32"/>
      <c r="F491" s="32"/>
      <c r="G491" s="32"/>
      <c r="H491" s="32"/>
    </row>
    <row r="492" customFormat="false" ht="15" hidden="false" customHeight="false" outlineLevel="0" collapsed="false">
      <c r="A492" s="32"/>
      <c r="B492" s="32"/>
      <c r="C492" s="32"/>
      <c r="D492" s="32"/>
      <c r="E492" s="32"/>
      <c r="F492" s="32"/>
      <c r="G492" s="32"/>
      <c r="H492" s="32"/>
    </row>
    <row r="493" customFormat="false" ht="15" hidden="false" customHeight="false" outlineLevel="0" collapsed="false">
      <c r="A493" s="32"/>
      <c r="B493" s="32"/>
      <c r="C493" s="32"/>
      <c r="D493" s="32"/>
      <c r="E493" s="32"/>
      <c r="F493" s="32"/>
      <c r="G493" s="32"/>
      <c r="H493" s="32"/>
    </row>
    <row r="494" customFormat="false" ht="15" hidden="false" customHeight="false" outlineLevel="0" collapsed="false">
      <c r="A494" s="32"/>
      <c r="B494" s="32"/>
      <c r="C494" s="32"/>
      <c r="D494" s="32"/>
      <c r="E494" s="32"/>
      <c r="F494" s="32"/>
      <c r="G494" s="32"/>
      <c r="H494" s="32"/>
    </row>
    <row r="495" customFormat="false" ht="15" hidden="false" customHeight="false" outlineLevel="0" collapsed="false">
      <c r="A495" s="32"/>
      <c r="B495" s="32"/>
      <c r="C495" s="32"/>
      <c r="D495" s="32"/>
      <c r="E495" s="32"/>
      <c r="F495" s="32"/>
      <c r="G495" s="32"/>
      <c r="H495" s="32"/>
    </row>
    <row r="496" customFormat="false" ht="15" hidden="false" customHeight="false" outlineLevel="0" collapsed="false">
      <c r="A496" s="32"/>
      <c r="B496" s="32"/>
      <c r="C496" s="32"/>
      <c r="D496" s="32"/>
      <c r="E496" s="32"/>
      <c r="F496" s="32"/>
      <c r="G496" s="32"/>
      <c r="H496" s="32"/>
    </row>
    <row r="497" customFormat="false" ht="15" hidden="false" customHeight="false" outlineLevel="0" collapsed="false">
      <c r="A497" s="32"/>
      <c r="B497" s="32"/>
      <c r="C497" s="32"/>
      <c r="D497" s="32"/>
      <c r="E497" s="32"/>
      <c r="F497" s="32"/>
      <c r="G497" s="32"/>
      <c r="H497" s="32"/>
    </row>
    <row r="498" customFormat="false" ht="15" hidden="false" customHeight="false" outlineLevel="0" collapsed="false">
      <c r="A498" s="32"/>
      <c r="B498" s="32"/>
      <c r="C498" s="32"/>
      <c r="D498" s="32"/>
      <c r="E498" s="32"/>
      <c r="F498" s="32"/>
      <c r="G498" s="32"/>
      <c r="H498" s="32"/>
    </row>
    <row r="499" customFormat="false" ht="15" hidden="false" customHeight="false" outlineLevel="0" collapsed="false">
      <c r="A499" s="32"/>
      <c r="B499" s="32"/>
      <c r="C499" s="32"/>
      <c r="D499" s="32"/>
      <c r="E499" s="32"/>
      <c r="F499" s="32"/>
      <c r="G499" s="32"/>
      <c r="H499" s="32"/>
    </row>
    <row r="500" customFormat="false" ht="15" hidden="false" customHeight="false" outlineLevel="0" collapsed="false">
      <c r="A500" s="32"/>
      <c r="B500" s="32"/>
      <c r="C500" s="32"/>
      <c r="D500" s="32"/>
      <c r="E500" s="32"/>
      <c r="F500" s="32"/>
      <c r="G500" s="32"/>
      <c r="H500" s="32"/>
    </row>
    <row r="501" customFormat="false" ht="15" hidden="false" customHeight="false" outlineLevel="0" collapsed="false">
      <c r="A501" s="32"/>
      <c r="B501" s="32"/>
      <c r="C501" s="32"/>
      <c r="D501" s="32"/>
      <c r="E501" s="32"/>
      <c r="F501" s="32"/>
      <c r="G501" s="32"/>
      <c r="H501" s="32"/>
    </row>
    <row r="502" customFormat="false" ht="15" hidden="false" customHeight="false" outlineLevel="0" collapsed="false">
      <c r="A502" s="32"/>
      <c r="B502" s="32"/>
      <c r="C502" s="32"/>
      <c r="D502" s="32"/>
      <c r="E502" s="32"/>
      <c r="F502" s="32"/>
      <c r="G502" s="32"/>
      <c r="H502" s="32"/>
    </row>
    <row r="503" customFormat="false" ht="15" hidden="false" customHeight="false" outlineLevel="0" collapsed="false">
      <c r="A503" s="32"/>
      <c r="B503" s="32"/>
      <c r="C503" s="32"/>
      <c r="D503" s="32"/>
      <c r="E503" s="32"/>
      <c r="F503" s="32"/>
      <c r="G503" s="32"/>
      <c r="H503" s="32"/>
    </row>
    <row r="504" customFormat="false" ht="15" hidden="false" customHeight="false" outlineLevel="0" collapsed="false">
      <c r="A504" s="32"/>
      <c r="B504" s="32"/>
      <c r="C504" s="32"/>
      <c r="D504" s="32"/>
      <c r="E504" s="32"/>
      <c r="F504" s="32"/>
      <c r="G504" s="32"/>
      <c r="H504" s="32"/>
    </row>
  </sheetData>
  <mergeCells count="1">
    <mergeCell ref="N62:O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2026-09-28T23:38:46Z</dcterms:created>
  <dc:creator>openpyxl</dc:creator>
  <dc:description/>
  <dc:language>en-US</dc:language>
  <cp:lastModifiedBy/>
  <dcterms:modified xsi:type="dcterms:W3CDTF">2026-09-28T23:38:47Z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