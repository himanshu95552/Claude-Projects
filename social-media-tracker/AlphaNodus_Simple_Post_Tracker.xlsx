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 Tracker" sheetId="1" state="visible" r:id="rId3"/>
  </sheets>
  <definedNames>
    <definedName function="false" hidden="true" localSheetId="0" name="_xlnm._FilterDatabase" vbProcedure="false">'Post Tracker'!$A$11:$V$211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One line: the topic and the format (video, image, carousel, poll…).</t>
        </r>
      </text>
    </comment>
    <comment ref="E11" authorId="0">
      <text>
        <r>
          <rPr>
            <sz val="10"/>
            <rFont val="Arial"/>
            <family val="2"/>
          </rPr>
          <t xml:space="preserve">How the first line grabs attention.</t>
        </r>
      </text>
    </comment>
    <comment ref="G11" authorId="0">
      <text>
        <r>
          <rPr>
            <sz val="10"/>
            <rFont val="Arial"/>
            <family val="2"/>
          </rPr>
          <t xml:space="preserve">From the platform's analytics (X shows views publicly).</t>
        </r>
      </text>
    </comment>
    <comment ref="H11" authorId="0">
      <text>
        <r>
          <rPr>
            <sz val="10"/>
            <rFont val="Arial"/>
            <family val="2"/>
          </rPr>
          <t xml:space="preserve">Unique people who saw it — from the platform's analytics.</t>
        </r>
      </text>
    </comment>
    <comment ref="M11" authorId="0">
      <text>
        <r>
          <rPr>
            <sz val="10"/>
            <rFont val="Arial"/>
            <family val="2"/>
          </rPr>
          <t xml:space="preserve">Clicks on the post (LinkedIn counts these in its engagement rate).</t>
        </r>
      </text>
    </comment>
    <comment ref="N11" authorId="0">
      <text>
        <r>
          <rPr>
            <sz val="10"/>
            <rFont val="Arial"/>
            <family val="2"/>
          </rPr>
          <t xml:space="preserve">Followers gained on the post day + the next 2 days. LinkedIn doesn't credit follows to organic posts, so this is the closest fair signal.</t>
        </r>
      </text>
    </comment>
    <comment ref="O11" authorId="0">
      <text>
        <r>
          <rPr>
            <sz val="10"/>
            <rFont val="Arial"/>
            <family val="2"/>
          </rPr>
          <t xml:space="preserve">Did anyone from our target list (imaging / radiology center decision-makers) like, comment or share?</t>
        </r>
      </text>
    </comment>
    <comment ref="P11" authorId="0">
      <text>
        <r>
          <rPr>
            <sz val="10"/>
            <rFont val="Arial"/>
            <family val="2"/>
          </rPr>
          <t xml:space="preserve">Likes + Comments + Shares + Saves + Link Clicks (same as LinkedIn's own definition)</t>
        </r>
      </text>
    </comment>
    <comment ref="Q11" authorId="0">
      <text>
        <r>
          <rPr>
            <sz val="10"/>
            <rFont val="Arial"/>
            <family val="2"/>
          </rPr>
          <t xml:space="preserve">Total Engagement ÷ Reach (or Impressions). Only if no post on that platform has impressions yet: ÷ followers in the box above.</t>
        </r>
      </text>
    </comment>
    <comment ref="R11" authorId="0">
      <text>
        <r>
          <rPr>
            <sz val="10"/>
            <rFont val="Arial"/>
            <family val="2"/>
          </rPr>
          <t xml:space="preserve">Compared with our own average on the same platform — see the rule box above.</t>
        </r>
      </text>
    </comment>
    <comment ref="V11" authorId="0">
      <text>
        <r>
          <rPr>
            <sz val="10"/>
            <rFont val="Arial"/>
            <family val="2"/>
          </rPr>
          <t xml:space="preserve">Built automatically. Paste it in the post, first comment or bio so website visits can be traced to this post.</t>
        </r>
      </text>
    </comment>
  </commentList>
</comments>
</file>

<file path=xl/sharedStrings.xml><?xml version="1.0" encoding="utf-8"?>
<sst xmlns="http://schemas.openxmlformats.org/spreadsheetml/2006/main" count="162" uniqueCount="107">
  <si>
    <t xml:space="preserve">Alpha Nodus — Social Post Tracker</t>
  </si>
  <si>
    <t xml:space="preserve">One row per post. Fill the yellow cells; grey cells calculate themselves. Check numbers 7 days after posting, then read the Rating and pick the Next Action.</t>
  </si>
  <si>
    <t xml:space="preserve">Platform</t>
  </si>
  <si>
    <t xml:space="preserve">Followers Today</t>
  </si>
  <si>
    <t xml:space="preserve">Posts</t>
  </si>
  <si>
    <t xml:space="preserve">Avg Engagement Rate</t>
  </si>
  <si>
    <t xml:space="preserve">Good Posts</t>
  </si>
  <si>
    <t xml:space="preserve">Below Standard Posts</t>
  </si>
  <si>
    <t xml:space="preserve">How the Rating works</t>
  </si>
  <si>
    <t xml:space="preserve">Yellow = type here</t>
  </si>
  <si>
    <t xml:space="preserve">LinkedIn</t>
  </si>
  <si>
    <t xml:space="preserve">Good = engagement rate at least 1.2× our average for that platform</t>
  </si>
  <si>
    <t xml:space="preserve">Grey = automatic</t>
  </si>
  <si>
    <t xml:space="preserve">Instagram</t>
  </si>
  <si>
    <t xml:space="preserve">Average = between 0.8× and 1.2× our average</t>
  </si>
  <si>
    <t xml:space="preserve">Blue text = data (LinkedIn: page analytics export, Aug 28–Sep 26)</t>
  </si>
  <si>
    <t xml:space="preserve">X</t>
  </si>
  <si>
    <t xml:space="preserve">Below Standard = under 0.8× our average</t>
  </si>
  <si>
    <t xml:space="preserve">Instagram &amp; X: public profiles, 9/28/2026</t>
  </si>
  <si>
    <t xml:space="preserve">Followers Today: update every Monday.</t>
  </si>
  <si>
    <t xml:space="preserve">No Data Yet = numbers not entered, or fewer than 2 posts on that platform</t>
  </si>
  <si>
    <t xml:space="preserve">Engagement Rate = (likes + comments + shares + saves + clicks) ÷ reach, or ÷ impressions if reach is blank</t>
  </si>
  <si>
    <t xml:space="preserve">Why our own average: each platform behaves differently, and it improves as we post more.</t>
  </si>
  <si>
    <t xml:space="preserve">Date</t>
  </si>
  <si>
    <t xml:space="preserve">What Was Posted</t>
  </si>
  <si>
    <t xml:space="preserve">Content Pillar</t>
  </si>
  <si>
    <t xml:space="preserve">Hook Type</t>
  </si>
  <si>
    <t xml:space="preserve">Post Link</t>
  </si>
  <si>
    <t xml:space="preserve">Impressions</t>
  </si>
  <si>
    <t xml:space="preserve">Reach</t>
  </si>
  <si>
    <t xml:space="preserve">Likes</t>
  </si>
  <si>
    <t xml:space="preserve">Comments</t>
  </si>
  <si>
    <t xml:space="preserve">Shares / Reposts</t>
  </si>
  <si>
    <t xml:space="preserve">Saves</t>
  </si>
  <si>
    <t xml:space="preserve">Link Clicks</t>
  </si>
  <si>
    <t xml:space="preserve">New Followers (3 days after post)</t>
  </si>
  <si>
    <t xml:space="preserve">Target List Engaged?</t>
  </si>
  <si>
    <t xml:space="preserve">Total Engagement</t>
  </si>
  <si>
    <t xml:space="preserve">Engagement Rate</t>
  </si>
  <si>
    <t xml:space="preserve">Rating</t>
  </si>
  <si>
    <t xml:space="preserve">What Was Weak</t>
  </si>
  <si>
    <t xml:space="preserve">What to Improve</t>
  </si>
  <si>
    <t xml:space="preserve">Next Action</t>
  </si>
  <si>
    <t xml:space="preserve">Tracking URL (use this link in the post)</t>
  </si>
  <si>
    <t xml:space="preserve">3-min Gravity AI explainer video: 'Still running on fax, phones and payer portals?'</t>
  </si>
  <si>
    <t xml:space="preserve">Product / Demo</t>
  </si>
  <si>
    <t xml:space="preserve">Question</t>
  </si>
  <si>
    <t xml:space="preserve">https://www.linkedin.com/feed/update/urn:li:activity:7504198831056764928</t>
  </si>
  <si>
    <t xml:space="preserve">Not Checked</t>
  </si>
  <si>
    <t xml:space="preserve">Most seen (413) and most clicked (24) post of the month, but 0 comments, and only 198 of 413 people started the video.</t>
  </si>
  <si>
    <t xml:space="preserve">Keep video. Make a 30–45 sec cut with captions and the problem in the first 3 seconds, and end with one question to get comments.</t>
  </si>
  <si>
    <t xml:space="preserve">Improve &amp; Retry</t>
  </si>
  <si>
    <t xml:space="preserve">Text post: 'Scanners idle a third of the day, next slot 3 weeks out'</t>
  </si>
  <si>
    <t xml:space="preserve">Operations Tips</t>
  </si>
  <si>
    <t xml:space="preserve">Stat / Number</t>
  </si>
  <si>
    <t xml:space="preserve">https://www.linkedin.com/feed/update/urn:li:activity:7505309133571686400</t>
  </si>
  <si>
    <t xml:space="preserve">Most likes of the month (16) but 0 comments: nobody used the 'comment GravityAI' ask. Very long text.</t>
  </si>
  <si>
    <t xml:space="preserve">Repeat the stat-led opening. Replace the comment-keyword ask with one simple question, and put the demo link in the first comment.</t>
  </si>
  <si>
    <t xml:space="preserve">Repeat</t>
  </si>
  <si>
    <t xml:space="preserve">Post: an order arrives with one field missing — when does it get flagged?</t>
  </si>
  <si>
    <t xml:space="preserve">Revenue Cycle</t>
  </si>
  <si>
    <t xml:space="preserve">Story</t>
  </si>
  <si>
    <t xml:space="preserve">https://www.linkedin.com/feed/update/urn:li:activity:7506754588167806979</t>
  </si>
  <si>
    <t xml:space="preserve">Best engagement rate and best click rate (8.3%), but the fewest impressions (217) — the billing topic reached fewer people.</t>
  </si>
  <si>
    <t xml:space="preserve">Repeat the short story + question format. Write the first line for center owners (lost revenue), not only billing teams, to reach more people.</t>
  </si>
  <si>
    <t xml:space="preserve">Post: an imaging order passes 4 manual handoffs before it's billable</t>
  </si>
  <si>
    <t xml:space="preserve">https://www.linkedin.com/feed/update/urn:li:activity:7508663072018939904</t>
  </si>
  <si>
    <t xml:space="preserve">Lowest engagement rate of the month and no reposts. Second billing post in 5 days; demo link hidden in the comments.</t>
  </si>
  <si>
    <t xml:space="preserve">Space out Revenue Cycle posts (one every 2 weeks). Open with a specific denial number, not a process description.</t>
  </si>
  <si>
    <t xml:space="preserve">Poll: how many referrals went to another center last month?</t>
  </si>
  <si>
    <t xml:space="preserve">Industry Insight</t>
  </si>
  <si>
    <t xml:space="preserve">https://www.linkedin.com/posts/alphanodus_imagingcenters-healthcareoperations-radiology-activity-7510401945279295488-5wJH</t>
  </si>
  <si>
    <t xml:space="preserve">Posted after the LinkedIn export ended (Sep 26), so there are no impressions yet.</t>
  </si>
  <si>
    <t xml:space="preserve">Re-export LinkedIn analytics after Oct 5. Post the poll results next week as promised in the post.</t>
  </si>
  <si>
    <t xml:space="preserve">Wait for Data</t>
  </si>
  <si>
    <t xml:space="preserve">Reel: 3-min Gravity AI explainer video</t>
  </si>
  <si>
    <t xml:space="preserve">https://www.instagram.com/alphanodus/reel/DdJxFt3t07x/</t>
  </si>
  <si>
    <t xml:space="preserve">No comments. 3 minutes is far too long for a Reel.</t>
  </si>
  <si>
    <t xml:space="preserve">Cut a 20–30 sec Reel with on-screen text. End with 'link in bio to book a demo'.</t>
  </si>
  <si>
    <t xml:space="preserve">Image: 'Scanners idle a third of the day, next slot 3 weeks out'</t>
  </si>
  <si>
    <t xml:space="preserve">https://www.instagram.com/alphanodus/p/DdRoAPjkqqy/</t>
  </si>
  <si>
    <t xml:space="preserve">Best Instagram post, but the caption is very long and the 'comment GravityAI' ask got 0 comments.</t>
  </si>
  <si>
    <t xml:space="preserve">Keep the stat-led visual. Shorten the caption to 3–4 lines with one question at the end.</t>
  </si>
  <si>
    <t xml:space="preserve">Carousel: an order arrives with one field missing</t>
  </si>
  <si>
    <t xml:space="preserve">https://www.instagram.com/alphanodus/p/DdcD_2JkjH0/</t>
  </si>
  <si>
    <t xml:space="preserve">Ended with a question but got 0 comments — the question was only in the caption.</t>
  </si>
  <si>
    <t xml:space="preserve">Put the question on the last slide too, with 2–3 answer options people can reply with.</t>
  </si>
  <si>
    <t xml:space="preserve">Image: 4 manual handoffs before an order is billable</t>
  </si>
  <si>
    <t xml:space="preserve">https://www.instagram.com/alphanodus/p/DdpdTFWN9JR/</t>
  </si>
  <si>
    <t xml:space="preserve">Weakest Instagram post: text-heavy single image, same theme as Sep 18.</t>
  </si>
  <si>
    <t xml:space="preserve">Tell process stories as a carousel or short Reel. Avoid two Revenue Cycle posts in a row.</t>
  </si>
  <si>
    <t xml:space="preserve">Video: Gravity AI explainer + demo link</t>
  </si>
  <si>
    <t xml:space="preserve">https://x.com/AlphaNodus/status/2098433794022006872</t>
  </si>
  <si>
    <t xml:space="preserve">27 views and no engagement. The account only has 46 followers.</t>
  </si>
  <si>
    <t xml:space="preserve">Post a short clip instead of the full video. Reply in radiology / imaging threads to get seen.</t>
  </si>
  <si>
    <t xml:space="preserve">Image: 'Scanners idle a third of the day' + comment GravityAI ask</t>
  </si>
  <si>
    <t xml:space="preserve">https://x.com/AlphaNodus/status/2099545479755583973</t>
  </si>
  <si>
    <t xml:space="preserve">Fewest views of the month and no engagement.</t>
  </si>
  <si>
    <t xml:space="preserve">Tag 1–2 relevant industry accounts or people. Turn the stat into a short thread.</t>
  </si>
  <si>
    <t xml:space="preserve">Image: an order with one field missing — when is it flagged?</t>
  </si>
  <si>
    <t xml:space="preserve">https://x.com/AlphaNodus/status/2101017252221128863</t>
  </si>
  <si>
    <t xml:space="preserve">Only got a reply, no likes or reposts.</t>
  </si>
  <si>
    <t xml:space="preserve">Ending with a question worked here — keep doing it. Add a clear visual.</t>
  </si>
  <si>
    <t xml:space="preserve">Image: 4 manual handoffs before an order is billable (pinned)</t>
  </si>
  <si>
    <t xml:space="preserve">https://x.com/AlphaNodus/status/2102915695722045558</t>
  </si>
  <si>
    <t xml:space="preserve">Rated Good only because 1 reply came from very few views — 13, the lowest of the month, even though it was pinned.</t>
  </si>
  <si>
    <t xml:space="preserve">Keep the question ending. Get it seen: tag 1–2 industry accounts and pin whichever post is doing best.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</si>
</sst>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.0%"/>
    <numFmt numFmtId="168" formatCode="mm/d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DEDED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DEEAF6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8DC"/>
      <rgbColor rgb="FFDE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3" min="12" style="0" width="7"/>
    <col collapsed="false" customWidth="true" hidden="false" outlineLevel="0" max="14" min="14" style="0" width="11"/>
    <col collapsed="false" customWidth="true" hidden="false" outlineLevel="0" max="17" min="15" style="0" width="10"/>
    <col collapsed="false" customWidth="true" hidden="false" outlineLevel="0" max="18" min="18" style="0" width="14"/>
    <col collapsed="false" customWidth="true" hidden="false" outlineLevel="0" max="20" min="19" style="0" width="40"/>
    <col collapsed="false" customWidth="true" hidden="false" outlineLevel="0" max="21" min="21" style="0" width="14"/>
    <col collapsed="false" customWidth="true" hidden="false" outlineLevel="0" max="22" min="22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  <c r="S4" s="5" t="s">
        <v>9</v>
      </c>
    </row>
    <row r="5" customFormat="false" ht="15" hidden="false" customHeight="false" outlineLevel="0" collapsed="false">
      <c r="A5" s="6" t="s">
        <v>10</v>
      </c>
      <c r="B5" s="7" t="n">
        <v>2640</v>
      </c>
      <c r="C5" s="8" t="n">
        <f aca="false">COUNTIF($B$12:$B$211,A5)</f>
        <v>5</v>
      </c>
      <c r="D5" s="9" t="n">
        <f aca="false">IFERROR(AVERAGEIF($B$12:$B$211,A5,$Q$12:$Q$211),"")</f>
        <v>0.101243004465839</v>
      </c>
      <c r="E5" s="8" t="n">
        <f aca="false">COUNTIFS($B$12:$B$211,A5,$R$12:$R$211,"Good")</f>
        <v>0</v>
      </c>
      <c r="F5" s="8" t="n">
        <f aca="false">COUNTIFS($B$12:$B$211,A5,$R$12:$R$211,"Below Standard")</f>
        <v>0</v>
      </c>
      <c r="H5" s="10" t="s">
        <v>11</v>
      </c>
      <c r="S5" s="11" t="s">
        <v>12</v>
      </c>
    </row>
    <row r="6" customFormat="false" ht="15" hidden="false" customHeight="false" outlineLevel="0" collapsed="false">
      <c r="A6" s="6" t="s">
        <v>13</v>
      </c>
      <c r="B6" s="7" t="n">
        <v>61</v>
      </c>
      <c r="C6" s="8" t="n">
        <f aca="false">COUNTIF($B$12:$B$211,A6)</f>
        <v>4</v>
      </c>
      <c r="D6" s="9" t="n">
        <f aca="false">IFERROR(AVERAGEIF($B$12:$B$211,A6,$Q$12:$Q$211),"")</f>
        <v>0.0983606557377049</v>
      </c>
      <c r="E6" s="8" t="n">
        <f aca="false">COUNTIFS($B$12:$B$211,A6,$R$12:$R$211,"Good")</f>
        <v>1</v>
      </c>
      <c r="F6" s="8" t="n">
        <f aca="false">COUNTIFS($B$12:$B$211,A6,$R$12:$R$211,"Below Standard")</f>
        <v>1</v>
      </c>
      <c r="H6" s="10" t="s">
        <v>14</v>
      </c>
      <c r="S6" s="12" t="s">
        <v>15</v>
      </c>
    </row>
    <row r="7" customFormat="false" ht="15" hidden="false" customHeight="false" outlineLevel="0" collapsed="false">
      <c r="A7" s="6" t="s">
        <v>16</v>
      </c>
      <c r="B7" s="7" t="n">
        <v>46</v>
      </c>
      <c r="C7" s="8" t="n">
        <f aca="false">COUNTIF($B$12:$B$211,A7)</f>
        <v>4</v>
      </c>
      <c r="D7" s="9" t="n">
        <f aca="false">IFERROR(AVERAGEIF($B$12:$B$211,A7,$Q$12:$Q$211),"")</f>
        <v>0.0288461538461538</v>
      </c>
      <c r="E7" s="8" t="n">
        <f aca="false">COUNTIFS($B$12:$B$211,A7,$R$12:$R$211,"Good")</f>
        <v>2</v>
      </c>
      <c r="F7" s="8" t="n">
        <f aca="false">COUNTIFS($B$12:$B$211,A7,$R$12:$R$211,"Below Standard")</f>
        <v>2</v>
      </c>
      <c r="H7" s="10" t="s">
        <v>17</v>
      </c>
      <c r="S7" s="12" t="s">
        <v>18</v>
      </c>
    </row>
    <row r="8" customFormat="false" ht="15" hidden="false" customHeight="false" outlineLevel="0" collapsed="false">
      <c r="A8" s="13" t="s">
        <v>19</v>
      </c>
      <c r="H8" s="10" t="s">
        <v>20</v>
      </c>
    </row>
    <row r="9" customFormat="false" ht="15" hidden="false" customHeight="false" outlineLevel="0" collapsed="false">
      <c r="H9" s="10" t="s">
        <v>21</v>
      </c>
    </row>
    <row r="10" customFormat="false" ht="15" hidden="false" customHeight="false" outlineLevel="0" collapsed="false">
      <c r="H10" s="10" t="s">
        <v>22</v>
      </c>
    </row>
    <row r="11" customFormat="false" ht="42" hidden="false" customHeight="true" outlineLevel="0" collapsed="false">
      <c r="A11" s="3" t="s">
        <v>23</v>
      </c>
      <c r="B11" s="3" t="s">
        <v>2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29</v>
      </c>
      <c r="I11" s="3" t="s">
        <v>30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35</v>
      </c>
      <c r="O11" s="3" t="s">
        <v>36</v>
      </c>
      <c r="P11" s="14" t="s">
        <v>37</v>
      </c>
      <c r="Q11" s="14" t="s">
        <v>38</v>
      </c>
      <c r="R11" s="14" t="s">
        <v>39</v>
      </c>
      <c r="S11" s="3" t="s">
        <v>40</v>
      </c>
      <c r="T11" s="3" t="s">
        <v>41</v>
      </c>
      <c r="U11" s="3" t="s">
        <v>42</v>
      </c>
      <c r="V11" s="14" t="s">
        <v>43</v>
      </c>
    </row>
    <row r="12" customFormat="false" ht="54" hidden="false" customHeight="true" outlineLevel="0" collapsed="false">
      <c r="A12" s="15" t="n">
        <v>46276</v>
      </c>
      <c r="B12" s="16" t="s">
        <v>10</v>
      </c>
      <c r="C12" s="17" t="s">
        <v>44</v>
      </c>
      <c r="D12" s="16" t="s">
        <v>45</v>
      </c>
      <c r="E12" s="16" t="s">
        <v>46</v>
      </c>
      <c r="F12" s="16" t="s">
        <v>47</v>
      </c>
      <c r="G12" s="18" t="n">
        <v>413</v>
      </c>
      <c r="H12" s="19"/>
      <c r="I12" s="18" t="n">
        <v>14</v>
      </c>
      <c r="J12" s="18" t="n">
        <v>0</v>
      </c>
      <c r="K12" s="18" t="n">
        <v>1</v>
      </c>
      <c r="L12" s="19"/>
      <c r="M12" s="18" t="n">
        <v>24</v>
      </c>
      <c r="N12" s="18" t="n">
        <v>0</v>
      </c>
      <c r="O12" s="20" t="s">
        <v>48</v>
      </c>
      <c r="P12" s="21" t="n">
        <f aca="false">IF(OR(A12="",B12=""),"",IF(COUNT(I12:M12)=0,"",SUM(I12:M12)))</f>
        <v>39</v>
      </c>
      <c r="Q12" s="22" t="n">
        <f aca="false">IF(OR(OR(A12="",B12=""),P12=""),"",IFERROR(P12/(IF(N(H12)&gt;0,H12,IF(N(G12)&gt;0,G12,IF(COUNTIFS($B$12:$B$211,B12,$G$12:$G$211,"&gt;0")+COUNTIFS($B$12:$B$211,B12,$H$12:$H$211,"&gt;0")&gt;0,"",INDEX($B$5:$B$7,MATCH(B12,$A$5:$A$7,0)))))),""))</f>
        <v>0.0944309927360775</v>
      </c>
      <c r="R12" s="23" t="str">
        <f aca="false">IF(OR(A12="",B12=""),"",IF(OR(Q12="",COUNTIFS($B$12:$B$211,B12,$Q$12:$Q$211,"&gt;=0")&lt;2),"No Data Yet",IFERROR(IF(Q12/AVERAGEIFS($Q$12:$Q$211,$B$12:$B$211,B12)&gt;=1.2,"Good",IF(Q12/AVERAGEIFS($Q$12:$Q$211,$B$12:$B$211,B12)&gt;=0.8,"Average","Below Standard")),"Average")))</f>
        <v>Average</v>
      </c>
      <c r="S12" s="24" t="s">
        <v>49</v>
      </c>
      <c r="T12" s="24" t="s">
        <v>50</v>
      </c>
      <c r="U12" s="20" t="s">
        <v>51</v>
      </c>
      <c r="V12" s="23" t="str">
        <f aca="false">IF(OR(A12="",B12=""),"","https://www.alphanodus.com/contact?utm_source="&amp;IF(B12="X","twitter",LOWER(B12))&amp;"&amp;utm_medium=social&amp;utm_campaign="&amp;IF(D12="","general",LOWER(SUBSTITUTE(SUBSTITUTE(D12," / ","-")," ","-")))&amp;"&amp;utm_content="&amp;LOWER(LEFT(B12,2))&amp;"-"&amp;TEXT(A12,"yymmdd"))</f>
        <v>https://www.alphanodus.com/contact?utm_source=linkedin&amp;utm_medium=social&amp;utm_campaign=product-demo&amp;utm_content=li-260911</v>
      </c>
    </row>
    <row r="13" customFormat="false" ht="54" hidden="false" customHeight="true" outlineLevel="0" collapsed="false">
      <c r="A13" s="15" t="n">
        <v>46279</v>
      </c>
      <c r="B13" s="16" t="s">
        <v>10</v>
      </c>
      <c r="C13" s="17" t="s">
        <v>52</v>
      </c>
      <c r="D13" s="16" t="s">
        <v>53</v>
      </c>
      <c r="E13" s="16" t="s">
        <v>54</v>
      </c>
      <c r="F13" s="16" t="s">
        <v>55</v>
      </c>
      <c r="G13" s="18" t="n">
        <v>322</v>
      </c>
      <c r="H13" s="19"/>
      <c r="I13" s="18" t="n">
        <v>16</v>
      </c>
      <c r="J13" s="18" t="n">
        <v>0</v>
      </c>
      <c r="K13" s="18" t="n">
        <v>1</v>
      </c>
      <c r="L13" s="19"/>
      <c r="M13" s="18" t="n">
        <v>17</v>
      </c>
      <c r="N13" s="18" t="n">
        <v>3</v>
      </c>
      <c r="O13" s="20" t="s">
        <v>48</v>
      </c>
      <c r="P13" s="21" t="n">
        <f aca="false">IF(OR(A13="",B13=""),"",IF(COUNT(I13:M13)=0,"",SUM(I13:M13)))</f>
        <v>34</v>
      </c>
      <c r="Q13" s="22" t="n">
        <f aca="false">IF(OR(OR(A13="",B13=""),P13=""),"",IFERROR(P13/(IF(N(H13)&gt;0,H13,IF(N(G13)&gt;0,G13,IF(COUNTIFS($B$12:$B$211,B13,$G$12:$G$211,"&gt;0")+COUNTIFS($B$12:$B$211,B13,$H$12:$H$211,"&gt;0")&gt;0,"",INDEX($B$5:$B$7,MATCH(B13,$A$5:$A$7,0)))))),""))</f>
        <v>0.105590062111801</v>
      </c>
      <c r="R13" s="23" t="str">
        <f aca="false">IF(OR(A13="",B13=""),"",IF(OR(Q13="",COUNTIFS($B$12:$B$211,B13,$Q$12:$Q$211,"&gt;=0")&lt;2),"No Data Yet",IFERROR(IF(Q13/AVERAGEIFS($Q$12:$Q$211,$B$12:$B$211,B13)&gt;=1.2,"Good",IF(Q13/AVERAGEIFS($Q$12:$Q$211,$B$12:$B$211,B13)&gt;=0.8,"Average","Below Standard")),"Average")))</f>
        <v>Average</v>
      </c>
      <c r="S13" s="24" t="s">
        <v>56</v>
      </c>
      <c r="T13" s="24" t="s">
        <v>57</v>
      </c>
      <c r="U13" s="20" t="s">
        <v>58</v>
      </c>
      <c r="V13" s="23" t="str">
        <f aca="false">IF(OR(A13="",B13=""),"","https://www.alphanodus.com/contact?utm_source="&amp;IF(B13="X","twitter",LOWER(B13))&amp;"&amp;utm_medium=social&amp;utm_campaign="&amp;IF(D13="","general",LOWER(SUBSTITUTE(SUBSTITUTE(D13," / ","-")," ","-")))&amp;"&amp;utm_content="&amp;LOWER(LEFT(B13,2))&amp;"-"&amp;TEXT(A13,"yymmdd"))</f>
        <v>https://www.alphanodus.com/contact?utm_source=linkedin&amp;utm_medium=social&amp;utm_campaign=operations-tips&amp;utm_content=li-260914</v>
      </c>
    </row>
    <row r="14" customFormat="false" ht="54" hidden="false" customHeight="true" outlineLevel="0" collapsed="false">
      <c r="A14" s="15" t="n">
        <v>46283</v>
      </c>
      <c r="B14" s="16" t="s">
        <v>10</v>
      </c>
      <c r="C14" s="17" t="s">
        <v>59</v>
      </c>
      <c r="D14" s="16" t="s">
        <v>60</v>
      </c>
      <c r="E14" s="16" t="s">
        <v>61</v>
      </c>
      <c r="F14" s="16" t="s">
        <v>62</v>
      </c>
      <c r="G14" s="18" t="n">
        <v>217</v>
      </c>
      <c r="H14" s="19"/>
      <c r="I14" s="18" t="n">
        <v>5</v>
      </c>
      <c r="J14" s="18" t="n">
        <v>1</v>
      </c>
      <c r="K14" s="18" t="n">
        <v>1</v>
      </c>
      <c r="L14" s="19"/>
      <c r="M14" s="18" t="n">
        <v>18</v>
      </c>
      <c r="N14" s="18" t="n">
        <v>1</v>
      </c>
      <c r="O14" s="20" t="s">
        <v>48</v>
      </c>
      <c r="P14" s="21" t="n">
        <f aca="false">IF(OR(A14="",B14=""),"",IF(COUNT(I14:M14)=0,"",SUM(I14:M14)))</f>
        <v>25</v>
      </c>
      <c r="Q14" s="22" t="n">
        <f aca="false">IF(OR(OR(A14="",B14=""),P14=""),"",IFERROR(P14/(IF(N(H14)&gt;0,H14,IF(N(G14)&gt;0,G14,IF(COUNTIFS($B$12:$B$211,B14,$G$12:$G$211,"&gt;0")+COUNTIFS($B$12:$B$211,B14,$H$12:$H$211,"&gt;0")&gt;0,"",INDEX($B$5:$B$7,MATCH(B14,$A$5:$A$7,0)))))),""))</f>
        <v>0.115207373271889</v>
      </c>
      <c r="R14" s="23" t="str">
        <f aca="false">IF(OR(A14="",B14=""),"",IF(OR(Q14="",COUNTIFS($B$12:$B$211,B14,$Q$12:$Q$211,"&gt;=0")&lt;2),"No Data Yet",IFERROR(IF(Q14/AVERAGEIFS($Q$12:$Q$211,$B$12:$B$211,B14)&gt;=1.2,"Good",IF(Q14/AVERAGEIFS($Q$12:$Q$211,$B$12:$B$211,B14)&gt;=0.8,"Average","Below Standard")),"Average")))</f>
        <v>Average</v>
      </c>
      <c r="S14" s="24" t="s">
        <v>63</v>
      </c>
      <c r="T14" s="24" t="s">
        <v>64</v>
      </c>
      <c r="U14" s="20" t="s">
        <v>58</v>
      </c>
      <c r="V14" s="23" t="str">
        <f aca="false">IF(OR(A14="",B14=""),"","https://www.alphanodus.com/contact?utm_source="&amp;IF(B14="X","twitter",LOWER(B14))&amp;"&amp;utm_medium=social&amp;utm_campaign="&amp;IF(D14="","general",LOWER(SUBSTITUTE(SUBSTITUTE(D14," / ","-")," ","-")))&amp;"&amp;utm_content="&amp;LOWER(LEFT(B14,2))&amp;"-"&amp;TEXT(A14,"yymmdd"))</f>
        <v>https://www.alphanodus.com/contact?utm_source=linkedin&amp;utm_medium=social&amp;utm_campaign=revenue-cycle&amp;utm_content=li-260918</v>
      </c>
    </row>
    <row r="15" customFormat="false" ht="54" hidden="false" customHeight="true" outlineLevel="0" collapsed="false">
      <c r="A15" s="15" t="n">
        <v>46288</v>
      </c>
      <c r="B15" s="16" t="s">
        <v>10</v>
      </c>
      <c r="C15" s="17" t="s">
        <v>65</v>
      </c>
      <c r="D15" s="16" t="s">
        <v>60</v>
      </c>
      <c r="E15" s="16" t="s">
        <v>61</v>
      </c>
      <c r="F15" s="16" t="s">
        <v>66</v>
      </c>
      <c r="G15" s="18" t="n">
        <v>234</v>
      </c>
      <c r="H15" s="19"/>
      <c r="I15" s="18" t="n">
        <v>4</v>
      </c>
      <c r="J15" s="18" t="n">
        <v>1</v>
      </c>
      <c r="K15" s="18" t="n">
        <v>0</v>
      </c>
      <c r="L15" s="19"/>
      <c r="M15" s="18" t="n">
        <v>16</v>
      </c>
      <c r="N15" s="18" t="n">
        <v>6</v>
      </c>
      <c r="O15" s="20" t="s">
        <v>48</v>
      </c>
      <c r="P15" s="21" t="n">
        <f aca="false">IF(OR(A15="",B15=""),"",IF(COUNT(I15:M15)=0,"",SUM(I15:M15)))</f>
        <v>21</v>
      </c>
      <c r="Q15" s="22" t="n">
        <f aca="false">IF(OR(OR(A15="",B15=""),P15=""),"",IFERROR(P15/(IF(N(H15)&gt;0,H15,IF(N(G15)&gt;0,G15,IF(COUNTIFS($B$12:$B$211,B15,$G$12:$G$211,"&gt;0")+COUNTIFS($B$12:$B$211,B15,$H$12:$H$211,"&gt;0")&gt;0,"",INDEX($B$5:$B$7,MATCH(B15,$A$5:$A$7,0)))))),""))</f>
        <v>0.0897435897435897</v>
      </c>
      <c r="R15" s="23" t="str">
        <f aca="false">IF(OR(A15="",B15=""),"",IF(OR(Q15="",COUNTIFS($B$12:$B$211,B15,$Q$12:$Q$211,"&gt;=0")&lt;2),"No Data Yet",IFERROR(IF(Q15/AVERAGEIFS($Q$12:$Q$211,$B$12:$B$211,B15)&gt;=1.2,"Good",IF(Q15/AVERAGEIFS($Q$12:$Q$211,$B$12:$B$211,B15)&gt;=0.8,"Average","Below Standard")),"Average")))</f>
        <v>Average</v>
      </c>
      <c r="S15" s="24" t="s">
        <v>67</v>
      </c>
      <c r="T15" s="24" t="s">
        <v>68</v>
      </c>
      <c r="U15" s="20" t="s">
        <v>51</v>
      </c>
      <c r="V15" s="23" t="str">
        <f aca="false">IF(OR(A15="",B15=""),"","https://www.alphanodus.com/contact?utm_source="&amp;IF(B15="X","twitter",LOWER(B15))&amp;"&amp;utm_medium=social&amp;utm_campaign="&amp;IF(D15="","general",LOWER(SUBSTITUTE(SUBSTITUTE(D15," / ","-")," ","-")))&amp;"&amp;utm_content="&amp;LOWER(LEFT(B15,2))&amp;"-"&amp;TEXT(A15,"yymmdd"))</f>
        <v>https://www.alphanodus.com/contact?utm_source=linkedin&amp;utm_medium=social&amp;utm_campaign=revenue-cycle&amp;utm_content=li-260923</v>
      </c>
    </row>
    <row r="16" customFormat="false" ht="54" hidden="false" customHeight="true" outlineLevel="0" collapsed="false">
      <c r="A16" s="15" t="n">
        <v>46293</v>
      </c>
      <c r="B16" s="16" t="s">
        <v>10</v>
      </c>
      <c r="C16" s="17" t="s">
        <v>69</v>
      </c>
      <c r="D16" s="16" t="s">
        <v>70</v>
      </c>
      <c r="E16" s="16" t="s">
        <v>46</v>
      </c>
      <c r="F16" s="16" t="s">
        <v>71</v>
      </c>
      <c r="G16" s="19"/>
      <c r="H16" s="19"/>
      <c r="I16" s="18" t="n">
        <v>1</v>
      </c>
      <c r="J16" s="18" t="n">
        <v>1</v>
      </c>
      <c r="K16" s="19"/>
      <c r="L16" s="19"/>
      <c r="M16" s="19"/>
      <c r="N16" s="19"/>
      <c r="O16" s="20" t="s">
        <v>48</v>
      </c>
      <c r="P16" s="21" t="n">
        <f aca="false">IF(OR(A16="",B16=""),"",IF(COUNT(I16:M16)=0,"",SUM(I16:M16)))</f>
        <v>2</v>
      </c>
      <c r="Q16" s="22" t="str">
        <f aca="false">IF(OR(OR(A16="",B16=""),P16=""),"",IFERROR(P16/(IF(N(H16)&gt;0,H16,IF(N(G16)&gt;0,G16,IF(COUNTIFS($B$12:$B$211,B16,$G$12:$G$211,"&gt;0")+COUNTIFS($B$12:$B$211,B16,$H$12:$H$211,"&gt;0")&gt;0,"",INDEX($B$5:$B$7,MATCH(B16,$A$5:$A$7,0)))))),""))</f>
        <v/>
      </c>
      <c r="R16" s="23" t="str">
        <f aca="false">IF(OR(A16="",B16=""),"",IF(OR(Q16="",COUNTIFS($B$12:$B$211,B16,$Q$12:$Q$211,"&gt;=0")&lt;2),"No Data Yet",IFERROR(IF(Q16/AVERAGEIFS($Q$12:$Q$211,$B$12:$B$211,B16)&gt;=1.2,"Good",IF(Q16/AVERAGEIFS($Q$12:$Q$211,$B$12:$B$211,B16)&gt;=0.8,"Average","Below Standard")),"Average")))</f>
        <v>No Data Yet</v>
      </c>
      <c r="S16" s="24" t="s">
        <v>72</v>
      </c>
      <c r="T16" s="24" t="s">
        <v>73</v>
      </c>
      <c r="U16" s="20" t="s">
        <v>74</v>
      </c>
      <c r="V16" s="23" t="str">
        <f aca="false">IF(OR(A16="",B16=""),"","https://www.alphanodus.com/contact?utm_source="&amp;IF(B16="X","twitter",LOWER(B16))&amp;"&amp;utm_medium=social&amp;utm_campaign="&amp;IF(D16="","general",LOWER(SUBSTITUTE(SUBSTITUTE(D16," / ","-")," ","-")))&amp;"&amp;utm_content="&amp;LOWER(LEFT(B16,2))&amp;"-"&amp;TEXT(A16,"yymmdd"))</f>
        <v>https://www.alphanodus.com/contact?utm_source=linkedin&amp;utm_medium=social&amp;utm_campaign=industry-insight&amp;utm_content=li-260928</v>
      </c>
    </row>
    <row r="17" customFormat="false" ht="54" hidden="false" customHeight="true" outlineLevel="0" collapsed="false">
      <c r="A17" s="15" t="n">
        <v>46276</v>
      </c>
      <c r="B17" s="16" t="s">
        <v>13</v>
      </c>
      <c r="C17" s="17" t="s">
        <v>75</v>
      </c>
      <c r="D17" s="16" t="s">
        <v>45</v>
      </c>
      <c r="E17" s="16" t="s">
        <v>46</v>
      </c>
      <c r="F17" s="16" t="s">
        <v>76</v>
      </c>
      <c r="G17" s="19"/>
      <c r="H17" s="19"/>
      <c r="I17" s="18" t="n">
        <v>7</v>
      </c>
      <c r="J17" s="18" t="n">
        <v>0</v>
      </c>
      <c r="K17" s="19"/>
      <c r="L17" s="19"/>
      <c r="M17" s="19"/>
      <c r="N17" s="19"/>
      <c r="O17" s="20" t="s">
        <v>48</v>
      </c>
      <c r="P17" s="21" t="n">
        <f aca="false">IF(OR(A17="",B17=""),"",IF(COUNT(I17:M17)=0,"",SUM(I17:M17)))</f>
        <v>7</v>
      </c>
      <c r="Q17" s="22" t="n">
        <f aca="false">IF(OR(OR(A17="",B17=""),P17=""),"",IFERROR(P17/(IF(N(H17)&gt;0,H17,IF(N(G17)&gt;0,G17,IF(COUNTIFS($B$12:$B$211,B17,$G$12:$G$211,"&gt;0")+COUNTIFS($B$12:$B$211,B17,$H$12:$H$211,"&gt;0")&gt;0,"",INDEX($B$5:$B$7,MATCH(B17,$A$5:$A$7,0)))))),""))</f>
        <v>0.114754098360656</v>
      </c>
      <c r="R17" s="23" t="str">
        <f aca="false">IF(OR(A17="",B17=""),"",IF(OR(Q17="",COUNTIFS($B$12:$B$211,B17,$Q$12:$Q$211,"&gt;=0")&lt;2),"No Data Yet",IFERROR(IF(Q17/AVERAGEIFS($Q$12:$Q$211,$B$12:$B$211,B17)&gt;=1.2,"Good",IF(Q17/AVERAGEIFS($Q$12:$Q$211,$B$12:$B$211,B17)&gt;=0.8,"Average","Below Standard")),"Average")))</f>
        <v>Average</v>
      </c>
      <c r="S17" s="24" t="s">
        <v>77</v>
      </c>
      <c r="T17" s="24" t="s">
        <v>78</v>
      </c>
      <c r="U17" s="20" t="s">
        <v>51</v>
      </c>
      <c r="V17" s="23" t="str">
        <f aca="false">IF(OR(A17="",B17=""),"","https://www.alphanodus.com/contact?utm_source="&amp;IF(B17="X","twitter",LOWER(B17))&amp;"&amp;utm_medium=social&amp;utm_campaign="&amp;IF(D17="","general",LOWER(SUBSTITUTE(SUBSTITUTE(D17," / ","-")," ","-")))&amp;"&amp;utm_content="&amp;LOWER(LEFT(B17,2))&amp;"-"&amp;TEXT(A17,"yymmdd"))</f>
        <v>https://www.alphanodus.com/contact?utm_source=instagram&amp;utm_medium=social&amp;utm_campaign=product-demo&amp;utm_content=in-260911</v>
      </c>
    </row>
    <row r="18" customFormat="false" ht="54" hidden="false" customHeight="true" outlineLevel="0" collapsed="false">
      <c r="A18" s="15" t="n">
        <v>46279</v>
      </c>
      <c r="B18" s="16" t="s">
        <v>13</v>
      </c>
      <c r="C18" s="17" t="s">
        <v>79</v>
      </c>
      <c r="D18" s="16" t="s">
        <v>53</v>
      </c>
      <c r="E18" s="16" t="s">
        <v>54</v>
      </c>
      <c r="F18" s="16" t="s">
        <v>80</v>
      </c>
      <c r="G18" s="19"/>
      <c r="H18" s="19"/>
      <c r="I18" s="18" t="n">
        <v>8</v>
      </c>
      <c r="J18" s="18" t="n">
        <v>0</v>
      </c>
      <c r="K18" s="19"/>
      <c r="L18" s="19"/>
      <c r="M18" s="19"/>
      <c r="N18" s="19"/>
      <c r="O18" s="20" t="s">
        <v>48</v>
      </c>
      <c r="P18" s="21" t="n">
        <f aca="false">IF(OR(A18="",B18=""),"",IF(COUNT(I18:M18)=0,"",SUM(I18:M18)))</f>
        <v>8</v>
      </c>
      <c r="Q18" s="22" t="n">
        <f aca="false">IF(OR(OR(A18="",B18=""),P18=""),"",IFERROR(P18/(IF(N(H18)&gt;0,H18,IF(N(G18)&gt;0,G18,IF(COUNTIFS($B$12:$B$211,B18,$G$12:$G$211,"&gt;0")+COUNTIFS($B$12:$B$211,B18,$H$12:$H$211,"&gt;0")&gt;0,"",INDEX($B$5:$B$7,MATCH(B18,$A$5:$A$7,0)))))),""))</f>
        <v>0.131147540983607</v>
      </c>
      <c r="R18" s="23" t="str">
        <f aca="false">IF(OR(A18="",B18=""),"",IF(OR(Q18="",COUNTIFS($B$12:$B$211,B18,$Q$12:$Q$211,"&gt;=0")&lt;2),"No Data Yet",IFERROR(IF(Q18/AVERAGEIFS($Q$12:$Q$211,$B$12:$B$211,B18)&gt;=1.2,"Good",IF(Q18/AVERAGEIFS($Q$12:$Q$211,$B$12:$B$211,B18)&gt;=0.8,"Average","Below Standard")),"Average")))</f>
        <v>Good</v>
      </c>
      <c r="S18" s="24" t="s">
        <v>81</v>
      </c>
      <c r="T18" s="24" t="s">
        <v>82</v>
      </c>
      <c r="U18" s="20" t="s">
        <v>58</v>
      </c>
      <c r="V18" s="23" t="str">
        <f aca="false">IF(OR(A18="",B18=""),"","https://www.alphanodus.com/contact?utm_source="&amp;IF(B18="X","twitter",LOWER(B18))&amp;"&amp;utm_medium=social&amp;utm_campaign="&amp;IF(D18="","general",LOWER(SUBSTITUTE(SUBSTITUTE(D18," / ","-")," ","-")))&amp;"&amp;utm_content="&amp;LOWER(LEFT(B18,2))&amp;"-"&amp;TEXT(A18,"yymmdd"))</f>
        <v>https://www.alphanodus.com/contact?utm_source=instagram&amp;utm_medium=social&amp;utm_campaign=operations-tips&amp;utm_content=in-260914</v>
      </c>
    </row>
    <row r="19" customFormat="false" ht="54" hidden="false" customHeight="true" outlineLevel="0" collapsed="false">
      <c r="A19" s="15" t="n">
        <v>46283</v>
      </c>
      <c r="B19" s="16" t="s">
        <v>13</v>
      </c>
      <c r="C19" s="17" t="s">
        <v>83</v>
      </c>
      <c r="D19" s="16" t="s">
        <v>60</v>
      </c>
      <c r="E19" s="16" t="s">
        <v>61</v>
      </c>
      <c r="F19" s="16" t="s">
        <v>84</v>
      </c>
      <c r="G19" s="19"/>
      <c r="H19" s="19"/>
      <c r="I19" s="18" t="n">
        <v>7</v>
      </c>
      <c r="J19" s="18" t="n">
        <v>0</v>
      </c>
      <c r="K19" s="19"/>
      <c r="L19" s="19"/>
      <c r="M19" s="19"/>
      <c r="N19" s="19"/>
      <c r="O19" s="20" t="s">
        <v>48</v>
      </c>
      <c r="P19" s="21" t="n">
        <f aca="false">IF(OR(A19="",B19=""),"",IF(COUNT(I19:M19)=0,"",SUM(I19:M19)))</f>
        <v>7</v>
      </c>
      <c r="Q19" s="22" t="n">
        <f aca="false">IF(OR(OR(A19="",B19=""),P19=""),"",IFERROR(P19/(IF(N(H19)&gt;0,H19,IF(N(G19)&gt;0,G19,IF(COUNTIFS($B$12:$B$211,B19,$G$12:$G$211,"&gt;0")+COUNTIFS($B$12:$B$211,B19,$H$12:$H$211,"&gt;0")&gt;0,"",INDEX($B$5:$B$7,MATCH(B19,$A$5:$A$7,0)))))),""))</f>
        <v>0.114754098360656</v>
      </c>
      <c r="R19" s="23" t="str">
        <f aca="false">IF(OR(A19="",B19=""),"",IF(OR(Q19="",COUNTIFS($B$12:$B$211,B19,$Q$12:$Q$211,"&gt;=0")&lt;2),"No Data Yet",IFERROR(IF(Q19/AVERAGEIFS($Q$12:$Q$211,$B$12:$B$211,B19)&gt;=1.2,"Good",IF(Q19/AVERAGEIFS($Q$12:$Q$211,$B$12:$B$211,B19)&gt;=0.8,"Average","Below Standard")),"Average")))</f>
        <v>Average</v>
      </c>
      <c r="S19" s="24" t="s">
        <v>85</v>
      </c>
      <c r="T19" s="24" t="s">
        <v>86</v>
      </c>
      <c r="U19" s="20" t="s">
        <v>51</v>
      </c>
      <c r="V19" s="23" t="str">
        <f aca="false">IF(OR(A19="",B19=""),"","https://www.alphanodus.com/contact?utm_source="&amp;IF(B19="X","twitter",LOWER(B19))&amp;"&amp;utm_medium=social&amp;utm_campaign="&amp;IF(D19="","general",LOWER(SUBSTITUTE(SUBSTITUTE(D19," / ","-")," ","-")))&amp;"&amp;utm_content="&amp;LOWER(LEFT(B19,2))&amp;"-"&amp;TEXT(A19,"yymmdd"))</f>
        <v>https://www.alphanodus.com/contact?utm_source=instagram&amp;utm_medium=social&amp;utm_campaign=revenue-cycle&amp;utm_content=in-260918</v>
      </c>
    </row>
    <row r="20" customFormat="false" ht="54" hidden="false" customHeight="true" outlineLevel="0" collapsed="false">
      <c r="A20" s="15" t="n">
        <v>46288</v>
      </c>
      <c r="B20" s="16" t="s">
        <v>13</v>
      </c>
      <c r="C20" s="17" t="s">
        <v>87</v>
      </c>
      <c r="D20" s="16" t="s">
        <v>60</v>
      </c>
      <c r="E20" s="16" t="s">
        <v>61</v>
      </c>
      <c r="F20" s="16" t="s">
        <v>88</v>
      </c>
      <c r="G20" s="19"/>
      <c r="H20" s="19"/>
      <c r="I20" s="18" t="n">
        <v>2</v>
      </c>
      <c r="J20" s="18" t="n">
        <v>0</v>
      </c>
      <c r="K20" s="19"/>
      <c r="L20" s="19"/>
      <c r="M20" s="19"/>
      <c r="N20" s="19"/>
      <c r="O20" s="20" t="s">
        <v>48</v>
      </c>
      <c r="P20" s="21" t="n">
        <f aca="false">IF(OR(A20="",B20=""),"",IF(COUNT(I20:M20)=0,"",SUM(I20:M20)))</f>
        <v>2</v>
      </c>
      <c r="Q20" s="22" t="n">
        <f aca="false">IF(OR(OR(A20="",B20=""),P20=""),"",IFERROR(P20/(IF(N(H20)&gt;0,H20,IF(N(G20)&gt;0,G20,IF(COUNTIFS($B$12:$B$211,B20,$G$12:$G$211,"&gt;0")+COUNTIFS($B$12:$B$211,B20,$H$12:$H$211,"&gt;0")&gt;0,"",INDEX($B$5:$B$7,MATCH(B20,$A$5:$A$7,0)))))),""))</f>
        <v>0.0327868852459016</v>
      </c>
      <c r="R20" s="23" t="str">
        <f aca="false">IF(OR(A20="",B20=""),"",IF(OR(Q20="",COUNTIFS($B$12:$B$211,B20,$Q$12:$Q$211,"&gt;=0")&lt;2),"No Data Yet",IFERROR(IF(Q20/AVERAGEIFS($Q$12:$Q$211,$B$12:$B$211,B20)&gt;=1.2,"Good",IF(Q20/AVERAGEIFS($Q$12:$Q$211,$B$12:$B$211,B20)&gt;=0.8,"Average","Below Standard")),"Average")))</f>
        <v>Below Standard</v>
      </c>
      <c r="S20" s="24" t="s">
        <v>89</v>
      </c>
      <c r="T20" s="24" t="s">
        <v>90</v>
      </c>
      <c r="U20" s="20" t="s">
        <v>51</v>
      </c>
      <c r="V20" s="23" t="str">
        <f aca="false">IF(OR(A20="",B20=""),"","https://www.alphanodus.com/contact?utm_source="&amp;IF(B20="X","twitter",LOWER(B20))&amp;"&amp;utm_medium=social&amp;utm_campaign="&amp;IF(D20="","general",LOWER(SUBSTITUTE(SUBSTITUTE(D20," / ","-")," ","-")))&amp;"&amp;utm_content="&amp;LOWER(LEFT(B20,2))&amp;"-"&amp;TEXT(A20,"yymmdd"))</f>
        <v>https://www.alphanodus.com/contact?utm_source=instagram&amp;utm_medium=social&amp;utm_campaign=revenue-cycle&amp;utm_content=in-260923</v>
      </c>
    </row>
    <row r="21" customFormat="false" ht="54" hidden="false" customHeight="true" outlineLevel="0" collapsed="false">
      <c r="A21" s="15" t="n">
        <v>46276</v>
      </c>
      <c r="B21" s="16" t="s">
        <v>16</v>
      </c>
      <c r="C21" s="17" t="s">
        <v>91</v>
      </c>
      <c r="D21" s="16" t="s">
        <v>45</v>
      </c>
      <c r="E21" s="16" t="s">
        <v>46</v>
      </c>
      <c r="F21" s="16" t="s">
        <v>92</v>
      </c>
      <c r="G21" s="18" t="n">
        <v>27</v>
      </c>
      <c r="H21" s="19"/>
      <c r="I21" s="18" t="n">
        <v>0</v>
      </c>
      <c r="J21" s="18" t="n">
        <v>0</v>
      </c>
      <c r="K21" s="18" t="n">
        <v>0</v>
      </c>
      <c r="L21" s="19"/>
      <c r="M21" s="19"/>
      <c r="N21" s="19"/>
      <c r="O21" s="20" t="s">
        <v>48</v>
      </c>
      <c r="P21" s="21" t="n">
        <f aca="false">IF(OR(A21="",B21=""),"",IF(COUNT(I21:M21)=0,"",SUM(I21:M21)))</f>
        <v>0</v>
      </c>
      <c r="Q21" s="22" t="n">
        <f aca="false">IF(OR(OR(A21="",B21=""),P21=""),"",IFERROR(P21/(IF(N(H21)&gt;0,H21,IF(N(G21)&gt;0,G21,IF(COUNTIFS($B$12:$B$211,B21,$G$12:$G$211,"&gt;0")+COUNTIFS($B$12:$B$211,B21,$H$12:$H$211,"&gt;0")&gt;0,"",INDEX($B$5:$B$7,MATCH(B21,$A$5:$A$7,0)))))),""))</f>
        <v>0</v>
      </c>
      <c r="R21" s="23" t="str">
        <f aca="false">IF(OR(A21="",B21=""),"",IF(OR(Q21="",COUNTIFS($B$12:$B$211,B21,$Q$12:$Q$211,"&gt;=0")&lt;2),"No Data Yet",IFERROR(IF(Q21/AVERAGEIFS($Q$12:$Q$211,$B$12:$B$211,B21)&gt;=1.2,"Good",IF(Q21/AVERAGEIFS($Q$12:$Q$211,$B$12:$B$211,B21)&gt;=0.8,"Average","Below Standard")),"Average")))</f>
        <v>Below Standard</v>
      </c>
      <c r="S21" s="24" t="s">
        <v>93</v>
      </c>
      <c r="T21" s="24" t="s">
        <v>94</v>
      </c>
      <c r="U21" s="20" t="s">
        <v>51</v>
      </c>
      <c r="V21" s="23" t="str">
        <f aca="false">IF(OR(A21="",B21=""),"","https://www.alphanodus.com/contact?utm_source="&amp;IF(B21="X","twitter",LOWER(B21))&amp;"&amp;utm_medium=social&amp;utm_campaign="&amp;IF(D21="","general",LOWER(SUBSTITUTE(SUBSTITUTE(D21," / ","-")," ","-")))&amp;"&amp;utm_content="&amp;LOWER(LEFT(B21,2))&amp;"-"&amp;TEXT(A21,"yymmdd"))</f>
        <v>https://www.alphanodus.com/contact?utm_source=twitter&amp;utm_medium=social&amp;utm_campaign=product-demo&amp;utm_content=x-260911</v>
      </c>
    </row>
    <row r="22" customFormat="false" ht="54" hidden="false" customHeight="true" outlineLevel="0" collapsed="false">
      <c r="A22" s="15" t="n">
        <v>46279</v>
      </c>
      <c r="B22" s="16" t="s">
        <v>16</v>
      </c>
      <c r="C22" s="17" t="s">
        <v>95</v>
      </c>
      <c r="D22" s="16" t="s">
        <v>53</v>
      </c>
      <c r="E22" s="16" t="s">
        <v>54</v>
      </c>
      <c r="F22" s="16" t="s">
        <v>96</v>
      </c>
      <c r="G22" s="18" t="n">
        <v>16</v>
      </c>
      <c r="H22" s="19"/>
      <c r="I22" s="18" t="n">
        <v>0</v>
      </c>
      <c r="J22" s="18" t="n">
        <v>0</v>
      </c>
      <c r="K22" s="18" t="n">
        <v>0</v>
      </c>
      <c r="L22" s="19"/>
      <c r="M22" s="19"/>
      <c r="N22" s="19"/>
      <c r="O22" s="20" t="s">
        <v>48</v>
      </c>
      <c r="P22" s="21" t="n">
        <f aca="false">IF(OR(A22="",B22=""),"",IF(COUNT(I22:M22)=0,"",SUM(I22:M22)))</f>
        <v>0</v>
      </c>
      <c r="Q22" s="22" t="n">
        <f aca="false">IF(OR(OR(A22="",B22=""),P22=""),"",IFERROR(P22/(IF(N(H22)&gt;0,H22,IF(N(G22)&gt;0,G22,IF(COUNTIFS($B$12:$B$211,B22,$G$12:$G$211,"&gt;0")+COUNTIFS($B$12:$B$211,B22,$H$12:$H$211,"&gt;0")&gt;0,"",INDEX($B$5:$B$7,MATCH(B22,$A$5:$A$7,0)))))),""))</f>
        <v>0</v>
      </c>
      <c r="R22" s="23" t="str">
        <f aca="false">IF(OR(A22="",B22=""),"",IF(OR(Q22="",COUNTIFS($B$12:$B$211,B22,$Q$12:$Q$211,"&gt;=0")&lt;2),"No Data Yet",IFERROR(IF(Q22/AVERAGEIFS($Q$12:$Q$211,$B$12:$B$211,B22)&gt;=1.2,"Good",IF(Q22/AVERAGEIFS($Q$12:$Q$211,$B$12:$B$211,B22)&gt;=0.8,"Average","Below Standard")),"Average")))</f>
        <v>Below Standard</v>
      </c>
      <c r="S22" s="24" t="s">
        <v>97</v>
      </c>
      <c r="T22" s="24" t="s">
        <v>98</v>
      </c>
      <c r="U22" s="20" t="s">
        <v>51</v>
      </c>
      <c r="V22" s="23" t="str">
        <f aca="false">IF(OR(A22="",B22=""),"","https://www.alphanodus.com/contact?utm_source="&amp;IF(B22="X","twitter",LOWER(B22))&amp;"&amp;utm_medium=social&amp;utm_campaign="&amp;IF(D22="","general",LOWER(SUBSTITUTE(SUBSTITUTE(D22," / ","-")," ","-")))&amp;"&amp;utm_content="&amp;LOWER(LEFT(B22,2))&amp;"-"&amp;TEXT(A22,"yymmdd"))</f>
        <v>https://www.alphanodus.com/contact?utm_source=twitter&amp;utm_medium=social&amp;utm_campaign=operations-tips&amp;utm_content=x-260914</v>
      </c>
    </row>
    <row r="23" customFormat="false" ht="54" hidden="false" customHeight="true" outlineLevel="0" collapsed="false">
      <c r="A23" s="15" t="n">
        <v>46283</v>
      </c>
      <c r="B23" s="16" t="s">
        <v>16</v>
      </c>
      <c r="C23" s="17" t="s">
        <v>99</v>
      </c>
      <c r="D23" s="16" t="s">
        <v>60</v>
      </c>
      <c r="E23" s="16" t="s">
        <v>61</v>
      </c>
      <c r="F23" s="16" t="s">
        <v>100</v>
      </c>
      <c r="G23" s="18" t="n">
        <v>26</v>
      </c>
      <c r="H23" s="19"/>
      <c r="I23" s="18" t="n">
        <v>0</v>
      </c>
      <c r="J23" s="18" t="n">
        <v>1</v>
      </c>
      <c r="K23" s="18" t="n">
        <v>0</v>
      </c>
      <c r="L23" s="19"/>
      <c r="M23" s="19"/>
      <c r="N23" s="19"/>
      <c r="O23" s="20" t="s">
        <v>48</v>
      </c>
      <c r="P23" s="21" t="n">
        <f aca="false">IF(OR(A23="",B23=""),"",IF(COUNT(I23:M23)=0,"",SUM(I23:M23)))</f>
        <v>1</v>
      </c>
      <c r="Q23" s="22" t="n">
        <f aca="false">IF(OR(OR(A23="",B23=""),P23=""),"",IFERROR(P23/(IF(N(H23)&gt;0,H23,IF(N(G23)&gt;0,G23,IF(COUNTIFS($B$12:$B$211,B23,$G$12:$G$211,"&gt;0")+COUNTIFS($B$12:$B$211,B23,$H$12:$H$211,"&gt;0")&gt;0,"",INDEX($B$5:$B$7,MATCH(B23,$A$5:$A$7,0)))))),""))</f>
        <v>0.0384615384615385</v>
      </c>
      <c r="R23" s="23" t="str">
        <f aca="false">IF(OR(A23="",B23=""),"",IF(OR(Q23="",COUNTIFS($B$12:$B$211,B23,$Q$12:$Q$211,"&gt;=0")&lt;2),"No Data Yet",IFERROR(IF(Q23/AVERAGEIFS($Q$12:$Q$211,$B$12:$B$211,B23)&gt;=1.2,"Good",IF(Q23/AVERAGEIFS($Q$12:$Q$211,$B$12:$B$211,B23)&gt;=0.8,"Average","Below Standard")),"Average")))</f>
        <v>Good</v>
      </c>
      <c r="S23" s="24" t="s">
        <v>101</v>
      </c>
      <c r="T23" s="24" t="s">
        <v>102</v>
      </c>
      <c r="U23" s="20" t="s">
        <v>58</v>
      </c>
      <c r="V23" s="23" t="str">
        <f aca="false">IF(OR(A23="",B23=""),"","https://www.alphanodus.com/contact?utm_source="&amp;IF(B23="X","twitter",LOWER(B23))&amp;"&amp;utm_medium=social&amp;utm_campaign="&amp;IF(D23="","general",LOWER(SUBSTITUTE(SUBSTITUTE(D23," / ","-")," ","-")))&amp;"&amp;utm_content="&amp;LOWER(LEFT(B23,2))&amp;"-"&amp;TEXT(A23,"yymmdd"))</f>
        <v>https://www.alphanodus.com/contact?utm_source=twitter&amp;utm_medium=social&amp;utm_campaign=revenue-cycle&amp;utm_content=x-260918</v>
      </c>
    </row>
    <row r="24" customFormat="false" ht="54" hidden="false" customHeight="true" outlineLevel="0" collapsed="false">
      <c r="A24" s="15" t="n">
        <v>46288</v>
      </c>
      <c r="B24" s="16" t="s">
        <v>16</v>
      </c>
      <c r="C24" s="17" t="s">
        <v>103</v>
      </c>
      <c r="D24" s="16" t="s">
        <v>60</v>
      </c>
      <c r="E24" s="16" t="s">
        <v>61</v>
      </c>
      <c r="F24" s="16" t="s">
        <v>104</v>
      </c>
      <c r="G24" s="18" t="n">
        <v>13</v>
      </c>
      <c r="H24" s="19"/>
      <c r="I24" s="18" t="n">
        <v>0</v>
      </c>
      <c r="J24" s="18" t="n">
        <v>1</v>
      </c>
      <c r="K24" s="18" t="n">
        <v>0</v>
      </c>
      <c r="L24" s="19"/>
      <c r="M24" s="19"/>
      <c r="N24" s="19"/>
      <c r="O24" s="20" t="s">
        <v>48</v>
      </c>
      <c r="P24" s="21" t="n">
        <f aca="false">IF(OR(A24="",B24=""),"",IF(COUNT(I24:M24)=0,"",SUM(I24:M24)))</f>
        <v>1</v>
      </c>
      <c r="Q24" s="22" t="n">
        <f aca="false">IF(OR(OR(A24="",B24=""),P24=""),"",IFERROR(P24/(IF(N(H24)&gt;0,H24,IF(N(G24)&gt;0,G24,IF(COUNTIFS($B$12:$B$211,B24,$G$12:$G$211,"&gt;0")+COUNTIFS($B$12:$B$211,B24,$H$12:$H$211,"&gt;0")&gt;0,"",INDEX($B$5:$B$7,MATCH(B24,$A$5:$A$7,0)))))),""))</f>
        <v>0.0769230769230769</v>
      </c>
      <c r="R24" s="23" t="str">
        <f aca="false">IF(OR(A24="",B24=""),"",IF(OR(Q24="",COUNTIFS($B$12:$B$211,B24,$Q$12:$Q$211,"&gt;=0")&lt;2),"No Data Yet",IFERROR(IF(Q24/AVERAGEIFS($Q$12:$Q$211,$B$12:$B$211,B24)&gt;=1.2,"Good",IF(Q24/AVERAGEIFS($Q$12:$Q$211,$B$12:$B$211,B24)&gt;=0.8,"Average","Below Standard")),"Average")))</f>
        <v>Good</v>
      </c>
      <c r="S24" s="24" t="s">
        <v>105</v>
      </c>
      <c r="T24" s="24" t="s">
        <v>106</v>
      </c>
      <c r="U24" s="20" t="s">
        <v>51</v>
      </c>
      <c r="V24" s="23" t="str">
        <f aca="false">IF(OR(A24="",B24=""),"","https://www.alphanodus.com/contact?utm_source="&amp;IF(B24="X","twitter",LOWER(B24))&amp;"&amp;utm_medium=social&amp;utm_campaign="&amp;IF(D24="","general",LOWER(SUBSTITUTE(SUBSTITUTE(D24," / ","-")," ","-")))&amp;"&amp;utm_content="&amp;LOWER(LEFT(B24,2))&amp;"-"&amp;TEXT(A24,"yymmdd"))</f>
        <v>https://www.alphanodus.com/contact?utm_source=twitter&amp;utm_medium=social&amp;utm_campaign=revenue-cycle&amp;utm_content=x-260923</v>
      </c>
    </row>
    <row r="25" customFormat="false" ht="15" hidden="false" customHeight="false" outlineLevel="0" collapsed="false">
      <c r="A25" s="25"/>
      <c r="B25" s="20"/>
      <c r="C25" s="24"/>
      <c r="D25" s="20"/>
      <c r="E25" s="20"/>
      <c r="F25" s="20"/>
      <c r="G25" s="19"/>
      <c r="H25" s="19"/>
      <c r="I25" s="19"/>
      <c r="J25" s="19"/>
      <c r="K25" s="19"/>
      <c r="L25" s="19"/>
      <c r="M25" s="19"/>
      <c r="N25" s="19"/>
      <c r="O25" s="20"/>
      <c r="P25" s="21" t="str">
        <f aca="false">IF(OR(A25="",B25=""),"",IF(COUNT(I25:M25)=0,"",SUM(I25:M25)))</f>
        <v/>
      </c>
      <c r="Q25" s="22" t="str">
        <f aca="false">IF(OR(OR(A25="",B25=""),P25=""),"",IFERROR(P25/(IF(N(H25)&gt;0,H25,IF(N(G25)&gt;0,G25,IF(COUNTIFS($B$12:$B$211,B25,$G$12:$G$211,"&gt;0")+COUNTIFS($B$12:$B$211,B25,$H$12:$H$211,"&gt;0")&gt;0,"",INDEX($B$5:$B$7,MATCH(B25,$A$5:$A$7,0)))))),""))</f>
        <v/>
      </c>
      <c r="R25" s="23" t="str">
        <f aca="false">IF(OR(A25="",B25=""),"",IF(OR(Q25="",COUNTIFS($B$12:$B$211,B25,$Q$12:$Q$211,"&gt;=0")&lt;2),"No Data Yet",IFERROR(IF(Q25/AVERAGEIFS($Q$12:$Q$211,$B$12:$B$211,B25)&gt;=1.2,"Good",IF(Q25/AVERAGEIFS($Q$12:$Q$211,$B$12:$B$211,B25)&gt;=0.8,"Average","Below Standard")),"Average")))</f>
        <v/>
      </c>
      <c r="S25" s="24"/>
      <c r="T25" s="24"/>
      <c r="U25" s="20"/>
      <c r="V25" s="23" t="str">
        <f aca="false">IF(OR(A25="",B25=""),"","https://www.alphanodus.com/contact?utm_source="&amp;IF(B25="X","twitter",LOWER(B25))&amp;"&amp;utm_medium=social&amp;utm_campaign="&amp;IF(D25="","general",LOWER(SUBSTITUTE(SUBSTITUTE(D25," / ","-")," ","-")))&amp;"&amp;utm_content="&amp;LOWER(LEFT(B25,2))&amp;"-"&amp;TEXT(A25,"yymmdd"))</f>
        <v/>
      </c>
    </row>
    <row r="26" customFormat="false" ht="15" hidden="false" customHeight="false" outlineLevel="0" collapsed="false">
      <c r="A26" s="25"/>
      <c r="B26" s="20"/>
      <c r="C26" s="24"/>
      <c r="D26" s="20"/>
      <c r="E26" s="20"/>
      <c r="F26" s="20"/>
      <c r="G26" s="19"/>
      <c r="H26" s="19"/>
      <c r="I26" s="19"/>
      <c r="J26" s="19"/>
      <c r="K26" s="19"/>
      <c r="L26" s="19"/>
      <c r="M26" s="19"/>
      <c r="N26" s="19"/>
      <c r="O26" s="20"/>
      <c r="P26" s="21" t="str">
        <f aca="false">IF(OR(A26="",B26=""),"",IF(COUNT(I26:M26)=0,"",SUM(I26:M26)))</f>
        <v/>
      </c>
      <c r="Q26" s="22" t="str">
        <f aca="false">IF(OR(OR(A26="",B26=""),P26=""),"",IFERROR(P26/(IF(N(H26)&gt;0,H26,IF(N(G26)&gt;0,G26,IF(COUNTIFS($B$12:$B$211,B26,$G$12:$G$211,"&gt;0")+COUNTIFS($B$12:$B$211,B26,$H$12:$H$211,"&gt;0")&gt;0,"",INDEX($B$5:$B$7,MATCH(B26,$A$5:$A$7,0)))))),""))</f>
        <v/>
      </c>
      <c r="R26" s="23" t="str">
        <f aca="false">IF(OR(A26="",B26=""),"",IF(OR(Q26="",COUNTIFS($B$12:$B$211,B26,$Q$12:$Q$211,"&gt;=0")&lt;2),"No Data Yet",IFERROR(IF(Q26/AVERAGEIFS($Q$12:$Q$211,$B$12:$B$211,B26)&gt;=1.2,"Good",IF(Q26/AVERAGEIFS($Q$12:$Q$211,$B$12:$B$211,B26)&gt;=0.8,"Average","Below Standard")),"Average")))</f>
        <v/>
      </c>
      <c r="S26" s="24"/>
      <c r="T26" s="24"/>
      <c r="U26" s="20"/>
      <c r="V26" s="23" t="str">
        <f aca="false">IF(OR(A26="",B26=""),"","https://www.alphanodus.com/contact?utm_source="&amp;IF(B26="X","twitter",LOWER(B26))&amp;"&amp;utm_medium=social&amp;utm_campaign="&amp;IF(D26="","general",LOWER(SUBSTITUTE(SUBSTITUTE(D26," / ","-")," ","-")))&amp;"&amp;utm_content="&amp;LOWER(LEFT(B26,2))&amp;"-"&amp;TEXT(A26,"yymmdd"))</f>
        <v/>
      </c>
    </row>
    <row r="27" customFormat="false" ht="15" hidden="false" customHeight="false" outlineLevel="0" collapsed="false">
      <c r="A27" s="25"/>
      <c r="B27" s="20"/>
      <c r="C27" s="24"/>
      <c r="D27" s="20"/>
      <c r="E27" s="20"/>
      <c r="F27" s="20"/>
      <c r="G27" s="19"/>
      <c r="H27" s="19"/>
      <c r="I27" s="19"/>
      <c r="J27" s="19"/>
      <c r="K27" s="19"/>
      <c r="L27" s="19"/>
      <c r="M27" s="19"/>
      <c r="N27" s="19"/>
      <c r="O27" s="20"/>
      <c r="P27" s="21" t="str">
        <f aca="false">IF(OR(A27="",B27=""),"",IF(COUNT(I27:M27)=0,"",SUM(I27:M27)))</f>
        <v/>
      </c>
      <c r="Q27" s="22" t="str">
        <f aca="false">IF(OR(OR(A27="",B27=""),P27=""),"",IFERROR(P27/(IF(N(H27)&gt;0,H27,IF(N(G27)&gt;0,G27,IF(COUNTIFS($B$12:$B$211,B27,$G$12:$G$211,"&gt;0")+COUNTIFS($B$12:$B$211,B27,$H$12:$H$211,"&gt;0")&gt;0,"",INDEX($B$5:$B$7,MATCH(B27,$A$5:$A$7,0)))))),""))</f>
        <v/>
      </c>
      <c r="R27" s="23" t="str">
        <f aca="false">IF(OR(A27="",B27=""),"",IF(OR(Q27="",COUNTIFS($B$12:$B$211,B27,$Q$12:$Q$211,"&gt;=0")&lt;2),"No Data Yet",IFERROR(IF(Q27/AVERAGEIFS($Q$12:$Q$211,$B$12:$B$211,B27)&gt;=1.2,"Good",IF(Q27/AVERAGEIFS($Q$12:$Q$211,$B$12:$B$211,B27)&gt;=0.8,"Average","Below Standard")),"Average")))</f>
        <v/>
      </c>
      <c r="S27" s="24"/>
      <c r="T27" s="24"/>
      <c r="U27" s="20"/>
      <c r="V27" s="23" t="str">
        <f aca="false">IF(OR(A27="",B27=""),"","https://www.alphanodus.com/contact?utm_source="&amp;IF(B27="X","twitter",LOWER(B27))&amp;"&amp;utm_medium=social&amp;utm_campaign="&amp;IF(D27="","general",LOWER(SUBSTITUTE(SUBSTITUTE(D27," / ","-")," ","-")))&amp;"&amp;utm_content="&amp;LOWER(LEFT(B27,2))&amp;"-"&amp;TEXT(A27,"yymmdd"))</f>
        <v/>
      </c>
    </row>
    <row r="28" customFormat="false" ht="15" hidden="false" customHeight="false" outlineLevel="0" collapsed="false">
      <c r="A28" s="25"/>
      <c r="B28" s="20"/>
      <c r="C28" s="24"/>
      <c r="D28" s="20"/>
      <c r="E28" s="20"/>
      <c r="F28" s="20"/>
      <c r="G28" s="19"/>
      <c r="H28" s="19"/>
      <c r="I28" s="19"/>
      <c r="J28" s="19"/>
      <c r="K28" s="19"/>
      <c r="L28" s="19"/>
      <c r="M28" s="19"/>
      <c r="N28" s="19"/>
      <c r="O28" s="20"/>
      <c r="P28" s="21" t="str">
        <f aca="false">IF(OR(A28="",B28=""),"",IF(COUNT(I28:M28)=0,"",SUM(I28:M28)))</f>
        <v/>
      </c>
      <c r="Q28" s="22" t="str">
        <f aca="false">IF(OR(OR(A28="",B28=""),P28=""),"",IFERROR(P28/(IF(N(H28)&gt;0,H28,IF(N(G28)&gt;0,G28,IF(COUNTIFS($B$12:$B$211,B28,$G$12:$G$211,"&gt;0")+COUNTIFS($B$12:$B$211,B28,$H$12:$H$211,"&gt;0")&gt;0,"",INDEX($B$5:$B$7,MATCH(B28,$A$5:$A$7,0)))))),""))</f>
        <v/>
      </c>
      <c r="R28" s="23" t="str">
        <f aca="false">IF(OR(A28="",B28=""),"",IF(OR(Q28="",COUNTIFS($B$12:$B$211,B28,$Q$12:$Q$211,"&gt;=0")&lt;2),"No Data Yet",IFERROR(IF(Q28/AVERAGEIFS($Q$12:$Q$211,$B$12:$B$211,B28)&gt;=1.2,"Good",IF(Q28/AVERAGEIFS($Q$12:$Q$211,$B$12:$B$211,B28)&gt;=0.8,"Average","Below Standard")),"Average")))</f>
        <v/>
      </c>
      <c r="S28" s="24"/>
      <c r="T28" s="24"/>
      <c r="U28" s="20"/>
      <c r="V28" s="23" t="str">
        <f aca="false">IF(OR(A28="",B28=""),"","https://www.alphanodus.com/contact?utm_source="&amp;IF(B28="X","twitter",LOWER(B28))&amp;"&amp;utm_medium=social&amp;utm_campaign="&amp;IF(D28="","general",LOWER(SUBSTITUTE(SUBSTITUTE(D28," / ","-")," ","-")))&amp;"&amp;utm_content="&amp;LOWER(LEFT(B28,2))&amp;"-"&amp;TEXT(A28,"yymmdd"))</f>
        <v/>
      </c>
    </row>
    <row r="29" customFormat="false" ht="15" hidden="false" customHeight="false" outlineLevel="0" collapsed="false">
      <c r="A29" s="25"/>
      <c r="B29" s="20"/>
      <c r="C29" s="24"/>
      <c r="D29" s="20"/>
      <c r="E29" s="20"/>
      <c r="F29" s="20"/>
      <c r="G29" s="19"/>
      <c r="H29" s="19"/>
      <c r="I29" s="19"/>
      <c r="J29" s="19"/>
      <c r="K29" s="19"/>
      <c r="L29" s="19"/>
      <c r="M29" s="19"/>
      <c r="N29" s="19"/>
      <c r="O29" s="20"/>
      <c r="P29" s="21" t="str">
        <f aca="false">IF(OR(A29="",B29=""),"",IF(COUNT(I29:M29)=0,"",SUM(I29:M29)))</f>
        <v/>
      </c>
      <c r="Q29" s="22" t="str">
        <f aca="false">IF(OR(OR(A29="",B29=""),P29=""),"",IFERROR(P29/(IF(N(H29)&gt;0,H29,IF(N(G29)&gt;0,G29,IF(COUNTIFS($B$12:$B$211,B29,$G$12:$G$211,"&gt;0")+COUNTIFS($B$12:$B$211,B29,$H$12:$H$211,"&gt;0")&gt;0,"",INDEX($B$5:$B$7,MATCH(B29,$A$5:$A$7,0)))))),""))</f>
        <v/>
      </c>
      <c r="R29" s="23" t="str">
        <f aca="false">IF(OR(A29="",B29=""),"",IF(OR(Q29="",COUNTIFS($B$12:$B$211,B29,$Q$12:$Q$211,"&gt;=0")&lt;2),"No Data Yet",IFERROR(IF(Q29/AVERAGEIFS($Q$12:$Q$211,$B$12:$B$211,B29)&gt;=1.2,"Good",IF(Q29/AVERAGEIFS($Q$12:$Q$211,$B$12:$B$211,B29)&gt;=0.8,"Average","Below Standard")),"Average")))</f>
        <v/>
      </c>
      <c r="S29" s="24"/>
      <c r="T29" s="24"/>
      <c r="U29" s="20"/>
      <c r="V29" s="23" t="str">
        <f aca="false">IF(OR(A29="",B29=""),"","https://www.alphanodus.com/contact?utm_source="&amp;IF(B29="X","twitter",LOWER(B29))&amp;"&amp;utm_medium=social&amp;utm_campaign="&amp;IF(D29="","general",LOWER(SUBSTITUTE(SUBSTITUTE(D29," / ","-")," ","-")))&amp;"&amp;utm_content="&amp;LOWER(LEFT(B29,2))&amp;"-"&amp;TEXT(A29,"yymmdd"))</f>
        <v/>
      </c>
    </row>
    <row r="30" customFormat="false" ht="15" hidden="false" customHeight="false" outlineLevel="0" collapsed="false">
      <c r="A30" s="25"/>
      <c r="B30" s="20"/>
      <c r="C30" s="24"/>
      <c r="D30" s="20"/>
      <c r="E30" s="20"/>
      <c r="F30" s="20"/>
      <c r="G30" s="19"/>
      <c r="H30" s="19"/>
      <c r="I30" s="19"/>
      <c r="J30" s="19"/>
      <c r="K30" s="19"/>
      <c r="L30" s="19"/>
      <c r="M30" s="19"/>
      <c r="N30" s="19"/>
      <c r="O30" s="20"/>
      <c r="P30" s="21" t="str">
        <f aca="false">IF(OR(A30="",B30=""),"",IF(COUNT(I30:M30)=0,"",SUM(I30:M30)))</f>
        <v/>
      </c>
      <c r="Q30" s="22" t="str">
        <f aca="false">IF(OR(OR(A30="",B30=""),P30=""),"",IFERROR(P30/(IF(N(H30)&gt;0,H30,IF(N(G30)&gt;0,G30,IF(COUNTIFS($B$12:$B$211,B30,$G$12:$G$211,"&gt;0")+COUNTIFS($B$12:$B$211,B30,$H$12:$H$211,"&gt;0")&gt;0,"",INDEX($B$5:$B$7,MATCH(B30,$A$5:$A$7,0)))))),""))</f>
        <v/>
      </c>
      <c r="R30" s="23" t="str">
        <f aca="false">IF(OR(A30="",B30=""),"",IF(OR(Q30="",COUNTIFS($B$12:$B$211,B30,$Q$12:$Q$211,"&gt;=0")&lt;2),"No Data Yet",IFERROR(IF(Q30/AVERAGEIFS($Q$12:$Q$211,$B$12:$B$211,B30)&gt;=1.2,"Good",IF(Q30/AVERAGEIFS($Q$12:$Q$211,$B$12:$B$211,B30)&gt;=0.8,"Average","Below Standard")),"Average")))</f>
        <v/>
      </c>
      <c r="S30" s="24"/>
      <c r="T30" s="24"/>
      <c r="U30" s="20"/>
      <c r="V30" s="23" t="str">
        <f aca="false">IF(OR(A30="",B30=""),"","https://www.alphanodus.com/contact?utm_source="&amp;IF(B30="X","twitter",LOWER(B30))&amp;"&amp;utm_medium=social&amp;utm_campaign="&amp;IF(D30="","general",LOWER(SUBSTITUTE(SUBSTITUTE(D30," / ","-")," ","-")))&amp;"&amp;utm_content="&amp;LOWER(LEFT(B30,2))&amp;"-"&amp;TEXT(A30,"yymmdd"))</f>
        <v/>
      </c>
    </row>
    <row r="31" customFormat="false" ht="15" hidden="false" customHeight="false" outlineLevel="0" collapsed="false">
      <c r="A31" s="25"/>
      <c r="B31" s="20"/>
      <c r="C31" s="24"/>
      <c r="D31" s="20"/>
      <c r="E31" s="20"/>
      <c r="F31" s="20"/>
      <c r="G31" s="19"/>
      <c r="H31" s="19"/>
      <c r="I31" s="19"/>
      <c r="J31" s="19"/>
      <c r="K31" s="19"/>
      <c r="L31" s="19"/>
      <c r="M31" s="19"/>
      <c r="N31" s="19"/>
      <c r="O31" s="20"/>
      <c r="P31" s="21" t="str">
        <f aca="false">IF(OR(A31="",B31=""),"",IF(COUNT(I31:M31)=0,"",SUM(I31:M31)))</f>
        <v/>
      </c>
      <c r="Q31" s="22" t="str">
        <f aca="false">IF(OR(OR(A31="",B31=""),P31=""),"",IFERROR(P31/(IF(N(H31)&gt;0,H31,IF(N(G31)&gt;0,G31,IF(COUNTIFS($B$12:$B$211,B31,$G$12:$G$211,"&gt;0")+COUNTIFS($B$12:$B$211,B31,$H$12:$H$211,"&gt;0")&gt;0,"",INDEX($B$5:$B$7,MATCH(B31,$A$5:$A$7,0)))))),""))</f>
        <v/>
      </c>
      <c r="R31" s="23" t="str">
        <f aca="false">IF(OR(A31="",B31=""),"",IF(OR(Q31="",COUNTIFS($B$12:$B$211,B31,$Q$12:$Q$211,"&gt;=0")&lt;2),"No Data Yet",IFERROR(IF(Q31/AVERAGEIFS($Q$12:$Q$211,$B$12:$B$211,B31)&gt;=1.2,"Good",IF(Q31/AVERAGEIFS($Q$12:$Q$211,$B$12:$B$211,B31)&gt;=0.8,"Average","Below Standard")),"Average")))</f>
        <v/>
      </c>
      <c r="S31" s="24"/>
      <c r="T31" s="24"/>
      <c r="U31" s="20"/>
      <c r="V31" s="23" t="str">
        <f aca="false">IF(OR(A31="",B31=""),"","https://www.alphanodus.com/contact?utm_source="&amp;IF(B31="X","twitter",LOWER(B31))&amp;"&amp;utm_medium=social&amp;utm_campaign="&amp;IF(D31="","general",LOWER(SUBSTITUTE(SUBSTITUTE(D31," / ","-")," ","-")))&amp;"&amp;utm_content="&amp;LOWER(LEFT(B31,2))&amp;"-"&amp;TEXT(A31,"yymmdd"))</f>
        <v/>
      </c>
    </row>
    <row r="32" customFormat="false" ht="15" hidden="false" customHeight="false" outlineLevel="0" collapsed="false">
      <c r="A32" s="25"/>
      <c r="B32" s="20"/>
      <c r="C32" s="24"/>
      <c r="D32" s="20"/>
      <c r="E32" s="20"/>
      <c r="F32" s="20"/>
      <c r="G32" s="19"/>
      <c r="H32" s="19"/>
      <c r="I32" s="19"/>
      <c r="J32" s="19"/>
      <c r="K32" s="19"/>
      <c r="L32" s="19"/>
      <c r="M32" s="19"/>
      <c r="N32" s="19"/>
      <c r="O32" s="20"/>
      <c r="P32" s="21" t="str">
        <f aca="false">IF(OR(A32="",B32=""),"",IF(COUNT(I32:M32)=0,"",SUM(I32:M32)))</f>
        <v/>
      </c>
      <c r="Q32" s="22" t="str">
        <f aca="false">IF(OR(OR(A32="",B32=""),P32=""),"",IFERROR(P32/(IF(N(H32)&gt;0,H32,IF(N(G32)&gt;0,G32,IF(COUNTIFS($B$12:$B$211,B32,$G$12:$G$211,"&gt;0")+COUNTIFS($B$12:$B$211,B32,$H$12:$H$211,"&gt;0")&gt;0,"",INDEX($B$5:$B$7,MATCH(B32,$A$5:$A$7,0)))))),""))</f>
        <v/>
      </c>
      <c r="R32" s="23" t="str">
        <f aca="false">IF(OR(A32="",B32=""),"",IF(OR(Q32="",COUNTIFS($B$12:$B$211,B32,$Q$12:$Q$211,"&gt;=0")&lt;2),"No Data Yet",IFERROR(IF(Q32/AVERAGEIFS($Q$12:$Q$211,$B$12:$B$211,B32)&gt;=1.2,"Good",IF(Q32/AVERAGEIFS($Q$12:$Q$211,$B$12:$B$211,B32)&gt;=0.8,"Average","Below Standard")),"Average")))</f>
        <v/>
      </c>
      <c r="S32" s="24"/>
      <c r="T32" s="24"/>
      <c r="U32" s="20"/>
      <c r="V32" s="23" t="str">
        <f aca="false">IF(OR(A32="",B32=""),"","https://www.alphanodus.com/contact?utm_source="&amp;IF(B32="X","twitter",LOWER(B32))&amp;"&amp;utm_medium=social&amp;utm_campaign="&amp;IF(D32="","general",LOWER(SUBSTITUTE(SUBSTITUTE(D32," / ","-")," ","-")))&amp;"&amp;utm_content="&amp;LOWER(LEFT(B32,2))&amp;"-"&amp;TEXT(A32,"yymmdd"))</f>
        <v/>
      </c>
    </row>
    <row r="33" customFormat="false" ht="15" hidden="false" customHeight="false" outlineLevel="0" collapsed="false">
      <c r="A33" s="25"/>
      <c r="B33" s="20"/>
      <c r="C33" s="24"/>
      <c r="D33" s="20"/>
      <c r="E33" s="20"/>
      <c r="F33" s="20"/>
      <c r="G33" s="19"/>
      <c r="H33" s="19"/>
      <c r="I33" s="19"/>
      <c r="J33" s="19"/>
      <c r="K33" s="19"/>
      <c r="L33" s="19"/>
      <c r="M33" s="19"/>
      <c r="N33" s="19"/>
      <c r="O33" s="20"/>
      <c r="P33" s="21" t="str">
        <f aca="false">IF(OR(A33="",B33=""),"",IF(COUNT(I33:M33)=0,"",SUM(I33:M33)))</f>
        <v/>
      </c>
      <c r="Q33" s="22" t="str">
        <f aca="false">IF(OR(OR(A33="",B33=""),P33=""),"",IFERROR(P33/(IF(N(H33)&gt;0,H33,IF(N(G33)&gt;0,G33,IF(COUNTIFS($B$12:$B$211,B33,$G$12:$G$211,"&gt;0")+COUNTIFS($B$12:$B$211,B33,$H$12:$H$211,"&gt;0")&gt;0,"",INDEX($B$5:$B$7,MATCH(B33,$A$5:$A$7,0)))))),""))</f>
        <v/>
      </c>
      <c r="R33" s="23" t="str">
        <f aca="false">IF(OR(A33="",B33=""),"",IF(OR(Q33="",COUNTIFS($B$12:$B$211,B33,$Q$12:$Q$211,"&gt;=0")&lt;2),"No Data Yet",IFERROR(IF(Q33/AVERAGEIFS($Q$12:$Q$211,$B$12:$B$211,B33)&gt;=1.2,"Good",IF(Q33/AVERAGEIFS($Q$12:$Q$211,$B$12:$B$211,B33)&gt;=0.8,"Average","Below Standard")),"Average")))</f>
        <v/>
      </c>
      <c r="S33" s="24"/>
      <c r="T33" s="24"/>
      <c r="U33" s="20"/>
      <c r="V33" s="23" t="str">
        <f aca="false">IF(OR(A33="",B33=""),"","https://www.alphanodus.com/contact?utm_source="&amp;IF(B33="X","twitter",LOWER(B33))&amp;"&amp;utm_medium=social&amp;utm_campaign="&amp;IF(D33="","general",LOWER(SUBSTITUTE(SUBSTITUTE(D33," / ","-")," ","-")))&amp;"&amp;utm_content="&amp;LOWER(LEFT(B33,2))&amp;"-"&amp;TEXT(A33,"yymmdd"))</f>
        <v/>
      </c>
    </row>
    <row r="34" customFormat="false" ht="15" hidden="false" customHeight="false" outlineLevel="0" collapsed="false">
      <c r="A34" s="25"/>
      <c r="B34" s="20"/>
      <c r="C34" s="24"/>
      <c r="D34" s="20"/>
      <c r="E34" s="20"/>
      <c r="F34" s="20"/>
      <c r="G34" s="19"/>
      <c r="H34" s="19"/>
      <c r="I34" s="19"/>
      <c r="J34" s="19"/>
      <c r="K34" s="19"/>
      <c r="L34" s="19"/>
      <c r="M34" s="19"/>
      <c r="N34" s="19"/>
      <c r="O34" s="20"/>
      <c r="P34" s="21" t="str">
        <f aca="false">IF(OR(A34="",B34=""),"",IF(COUNT(I34:M34)=0,"",SUM(I34:M34)))</f>
        <v/>
      </c>
      <c r="Q34" s="22" t="str">
        <f aca="false">IF(OR(OR(A34="",B34=""),P34=""),"",IFERROR(P34/(IF(N(H34)&gt;0,H34,IF(N(G34)&gt;0,G34,IF(COUNTIFS($B$12:$B$211,B34,$G$12:$G$211,"&gt;0")+COUNTIFS($B$12:$B$211,B34,$H$12:$H$211,"&gt;0")&gt;0,"",INDEX($B$5:$B$7,MATCH(B34,$A$5:$A$7,0)))))),""))</f>
        <v/>
      </c>
      <c r="R34" s="23" t="str">
        <f aca="false">IF(OR(A34="",B34=""),"",IF(OR(Q34="",COUNTIFS($B$12:$B$211,B34,$Q$12:$Q$211,"&gt;=0")&lt;2),"No Data Yet",IFERROR(IF(Q34/AVERAGEIFS($Q$12:$Q$211,$B$12:$B$211,B34)&gt;=1.2,"Good",IF(Q34/AVERAGEIFS($Q$12:$Q$211,$B$12:$B$211,B34)&gt;=0.8,"Average","Below Standard")),"Average")))</f>
        <v/>
      </c>
      <c r="S34" s="24"/>
      <c r="T34" s="24"/>
      <c r="U34" s="20"/>
      <c r="V34" s="23" t="str">
        <f aca="false">IF(OR(A34="",B34=""),"","https://www.alphanodus.com/contact?utm_source="&amp;IF(B34="X","twitter",LOWER(B34))&amp;"&amp;utm_medium=social&amp;utm_campaign="&amp;IF(D34="","general",LOWER(SUBSTITUTE(SUBSTITUTE(D34," / ","-")," ","-")))&amp;"&amp;utm_content="&amp;LOWER(LEFT(B34,2))&amp;"-"&amp;TEXT(A34,"yymmdd"))</f>
        <v/>
      </c>
    </row>
    <row r="35" customFormat="false" ht="15" hidden="false" customHeight="false" outlineLevel="0" collapsed="false">
      <c r="A35" s="25"/>
      <c r="B35" s="20"/>
      <c r="C35" s="24"/>
      <c r="D35" s="20"/>
      <c r="E35" s="20"/>
      <c r="F35" s="20"/>
      <c r="G35" s="19"/>
      <c r="H35" s="19"/>
      <c r="I35" s="19"/>
      <c r="J35" s="19"/>
      <c r="K35" s="19"/>
      <c r="L35" s="19"/>
      <c r="M35" s="19"/>
      <c r="N35" s="19"/>
      <c r="O35" s="20"/>
      <c r="P35" s="21" t="str">
        <f aca="false">IF(OR(A35="",B35=""),"",IF(COUNT(I35:M35)=0,"",SUM(I35:M35)))</f>
        <v/>
      </c>
      <c r="Q35" s="22" t="str">
        <f aca="false">IF(OR(OR(A35="",B35=""),P35=""),"",IFERROR(P35/(IF(N(H35)&gt;0,H35,IF(N(G35)&gt;0,G35,IF(COUNTIFS($B$12:$B$211,B35,$G$12:$G$211,"&gt;0")+COUNTIFS($B$12:$B$211,B35,$H$12:$H$211,"&gt;0")&gt;0,"",INDEX($B$5:$B$7,MATCH(B35,$A$5:$A$7,0)))))),""))</f>
        <v/>
      </c>
      <c r="R35" s="23" t="str">
        <f aca="false">IF(OR(A35="",B35=""),"",IF(OR(Q35="",COUNTIFS($B$12:$B$211,B35,$Q$12:$Q$211,"&gt;=0")&lt;2),"No Data Yet",IFERROR(IF(Q35/AVERAGEIFS($Q$12:$Q$211,$B$12:$B$211,B35)&gt;=1.2,"Good",IF(Q35/AVERAGEIFS($Q$12:$Q$211,$B$12:$B$211,B35)&gt;=0.8,"Average","Below Standard")),"Average")))</f>
        <v/>
      </c>
      <c r="S35" s="24"/>
      <c r="T35" s="24"/>
      <c r="U35" s="20"/>
      <c r="V35" s="23" t="str">
        <f aca="false">IF(OR(A35="",B35=""),"","https://www.alphanodus.com/contact?utm_source="&amp;IF(B35="X","twitter",LOWER(B35))&amp;"&amp;utm_medium=social&amp;utm_campaign="&amp;IF(D35="","general",LOWER(SUBSTITUTE(SUBSTITUTE(D35," / ","-")," ","-")))&amp;"&amp;utm_content="&amp;LOWER(LEFT(B35,2))&amp;"-"&amp;TEXT(A35,"yymmdd"))</f>
        <v/>
      </c>
    </row>
    <row r="36" customFormat="false" ht="15" hidden="false" customHeight="false" outlineLevel="0" collapsed="false">
      <c r="A36" s="25"/>
      <c r="B36" s="20"/>
      <c r="C36" s="24"/>
      <c r="D36" s="20"/>
      <c r="E36" s="20"/>
      <c r="F36" s="20"/>
      <c r="G36" s="19"/>
      <c r="H36" s="19"/>
      <c r="I36" s="19"/>
      <c r="J36" s="19"/>
      <c r="K36" s="19"/>
      <c r="L36" s="19"/>
      <c r="M36" s="19"/>
      <c r="N36" s="19"/>
      <c r="O36" s="20"/>
      <c r="P36" s="21" t="str">
        <f aca="false">IF(OR(A36="",B36=""),"",IF(COUNT(I36:M36)=0,"",SUM(I36:M36)))</f>
        <v/>
      </c>
      <c r="Q36" s="22" t="str">
        <f aca="false">IF(OR(OR(A36="",B36=""),P36=""),"",IFERROR(P36/(IF(N(H36)&gt;0,H36,IF(N(G36)&gt;0,G36,IF(COUNTIFS($B$12:$B$211,B36,$G$12:$G$211,"&gt;0")+COUNTIFS($B$12:$B$211,B36,$H$12:$H$211,"&gt;0")&gt;0,"",INDEX($B$5:$B$7,MATCH(B36,$A$5:$A$7,0)))))),""))</f>
        <v/>
      </c>
      <c r="R36" s="23" t="str">
        <f aca="false">IF(OR(A36="",B36=""),"",IF(OR(Q36="",COUNTIFS($B$12:$B$211,B36,$Q$12:$Q$211,"&gt;=0")&lt;2),"No Data Yet",IFERROR(IF(Q36/AVERAGEIFS($Q$12:$Q$211,$B$12:$B$211,B36)&gt;=1.2,"Good",IF(Q36/AVERAGEIFS($Q$12:$Q$211,$B$12:$B$211,B36)&gt;=0.8,"Average","Below Standard")),"Average")))</f>
        <v/>
      </c>
      <c r="S36" s="24"/>
      <c r="T36" s="24"/>
      <c r="U36" s="20"/>
      <c r="V36" s="23" t="str">
        <f aca="false">IF(OR(A36="",B36=""),"","https://www.alphanodus.com/contact?utm_source="&amp;IF(B36="X","twitter",LOWER(B36))&amp;"&amp;utm_medium=social&amp;utm_campaign="&amp;IF(D36="","general",LOWER(SUBSTITUTE(SUBSTITUTE(D36," / ","-")," ","-")))&amp;"&amp;utm_content="&amp;LOWER(LEFT(B36,2))&amp;"-"&amp;TEXT(A36,"yymmdd"))</f>
        <v/>
      </c>
    </row>
    <row r="37" customFormat="false" ht="15" hidden="false" customHeight="false" outlineLevel="0" collapsed="false">
      <c r="A37" s="25"/>
      <c r="B37" s="20"/>
      <c r="C37" s="24"/>
      <c r="D37" s="20"/>
      <c r="E37" s="20"/>
      <c r="F37" s="20"/>
      <c r="G37" s="19"/>
      <c r="H37" s="19"/>
      <c r="I37" s="19"/>
      <c r="J37" s="19"/>
      <c r="K37" s="19"/>
      <c r="L37" s="19"/>
      <c r="M37" s="19"/>
      <c r="N37" s="19"/>
      <c r="O37" s="20"/>
      <c r="P37" s="21" t="str">
        <f aca="false">IF(OR(A37="",B37=""),"",IF(COUNT(I37:M37)=0,"",SUM(I37:M37)))</f>
        <v/>
      </c>
      <c r="Q37" s="22" t="str">
        <f aca="false">IF(OR(OR(A37="",B37=""),P37=""),"",IFERROR(P37/(IF(N(H37)&gt;0,H37,IF(N(G37)&gt;0,G37,IF(COUNTIFS($B$12:$B$211,B37,$G$12:$G$211,"&gt;0")+COUNTIFS($B$12:$B$211,B37,$H$12:$H$211,"&gt;0")&gt;0,"",INDEX($B$5:$B$7,MATCH(B37,$A$5:$A$7,0)))))),""))</f>
        <v/>
      </c>
      <c r="R37" s="23" t="str">
        <f aca="false">IF(OR(A37="",B37=""),"",IF(OR(Q37="",COUNTIFS($B$12:$B$211,B37,$Q$12:$Q$211,"&gt;=0")&lt;2),"No Data Yet",IFERROR(IF(Q37/AVERAGEIFS($Q$12:$Q$211,$B$12:$B$211,B37)&gt;=1.2,"Good",IF(Q37/AVERAGEIFS($Q$12:$Q$211,$B$12:$B$211,B37)&gt;=0.8,"Average","Below Standard")),"Average")))</f>
        <v/>
      </c>
      <c r="S37" s="24"/>
      <c r="T37" s="24"/>
      <c r="U37" s="20"/>
      <c r="V37" s="23" t="str">
        <f aca="false">IF(OR(A37="",B37=""),"","https://www.alphanodus.com/contact?utm_source="&amp;IF(B37="X","twitter",LOWER(B37))&amp;"&amp;utm_medium=social&amp;utm_campaign="&amp;IF(D37="","general",LOWER(SUBSTITUTE(SUBSTITUTE(D37," / ","-")," ","-")))&amp;"&amp;utm_content="&amp;LOWER(LEFT(B37,2))&amp;"-"&amp;TEXT(A37,"yymmdd"))</f>
        <v/>
      </c>
    </row>
    <row r="38" customFormat="false" ht="15" hidden="false" customHeight="false" outlineLevel="0" collapsed="false">
      <c r="A38" s="25"/>
      <c r="B38" s="20"/>
      <c r="C38" s="24"/>
      <c r="D38" s="20"/>
      <c r="E38" s="20"/>
      <c r="F38" s="20"/>
      <c r="G38" s="19"/>
      <c r="H38" s="19"/>
      <c r="I38" s="19"/>
      <c r="J38" s="19"/>
      <c r="K38" s="19"/>
      <c r="L38" s="19"/>
      <c r="M38" s="19"/>
      <c r="N38" s="19"/>
      <c r="O38" s="20"/>
      <c r="P38" s="21" t="str">
        <f aca="false">IF(OR(A38="",B38=""),"",IF(COUNT(I38:M38)=0,"",SUM(I38:M38)))</f>
        <v/>
      </c>
      <c r="Q38" s="22" t="str">
        <f aca="false">IF(OR(OR(A38="",B38=""),P38=""),"",IFERROR(P38/(IF(N(H38)&gt;0,H38,IF(N(G38)&gt;0,G38,IF(COUNTIFS($B$12:$B$211,B38,$G$12:$G$211,"&gt;0")+COUNTIFS($B$12:$B$211,B38,$H$12:$H$211,"&gt;0")&gt;0,"",INDEX($B$5:$B$7,MATCH(B38,$A$5:$A$7,0)))))),""))</f>
        <v/>
      </c>
      <c r="R38" s="23" t="str">
        <f aca="false">IF(OR(A38="",B38=""),"",IF(OR(Q38="",COUNTIFS($B$12:$B$211,B38,$Q$12:$Q$211,"&gt;=0")&lt;2),"No Data Yet",IFERROR(IF(Q38/AVERAGEIFS($Q$12:$Q$211,$B$12:$B$211,B38)&gt;=1.2,"Good",IF(Q38/AVERAGEIFS($Q$12:$Q$211,$B$12:$B$211,B38)&gt;=0.8,"Average","Below Standard")),"Average")))</f>
        <v/>
      </c>
      <c r="S38" s="24"/>
      <c r="T38" s="24"/>
      <c r="U38" s="20"/>
      <c r="V38" s="23" t="str">
        <f aca="false">IF(OR(A38="",B38=""),"","https://www.alphanodus.com/contact?utm_source="&amp;IF(B38="X","twitter",LOWER(B38))&amp;"&amp;utm_medium=social&amp;utm_campaign="&amp;IF(D38="","general",LOWER(SUBSTITUTE(SUBSTITUTE(D38," / ","-")," ","-")))&amp;"&amp;utm_content="&amp;LOWER(LEFT(B38,2))&amp;"-"&amp;TEXT(A38,"yymmdd"))</f>
        <v/>
      </c>
    </row>
    <row r="39" customFormat="false" ht="15" hidden="false" customHeight="false" outlineLevel="0" collapsed="false">
      <c r="A39" s="25"/>
      <c r="B39" s="20"/>
      <c r="C39" s="24"/>
      <c r="D39" s="20"/>
      <c r="E39" s="20"/>
      <c r="F39" s="20"/>
      <c r="G39" s="19"/>
      <c r="H39" s="19"/>
      <c r="I39" s="19"/>
      <c r="J39" s="19"/>
      <c r="K39" s="19"/>
      <c r="L39" s="19"/>
      <c r="M39" s="19"/>
      <c r="N39" s="19"/>
      <c r="O39" s="20"/>
      <c r="P39" s="21" t="str">
        <f aca="false">IF(OR(A39="",B39=""),"",IF(COUNT(I39:M39)=0,"",SUM(I39:M39)))</f>
        <v/>
      </c>
      <c r="Q39" s="22" t="str">
        <f aca="false">IF(OR(OR(A39="",B39=""),P39=""),"",IFERROR(P39/(IF(N(H39)&gt;0,H39,IF(N(G39)&gt;0,G39,IF(COUNTIFS($B$12:$B$211,B39,$G$12:$G$211,"&gt;0")+COUNTIFS($B$12:$B$211,B39,$H$12:$H$211,"&gt;0")&gt;0,"",INDEX($B$5:$B$7,MATCH(B39,$A$5:$A$7,0)))))),""))</f>
        <v/>
      </c>
      <c r="R39" s="23" t="str">
        <f aca="false">IF(OR(A39="",B39=""),"",IF(OR(Q39="",COUNTIFS($B$12:$B$211,B39,$Q$12:$Q$211,"&gt;=0")&lt;2),"No Data Yet",IFERROR(IF(Q39/AVERAGEIFS($Q$12:$Q$211,$B$12:$B$211,B39)&gt;=1.2,"Good",IF(Q39/AVERAGEIFS($Q$12:$Q$211,$B$12:$B$211,B39)&gt;=0.8,"Average","Below Standard")),"Average")))</f>
        <v/>
      </c>
      <c r="S39" s="24"/>
      <c r="T39" s="24"/>
      <c r="U39" s="20"/>
      <c r="V39" s="23" t="str">
        <f aca="false">IF(OR(A39="",B39=""),"","https://www.alphanodus.com/contact?utm_source="&amp;IF(B39="X","twitter",LOWER(B39))&amp;"&amp;utm_medium=social&amp;utm_campaign="&amp;IF(D39="","general",LOWER(SUBSTITUTE(SUBSTITUTE(D39," / ","-")," ","-")))&amp;"&amp;utm_content="&amp;LOWER(LEFT(B39,2))&amp;"-"&amp;TEXT(A39,"yymmdd"))</f>
        <v/>
      </c>
    </row>
    <row r="40" customFormat="false" ht="15" hidden="false" customHeight="false" outlineLevel="0" collapsed="false">
      <c r="A40" s="25"/>
      <c r="B40" s="20"/>
      <c r="C40" s="24"/>
      <c r="D40" s="20"/>
      <c r="E40" s="20"/>
      <c r="F40" s="20"/>
      <c r="G40" s="19"/>
      <c r="H40" s="19"/>
      <c r="I40" s="19"/>
      <c r="J40" s="19"/>
      <c r="K40" s="19"/>
      <c r="L40" s="19"/>
      <c r="M40" s="19"/>
      <c r="N40" s="19"/>
      <c r="O40" s="20"/>
      <c r="P40" s="21" t="str">
        <f aca="false">IF(OR(A40="",B40=""),"",IF(COUNT(I40:M40)=0,"",SUM(I40:M40)))</f>
        <v/>
      </c>
      <c r="Q40" s="22" t="str">
        <f aca="false">IF(OR(OR(A40="",B40=""),P40=""),"",IFERROR(P40/(IF(N(H40)&gt;0,H40,IF(N(G40)&gt;0,G40,IF(COUNTIFS($B$12:$B$211,B40,$G$12:$G$211,"&gt;0")+COUNTIFS($B$12:$B$211,B40,$H$12:$H$211,"&gt;0")&gt;0,"",INDEX($B$5:$B$7,MATCH(B40,$A$5:$A$7,0)))))),""))</f>
        <v/>
      </c>
      <c r="R40" s="23" t="str">
        <f aca="false">IF(OR(A40="",B40=""),"",IF(OR(Q40="",COUNTIFS($B$12:$B$211,B40,$Q$12:$Q$211,"&gt;=0")&lt;2),"No Data Yet",IFERROR(IF(Q40/AVERAGEIFS($Q$12:$Q$211,$B$12:$B$211,B40)&gt;=1.2,"Good",IF(Q40/AVERAGEIFS($Q$12:$Q$211,$B$12:$B$211,B40)&gt;=0.8,"Average","Below Standard")),"Average")))</f>
        <v/>
      </c>
      <c r="S40" s="24"/>
      <c r="T40" s="24"/>
      <c r="U40" s="20"/>
      <c r="V40" s="23" t="str">
        <f aca="false">IF(OR(A40="",B40=""),"","https://www.alphanodus.com/contact?utm_source="&amp;IF(B40="X","twitter",LOWER(B40))&amp;"&amp;utm_medium=social&amp;utm_campaign="&amp;IF(D40="","general",LOWER(SUBSTITUTE(SUBSTITUTE(D40," / ","-")," ","-")))&amp;"&amp;utm_content="&amp;LOWER(LEFT(B40,2))&amp;"-"&amp;TEXT(A40,"yymmdd"))</f>
        <v/>
      </c>
    </row>
    <row r="41" customFormat="false" ht="15" hidden="false" customHeight="false" outlineLevel="0" collapsed="false">
      <c r="A41" s="25"/>
      <c r="B41" s="20"/>
      <c r="C41" s="24"/>
      <c r="D41" s="20"/>
      <c r="E41" s="20"/>
      <c r="F41" s="20"/>
      <c r="G41" s="19"/>
      <c r="H41" s="19"/>
      <c r="I41" s="19"/>
      <c r="J41" s="19"/>
      <c r="K41" s="19"/>
      <c r="L41" s="19"/>
      <c r="M41" s="19"/>
      <c r="N41" s="19"/>
      <c r="O41" s="20"/>
      <c r="P41" s="21" t="str">
        <f aca="false">IF(OR(A41="",B41=""),"",IF(COUNT(I41:M41)=0,"",SUM(I41:M41)))</f>
        <v/>
      </c>
      <c r="Q41" s="22" t="str">
        <f aca="false">IF(OR(OR(A41="",B41=""),P41=""),"",IFERROR(P41/(IF(N(H41)&gt;0,H41,IF(N(G41)&gt;0,G41,IF(COUNTIFS($B$12:$B$211,B41,$G$12:$G$211,"&gt;0")+COUNTIFS($B$12:$B$211,B41,$H$12:$H$211,"&gt;0")&gt;0,"",INDEX($B$5:$B$7,MATCH(B41,$A$5:$A$7,0)))))),""))</f>
        <v/>
      </c>
      <c r="R41" s="23" t="str">
        <f aca="false">IF(OR(A41="",B41=""),"",IF(OR(Q41="",COUNTIFS($B$12:$B$211,B41,$Q$12:$Q$211,"&gt;=0")&lt;2),"No Data Yet",IFERROR(IF(Q41/AVERAGEIFS($Q$12:$Q$211,$B$12:$B$211,B41)&gt;=1.2,"Good",IF(Q41/AVERAGEIFS($Q$12:$Q$211,$B$12:$B$211,B41)&gt;=0.8,"Average","Below Standard")),"Average")))</f>
        <v/>
      </c>
      <c r="S41" s="24"/>
      <c r="T41" s="24"/>
      <c r="U41" s="20"/>
      <c r="V41" s="23" t="str">
        <f aca="false">IF(OR(A41="",B41=""),"","https://www.alphanodus.com/contact?utm_source="&amp;IF(B41="X","twitter",LOWER(B41))&amp;"&amp;utm_medium=social&amp;utm_campaign="&amp;IF(D41="","general",LOWER(SUBSTITUTE(SUBSTITUTE(D41," / ","-")," ","-")))&amp;"&amp;utm_content="&amp;LOWER(LEFT(B41,2))&amp;"-"&amp;TEXT(A41,"yymmdd"))</f>
        <v/>
      </c>
    </row>
    <row r="42" customFormat="false" ht="15" hidden="false" customHeight="false" outlineLevel="0" collapsed="false">
      <c r="A42" s="25"/>
      <c r="B42" s="20"/>
      <c r="C42" s="24"/>
      <c r="D42" s="20"/>
      <c r="E42" s="20"/>
      <c r="F42" s="20"/>
      <c r="G42" s="19"/>
      <c r="H42" s="19"/>
      <c r="I42" s="19"/>
      <c r="J42" s="19"/>
      <c r="K42" s="19"/>
      <c r="L42" s="19"/>
      <c r="M42" s="19"/>
      <c r="N42" s="19"/>
      <c r="O42" s="20"/>
      <c r="P42" s="21" t="str">
        <f aca="false">IF(OR(A42="",B42=""),"",IF(COUNT(I42:M42)=0,"",SUM(I42:M42)))</f>
        <v/>
      </c>
      <c r="Q42" s="22" t="str">
        <f aca="false">IF(OR(OR(A42="",B42=""),P42=""),"",IFERROR(P42/(IF(N(H42)&gt;0,H42,IF(N(G42)&gt;0,G42,IF(COUNTIFS($B$12:$B$211,B42,$G$12:$G$211,"&gt;0")+COUNTIFS($B$12:$B$211,B42,$H$12:$H$211,"&gt;0")&gt;0,"",INDEX($B$5:$B$7,MATCH(B42,$A$5:$A$7,0)))))),""))</f>
        <v/>
      </c>
      <c r="R42" s="23" t="str">
        <f aca="false">IF(OR(A42="",B42=""),"",IF(OR(Q42="",COUNTIFS($B$12:$B$211,B42,$Q$12:$Q$211,"&gt;=0")&lt;2),"No Data Yet",IFERROR(IF(Q42/AVERAGEIFS($Q$12:$Q$211,$B$12:$B$211,B42)&gt;=1.2,"Good",IF(Q42/AVERAGEIFS($Q$12:$Q$211,$B$12:$B$211,B42)&gt;=0.8,"Average","Below Standard")),"Average")))</f>
        <v/>
      </c>
      <c r="S42" s="24"/>
      <c r="T42" s="24"/>
      <c r="U42" s="20"/>
      <c r="V42" s="23" t="str">
        <f aca="false">IF(OR(A42="",B42=""),"","https://www.alphanodus.com/contact?utm_source="&amp;IF(B42="X","twitter",LOWER(B42))&amp;"&amp;utm_medium=social&amp;utm_campaign="&amp;IF(D42="","general",LOWER(SUBSTITUTE(SUBSTITUTE(D42," / ","-")," ","-")))&amp;"&amp;utm_content="&amp;LOWER(LEFT(B42,2))&amp;"-"&amp;TEXT(A42,"yymmdd"))</f>
        <v/>
      </c>
    </row>
    <row r="43" customFormat="false" ht="15" hidden="false" customHeight="false" outlineLevel="0" collapsed="false">
      <c r="A43" s="25"/>
      <c r="B43" s="20"/>
      <c r="C43" s="24"/>
      <c r="D43" s="20"/>
      <c r="E43" s="20"/>
      <c r="F43" s="20"/>
      <c r="G43" s="19"/>
      <c r="H43" s="19"/>
      <c r="I43" s="19"/>
      <c r="J43" s="19"/>
      <c r="K43" s="19"/>
      <c r="L43" s="19"/>
      <c r="M43" s="19"/>
      <c r="N43" s="19"/>
      <c r="O43" s="20"/>
      <c r="P43" s="21" t="str">
        <f aca="false">IF(OR(A43="",B43=""),"",IF(COUNT(I43:M43)=0,"",SUM(I43:M43)))</f>
        <v/>
      </c>
      <c r="Q43" s="22" t="str">
        <f aca="false">IF(OR(OR(A43="",B43=""),P43=""),"",IFERROR(P43/(IF(N(H43)&gt;0,H43,IF(N(G43)&gt;0,G43,IF(COUNTIFS($B$12:$B$211,B43,$G$12:$G$211,"&gt;0")+COUNTIFS($B$12:$B$211,B43,$H$12:$H$211,"&gt;0")&gt;0,"",INDEX($B$5:$B$7,MATCH(B43,$A$5:$A$7,0)))))),""))</f>
        <v/>
      </c>
      <c r="R43" s="23" t="str">
        <f aca="false">IF(OR(A43="",B43=""),"",IF(OR(Q43="",COUNTIFS($B$12:$B$211,B43,$Q$12:$Q$211,"&gt;=0")&lt;2),"No Data Yet",IFERROR(IF(Q43/AVERAGEIFS($Q$12:$Q$211,$B$12:$B$211,B43)&gt;=1.2,"Good",IF(Q43/AVERAGEIFS($Q$12:$Q$211,$B$12:$B$211,B43)&gt;=0.8,"Average","Below Standard")),"Average")))</f>
        <v/>
      </c>
      <c r="S43" s="24"/>
      <c r="T43" s="24"/>
      <c r="U43" s="20"/>
      <c r="V43" s="23" t="str">
        <f aca="false">IF(OR(A43="",B43=""),"","https://www.alphanodus.com/contact?utm_source="&amp;IF(B43="X","twitter",LOWER(B43))&amp;"&amp;utm_medium=social&amp;utm_campaign="&amp;IF(D43="","general",LOWER(SUBSTITUTE(SUBSTITUTE(D43," / ","-")," ","-")))&amp;"&amp;utm_content="&amp;LOWER(LEFT(B43,2))&amp;"-"&amp;TEXT(A43,"yymmdd"))</f>
        <v/>
      </c>
    </row>
    <row r="44" customFormat="false" ht="15" hidden="false" customHeight="false" outlineLevel="0" collapsed="false">
      <c r="A44" s="25"/>
      <c r="B44" s="20"/>
      <c r="C44" s="24"/>
      <c r="D44" s="20"/>
      <c r="E44" s="20"/>
      <c r="F44" s="20"/>
      <c r="G44" s="19"/>
      <c r="H44" s="19"/>
      <c r="I44" s="19"/>
      <c r="J44" s="19"/>
      <c r="K44" s="19"/>
      <c r="L44" s="19"/>
      <c r="M44" s="19"/>
      <c r="N44" s="19"/>
      <c r="O44" s="20"/>
      <c r="P44" s="21" t="str">
        <f aca="false">IF(OR(A44="",B44=""),"",IF(COUNT(I44:M44)=0,"",SUM(I44:M44)))</f>
        <v/>
      </c>
      <c r="Q44" s="22" t="str">
        <f aca="false">IF(OR(OR(A44="",B44=""),P44=""),"",IFERROR(P44/(IF(N(H44)&gt;0,H44,IF(N(G44)&gt;0,G44,IF(COUNTIFS($B$12:$B$211,B44,$G$12:$G$211,"&gt;0")+COUNTIFS($B$12:$B$211,B44,$H$12:$H$211,"&gt;0")&gt;0,"",INDEX($B$5:$B$7,MATCH(B44,$A$5:$A$7,0)))))),""))</f>
        <v/>
      </c>
      <c r="R44" s="23" t="str">
        <f aca="false">IF(OR(A44="",B44=""),"",IF(OR(Q44="",COUNTIFS($B$12:$B$211,B44,$Q$12:$Q$211,"&gt;=0")&lt;2),"No Data Yet",IFERROR(IF(Q44/AVERAGEIFS($Q$12:$Q$211,$B$12:$B$211,B44)&gt;=1.2,"Good",IF(Q44/AVERAGEIFS($Q$12:$Q$211,$B$12:$B$211,B44)&gt;=0.8,"Average","Below Standard")),"Average")))</f>
        <v/>
      </c>
      <c r="S44" s="24"/>
      <c r="T44" s="24"/>
      <c r="U44" s="20"/>
      <c r="V44" s="23" t="str">
        <f aca="false">IF(OR(A44="",B44=""),"","https://www.alphanodus.com/contact?utm_source="&amp;IF(B44="X","twitter",LOWER(B44))&amp;"&amp;utm_medium=social&amp;utm_campaign="&amp;IF(D44="","general",LOWER(SUBSTITUTE(SUBSTITUTE(D44," / ","-")," ","-")))&amp;"&amp;utm_content="&amp;LOWER(LEFT(B44,2))&amp;"-"&amp;TEXT(A44,"yymmdd"))</f>
        <v/>
      </c>
    </row>
    <row r="45" customFormat="false" ht="15" hidden="false" customHeight="false" outlineLevel="0" collapsed="false">
      <c r="A45" s="25"/>
      <c r="B45" s="20"/>
      <c r="C45" s="24"/>
      <c r="D45" s="20"/>
      <c r="E45" s="20"/>
      <c r="F45" s="20"/>
      <c r="G45" s="19"/>
      <c r="H45" s="19"/>
      <c r="I45" s="19"/>
      <c r="J45" s="19"/>
      <c r="K45" s="19"/>
      <c r="L45" s="19"/>
      <c r="M45" s="19"/>
      <c r="N45" s="19"/>
      <c r="O45" s="20"/>
      <c r="P45" s="21" t="str">
        <f aca="false">IF(OR(A45="",B45=""),"",IF(COUNT(I45:M45)=0,"",SUM(I45:M45)))</f>
        <v/>
      </c>
      <c r="Q45" s="22" t="str">
        <f aca="false">IF(OR(OR(A45="",B45=""),P45=""),"",IFERROR(P45/(IF(N(H45)&gt;0,H45,IF(N(G45)&gt;0,G45,IF(COUNTIFS($B$12:$B$211,B45,$G$12:$G$211,"&gt;0")+COUNTIFS($B$12:$B$211,B45,$H$12:$H$211,"&gt;0")&gt;0,"",INDEX($B$5:$B$7,MATCH(B45,$A$5:$A$7,0)))))),""))</f>
        <v/>
      </c>
      <c r="R45" s="23" t="str">
        <f aca="false">IF(OR(A45="",B45=""),"",IF(OR(Q45="",COUNTIFS($B$12:$B$211,B45,$Q$12:$Q$211,"&gt;=0")&lt;2),"No Data Yet",IFERROR(IF(Q45/AVERAGEIFS($Q$12:$Q$211,$B$12:$B$211,B45)&gt;=1.2,"Good",IF(Q45/AVERAGEIFS($Q$12:$Q$211,$B$12:$B$211,B45)&gt;=0.8,"Average","Below Standard")),"Average")))</f>
        <v/>
      </c>
      <c r="S45" s="24"/>
      <c r="T45" s="24"/>
      <c r="U45" s="20"/>
      <c r="V45" s="23" t="str">
        <f aca="false">IF(OR(A45="",B45=""),"","https://www.alphanodus.com/contact?utm_source="&amp;IF(B45="X","twitter",LOWER(B45))&amp;"&amp;utm_medium=social&amp;utm_campaign="&amp;IF(D45="","general",LOWER(SUBSTITUTE(SUBSTITUTE(D45," / ","-")," ","-")))&amp;"&amp;utm_content="&amp;LOWER(LEFT(B45,2))&amp;"-"&amp;TEXT(A45,"yymmdd"))</f>
        <v/>
      </c>
    </row>
    <row r="46" customFormat="false" ht="15" hidden="false" customHeight="false" outlineLevel="0" collapsed="false">
      <c r="A46" s="25"/>
      <c r="B46" s="20"/>
      <c r="C46" s="24"/>
      <c r="D46" s="20"/>
      <c r="E46" s="20"/>
      <c r="F46" s="20"/>
      <c r="G46" s="19"/>
      <c r="H46" s="19"/>
      <c r="I46" s="19"/>
      <c r="J46" s="19"/>
      <c r="K46" s="19"/>
      <c r="L46" s="19"/>
      <c r="M46" s="19"/>
      <c r="N46" s="19"/>
      <c r="O46" s="20"/>
      <c r="P46" s="21" t="str">
        <f aca="false">IF(OR(A46="",B46=""),"",IF(COUNT(I46:M46)=0,"",SUM(I46:M46)))</f>
        <v/>
      </c>
      <c r="Q46" s="22" t="str">
        <f aca="false">IF(OR(OR(A46="",B46=""),P46=""),"",IFERROR(P46/(IF(N(H46)&gt;0,H46,IF(N(G46)&gt;0,G46,IF(COUNTIFS($B$12:$B$211,B46,$G$12:$G$211,"&gt;0")+COUNTIFS($B$12:$B$211,B46,$H$12:$H$211,"&gt;0")&gt;0,"",INDEX($B$5:$B$7,MATCH(B46,$A$5:$A$7,0)))))),""))</f>
        <v/>
      </c>
      <c r="R46" s="23" t="str">
        <f aca="false">IF(OR(A46="",B46=""),"",IF(OR(Q46="",COUNTIFS($B$12:$B$211,B46,$Q$12:$Q$211,"&gt;=0")&lt;2),"No Data Yet",IFERROR(IF(Q46/AVERAGEIFS($Q$12:$Q$211,$B$12:$B$211,B46)&gt;=1.2,"Good",IF(Q46/AVERAGEIFS($Q$12:$Q$211,$B$12:$B$211,B46)&gt;=0.8,"Average","Below Standard")),"Average")))</f>
        <v/>
      </c>
      <c r="S46" s="24"/>
      <c r="T46" s="24"/>
      <c r="U46" s="20"/>
      <c r="V46" s="23" t="str">
        <f aca="false">IF(OR(A46="",B46=""),"","https://www.alphanodus.com/contact?utm_source="&amp;IF(B46="X","twitter",LOWER(B46))&amp;"&amp;utm_medium=social&amp;utm_campaign="&amp;IF(D46="","general",LOWER(SUBSTITUTE(SUBSTITUTE(D46," / ","-")," ","-")))&amp;"&amp;utm_content="&amp;LOWER(LEFT(B46,2))&amp;"-"&amp;TEXT(A46,"yymmdd"))</f>
        <v/>
      </c>
    </row>
    <row r="47" customFormat="false" ht="15" hidden="false" customHeight="false" outlineLevel="0" collapsed="false">
      <c r="A47" s="25"/>
      <c r="B47" s="20"/>
      <c r="C47" s="24"/>
      <c r="D47" s="20"/>
      <c r="E47" s="20"/>
      <c r="F47" s="20"/>
      <c r="G47" s="19"/>
      <c r="H47" s="19"/>
      <c r="I47" s="19"/>
      <c r="J47" s="19"/>
      <c r="K47" s="19"/>
      <c r="L47" s="19"/>
      <c r="M47" s="19"/>
      <c r="N47" s="19"/>
      <c r="O47" s="20"/>
      <c r="P47" s="21" t="str">
        <f aca="false">IF(OR(A47="",B47=""),"",IF(COUNT(I47:M47)=0,"",SUM(I47:M47)))</f>
        <v/>
      </c>
      <c r="Q47" s="22" t="str">
        <f aca="false">IF(OR(OR(A47="",B47=""),P47=""),"",IFERROR(P47/(IF(N(H47)&gt;0,H47,IF(N(G47)&gt;0,G47,IF(COUNTIFS($B$12:$B$211,B47,$G$12:$G$211,"&gt;0")+COUNTIFS($B$12:$B$211,B47,$H$12:$H$211,"&gt;0")&gt;0,"",INDEX($B$5:$B$7,MATCH(B47,$A$5:$A$7,0)))))),""))</f>
        <v/>
      </c>
      <c r="R47" s="23" t="str">
        <f aca="false">IF(OR(A47="",B47=""),"",IF(OR(Q47="",COUNTIFS($B$12:$B$211,B47,$Q$12:$Q$211,"&gt;=0")&lt;2),"No Data Yet",IFERROR(IF(Q47/AVERAGEIFS($Q$12:$Q$211,$B$12:$B$211,B47)&gt;=1.2,"Good",IF(Q47/AVERAGEIFS($Q$12:$Q$211,$B$12:$B$211,B47)&gt;=0.8,"Average","Below Standard")),"Average")))</f>
        <v/>
      </c>
      <c r="S47" s="24"/>
      <c r="T47" s="24"/>
      <c r="U47" s="20"/>
      <c r="V47" s="23" t="str">
        <f aca="false">IF(OR(A47="",B47=""),"","https://www.alphanodus.com/contact?utm_source="&amp;IF(B47="X","twitter",LOWER(B47))&amp;"&amp;utm_medium=social&amp;utm_campaign="&amp;IF(D47="","general",LOWER(SUBSTITUTE(SUBSTITUTE(D47," / ","-")," ","-")))&amp;"&amp;utm_content="&amp;LOWER(LEFT(B47,2))&amp;"-"&amp;TEXT(A47,"yymmdd"))</f>
        <v/>
      </c>
    </row>
    <row r="48" customFormat="false" ht="15" hidden="false" customHeight="false" outlineLevel="0" collapsed="false">
      <c r="A48" s="25"/>
      <c r="B48" s="20"/>
      <c r="C48" s="24"/>
      <c r="D48" s="20"/>
      <c r="E48" s="20"/>
      <c r="F48" s="20"/>
      <c r="G48" s="19"/>
      <c r="H48" s="19"/>
      <c r="I48" s="19"/>
      <c r="J48" s="19"/>
      <c r="K48" s="19"/>
      <c r="L48" s="19"/>
      <c r="M48" s="19"/>
      <c r="N48" s="19"/>
      <c r="O48" s="20"/>
      <c r="P48" s="21" t="str">
        <f aca="false">IF(OR(A48="",B48=""),"",IF(COUNT(I48:M48)=0,"",SUM(I48:M48)))</f>
        <v/>
      </c>
      <c r="Q48" s="22" t="str">
        <f aca="false">IF(OR(OR(A48="",B48=""),P48=""),"",IFERROR(P48/(IF(N(H48)&gt;0,H48,IF(N(G48)&gt;0,G48,IF(COUNTIFS($B$12:$B$211,B48,$G$12:$G$211,"&gt;0")+COUNTIFS($B$12:$B$211,B48,$H$12:$H$211,"&gt;0")&gt;0,"",INDEX($B$5:$B$7,MATCH(B48,$A$5:$A$7,0)))))),""))</f>
        <v/>
      </c>
      <c r="R48" s="23" t="str">
        <f aca="false">IF(OR(A48="",B48=""),"",IF(OR(Q48="",COUNTIFS($B$12:$B$211,B48,$Q$12:$Q$211,"&gt;=0")&lt;2),"No Data Yet",IFERROR(IF(Q48/AVERAGEIFS($Q$12:$Q$211,$B$12:$B$211,B48)&gt;=1.2,"Good",IF(Q48/AVERAGEIFS($Q$12:$Q$211,$B$12:$B$211,B48)&gt;=0.8,"Average","Below Standard")),"Average")))</f>
        <v/>
      </c>
      <c r="S48" s="24"/>
      <c r="T48" s="24"/>
      <c r="U48" s="20"/>
      <c r="V48" s="23" t="str">
        <f aca="false">IF(OR(A48="",B48=""),"","https://www.alphanodus.com/contact?utm_source="&amp;IF(B48="X","twitter",LOWER(B48))&amp;"&amp;utm_medium=social&amp;utm_campaign="&amp;IF(D48="","general",LOWER(SUBSTITUTE(SUBSTITUTE(D48," / ","-")," ","-")))&amp;"&amp;utm_content="&amp;LOWER(LEFT(B48,2))&amp;"-"&amp;TEXT(A48,"yymmdd"))</f>
        <v/>
      </c>
    </row>
    <row r="49" customFormat="false" ht="15" hidden="false" customHeight="false" outlineLevel="0" collapsed="false">
      <c r="A49" s="25"/>
      <c r="B49" s="20"/>
      <c r="C49" s="24"/>
      <c r="D49" s="20"/>
      <c r="E49" s="20"/>
      <c r="F49" s="20"/>
      <c r="G49" s="19"/>
      <c r="H49" s="19"/>
      <c r="I49" s="19"/>
      <c r="J49" s="19"/>
      <c r="K49" s="19"/>
      <c r="L49" s="19"/>
      <c r="M49" s="19"/>
      <c r="N49" s="19"/>
      <c r="O49" s="20"/>
      <c r="P49" s="21" t="str">
        <f aca="false">IF(OR(A49="",B49=""),"",IF(COUNT(I49:M49)=0,"",SUM(I49:M49)))</f>
        <v/>
      </c>
      <c r="Q49" s="22" t="str">
        <f aca="false">IF(OR(OR(A49="",B49=""),P49=""),"",IFERROR(P49/(IF(N(H49)&gt;0,H49,IF(N(G49)&gt;0,G49,IF(COUNTIFS($B$12:$B$211,B49,$G$12:$G$211,"&gt;0")+COUNTIFS($B$12:$B$211,B49,$H$12:$H$211,"&gt;0")&gt;0,"",INDEX($B$5:$B$7,MATCH(B49,$A$5:$A$7,0)))))),""))</f>
        <v/>
      </c>
      <c r="R49" s="23" t="str">
        <f aca="false">IF(OR(A49="",B49=""),"",IF(OR(Q49="",COUNTIFS($B$12:$B$211,B49,$Q$12:$Q$211,"&gt;=0")&lt;2),"No Data Yet",IFERROR(IF(Q49/AVERAGEIFS($Q$12:$Q$211,$B$12:$B$211,B49)&gt;=1.2,"Good",IF(Q49/AVERAGEIFS($Q$12:$Q$211,$B$12:$B$211,B49)&gt;=0.8,"Average","Below Standard")),"Average")))</f>
        <v/>
      </c>
      <c r="S49" s="24"/>
      <c r="T49" s="24"/>
      <c r="U49" s="20"/>
      <c r="V49" s="23" t="str">
        <f aca="false">IF(OR(A49="",B49=""),"","https://www.alphanodus.com/contact?utm_source="&amp;IF(B49="X","twitter",LOWER(B49))&amp;"&amp;utm_medium=social&amp;utm_campaign="&amp;IF(D49="","general",LOWER(SUBSTITUTE(SUBSTITUTE(D49," / ","-")," ","-")))&amp;"&amp;utm_content="&amp;LOWER(LEFT(B49,2))&amp;"-"&amp;TEXT(A49,"yymmdd"))</f>
        <v/>
      </c>
    </row>
    <row r="50" customFormat="false" ht="15" hidden="false" customHeight="false" outlineLevel="0" collapsed="false">
      <c r="A50" s="25"/>
      <c r="B50" s="20"/>
      <c r="C50" s="24"/>
      <c r="D50" s="20"/>
      <c r="E50" s="20"/>
      <c r="F50" s="20"/>
      <c r="G50" s="19"/>
      <c r="H50" s="19"/>
      <c r="I50" s="19"/>
      <c r="J50" s="19"/>
      <c r="K50" s="19"/>
      <c r="L50" s="19"/>
      <c r="M50" s="19"/>
      <c r="N50" s="19"/>
      <c r="O50" s="20"/>
      <c r="P50" s="21" t="str">
        <f aca="false">IF(OR(A50="",B50=""),"",IF(COUNT(I50:M50)=0,"",SUM(I50:M50)))</f>
        <v/>
      </c>
      <c r="Q50" s="22" t="str">
        <f aca="false">IF(OR(OR(A50="",B50=""),P50=""),"",IFERROR(P50/(IF(N(H50)&gt;0,H50,IF(N(G50)&gt;0,G50,IF(COUNTIFS($B$12:$B$211,B50,$G$12:$G$211,"&gt;0")+COUNTIFS($B$12:$B$211,B50,$H$12:$H$211,"&gt;0")&gt;0,"",INDEX($B$5:$B$7,MATCH(B50,$A$5:$A$7,0)))))),""))</f>
        <v/>
      </c>
      <c r="R50" s="23" t="str">
        <f aca="false">IF(OR(A50="",B50=""),"",IF(OR(Q50="",COUNTIFS($B$12:$B$211,B50,$Q$12:$Q$211,"&gt;=0")&lt;2),"No Data Yet",IFERROR(IF(Q50/AVERAGEIFS($Q$12:$Q$211,$B$12:$B$211,B50)&gt;=1.2,"Good",IF(Q50/AVERAGEIFS($Q$12:$Q$211,$B$12:$B$211,B50)&gt;=0.8,"Average","Below Standard")),"Average")))</f>
        <v/>
      </c>
      <c r="S50" s="24"/>
      <c r="T50" s="24"/>
      <c r="U50" s="20"/>
      <c r="V50" s="23" t="str">
        <f aca="false">IF(OR(A50="",B50=""),"","https://www.alphanodus.com/contact?utm_source="&amp;IF(B50="X","twitter",LOWER(B50))&amp;"&amp;utm_medium=social&amp;utm_campaign="&amp;IF(D50="","general",LOWER(SUBSTITUTE(SUBSTITUTE(D50," / ","-")," ","-")))&amp;"&amp;utm_content="&amp;LOWER(LEFT(B50,2))&amp;"-"&amp;TEXT(A50,"yymmdd"))</f>
        <v/>
      </c>
    </row>
    <row r="51" customFormat="false" ht="15" hidden="false" customHeight="false" outlineLevel="0" collapsed="false">
      <c r="A51" s="25"/>
      <c r="B51" s="20"/>
      <c r="C51" s="24"/>
      <c r="D51" s="20"/>
      <c r="E51" s="20"/>
      <c r="F51" s="20"/>
      <c r="G51" s="19"/>
      <c r="H51" s="19"/>
      <c r="I51" s="19"/>
      <c r="J51" s="19"/>
      <c r="K51" s="19"/>
      <c r="L51" s="19"/>
      <c r="M51" s="19"/>
      <c r="N51" s="19"/>
      <c r="O51" s="20"/>
      <c r="P51" s="21" t="str">
        <f aca="false">IF(OR(A51="",B51=""),"",IF(COUNT(I51:M51)=0,"",SUM(I51:M51)))</f>
        <v/>
      </c>
      <c r="Q51" s="22" t="str">
        <f aca="false">IF(OR(OR(A51="",B51=""),P51=""),"",IFERROR(P51/(IF(N(H51)&gt;0,H51,IF(N(G51)&gt;0,G51,IF(COUNTIFS($B$12:$B$211,B51,$G$12:$G$211,"&gt;0")+COUNTIFS($B$12:$B$211,B51,$H$12:$H$211,"&gt;0")&gt;0,"",INDEX($B$5:$B$7,MATCH(B51,$A$5:$A$7,0)))))),""))</f>
        <v/>
      </c>
      <c r="R51" s="23" t="str">
        <f aca="false">IF(OR(A51="",B51=""),"",IF(OR(Q51="",COUNTIFS($B$12:$B$211,B51,$Q$12:$Q$211,"&gt;=0")&lt;2),"No Data Yet",IFERROR(IF(Q51/AVERAGEIFS($Q$12:$Q$211,$B$12:$B$211,B51)&gt;=1.2,"Good",IF(Q51/AVERAGEIFS($Q$12:$Q$211,$B$12:$B$211,B51)&gt;=0.8,"Average","Below Standard")),"Average")))</f>
        <v/>
      </c>
      <c r="S51" s="24"/>
      <c r="T51" s="24"/>
      <c r="U51" s="20"/>
      <c r="V51" s="23" t="str">
        <f aca="false">IF(OR(A51="",B51=""),"","https://www.alphanodus.com/contact?utm_source="&amp;IF(B51="X","twitter",LOWER(B51))&amp;"&amp;utm_medium=social&amp;utm_campaign="&amp;IF(D51="","general",LOWER(SUBSTITUTE(SUBSTITUTE(D51," / ","-")," ","-")))&amp;"&amp;utm_content="&amp;LOWER(LEFT(B51,2))&amp;"-"&amp;TEXT(A51,"yymmdd"))</f>
        <v/>
      </c>
    </row>
    <row r="52" customFormat="false" ht="15" hidden="false" customHeight="false" outlineLevel="0" collapsed="false">
      <c r="A52" s="25"/>
      <c r="B52" s="20"/>
      <c r="C52" s="24"/>
      <c r="D52" s="20"/>
      <c r="E52" s="20"/>
      <c r="F52" s="20"/>
      <c r="G52" s="19"/>
      <c r="H52" s="19"/>
      <c r="I52" s="19"/>
      <c r="J52" s="19"/>
      <c r="K52" s="19"/>
      <c r="L52" s="19"/>
      <c r="M52" s="19"/>
      <c r="N52" s="19"/>
      <c r="O52" s="20"/>
      <c r="P52" s="21" t="str">
        <f aca="false">IF(OR(A52="",B52=""),"",IF(COUNT(I52:M52)=0,"",SUM(I52:M52)))</f>
        <v/>
      </c>
      <c r="Q52" s="22" t="str">
        <f aca="false">IF(OR(OR(A52="",B52=""),P52=""),"",IFERROR(P52/(IF(N(H52)&gt;0,H52,IF(N(G52)&gt;0,G52,IF(COUNTIFS($B$12:$B$211,B52,$G$12:$G$211,"&gt;0")+COUNTIFS($B$12:$B$211,B52,$H$12:$H$211,"&gt;0")&gt;0,"",INDEX($B$5:$B$7,MATCH(B52,$A$5:$A$7,0)))))),""))</f>
        <v/>
      </c>
      <c r="R52" s="23" t="str">
        <f aca="false">IF(OR(A52="",B52=""),"",IF(OR(Q52="",COUNTIFS($B$12:$B$211,B52,$Q$12:$Q$211,"&gt;=0")&lt;2),"No Data Yet",IFERROR(IF(Q52/AVERAGEIFS($Q$12:$Q$211,$B$12:$B$211,B52)&gt;=1.2,"Good",IF(Q52/AVERAGEIFS($Q$12:$Q$211,$B$12:$B$211,B52)&gt;=0.8,"Average","Below Standard")),"Average")))</f>
        <v/>
      </c>
      <c r="S52" s="24"/>
      <c r="T52" s="24"/>
      <c r="U52" s="20"/>
      <c r="V52" s="23" t="str">
        <f aca="false">IF(OR(A52="",B52=""),"","https://www.alphanodus.com/contact?utm_source="&amp;IF(B52="X","twitter",LOWER(B52))&amp;"&amp;utm_medium=social&amp;utm_campaign="&amp;IF(D52="","general",LOWER(SUBSTITUTE(SUBSTITUTE(D52," / ","-")," ","-")))&amp;"&amp;utm_content="&amp;LOWER(LEFT(B52,2))&amp;"-"&amp;TEXT(A52,"yymmdd"))</f>
        <v/>
      </c>
    </row>
    <row r="53" customFormat="false" ht="15" hidden="false" customHeight="false" outlineLevel="0" collapsed="false">
      <c r="A53" s="25"/>
      <c r="B53" s="20"/>
      <c r="C53" s="24"/>
      <c r="D53" s="20"/>
      <c r="E53" s="20"/>
      <c r="F53" s="20"/>
      <c r="G53" s="19"/>
      <c r="H53" s="19"/>
      <c r="I53" s="19"/>
      <c r="J53" s="19"/>
      <c r="K53" s="19"/>
      <c r="L53" s="19"/>
      <c r="M53" s="19"/>
      <c r="N53" s="19"/>
      <c r="O53" s="20"/>
      <c r="P53" s="21" t="str">
        <f aca="false">IF(OR(A53="",B53=""),"",IF(COUNT(I53:M53)=0,"",SUM(I53:M53)))</f>
        <v/>
      </c>
      <c r="Q53" s="22" t="str">
        <f aca="false">IF(OR(OR(A53="",B53=""),P53=""),"",IFERROR(P53/(IF(N(H53)&gt;0,H53,IF(N(G53)&gt;0,G53,IF(COUNTIFS($B$12:$B$211,B53,$G$12:$G$211,"&gt;0")+COUNTIFS($B$12:$B$211,B53,$H$12:$H$211,"&gt;0")&gt;0,"",INDEX($B$5:$B$7,MATCH(B53,$A$5:$A$7,0)))))),""))</f>
        <v/>
      </c>
      <c r="R53" s="23" t="str">
        <f aca="false">IF(OR(A53="",B53=""),"",IF(OR(Q53="",COUNTIFS($B$12:$B$211,B53,$Q$12:$Q$211,"&gt;=0")&lt;2),"No Data Yet",IFERROR(IF(Q53/AVERAGEIFS($Q$12:$Q$211,$B$12:$B$211,B53)&gt;=1.2,"Good",IF(Q53/AVERAGEIFS($Q$12:$Q$211,$B$12:$B$211,B53)&gt;=0.8,"Average","Below Standard")),"Average")))</f>
        <v/>
      </c>
      <c r="S53" s="24"/>
      <c r="T53" s="24"/>
      <c r="U53" s="20"/>
      <c r="V53" s="23" t="str">
        <f aca="false">IF(OR(A53="",B53=""),"","https://www.alphanodus.com/contact?utm_source="&amp;IF(B53="X","twitter",LOWER(B53))&amp;"&amp;utm_medium=social&amp;utm_campaign="&amp;IF(D53="","general",LOWER(SUBSTITUTE(SUBSTITUTE(D53," / ","-")," ","-")))&amp;"&amp;utm_content="&amp;LOWER(LEFT(B53,2))&amp;"-"&amp;TEXT(A53,"yymmdd"))</f>
        <v/>
      </c>
    </row>
    <row r="54" customFormat="false" ht="15" hidden="false" customHeight="false" outlineLevel="0" collapsed="false">
      <c r="A54" s="25"/>
      <c r="B54" s="20"/>
      <c r="C54" s="24"/>
      <c r="D54" s="20"/>
      <c r="E54" s="20"/>
      <c r="F54" s="20"/>
      <c r="G54" s="19"/>
      <c r="H54" s="19"/>
      <c r="I54" s="19"/>
      <c r="J54" s="19"/>
      <c r="K54" s="19"/>
      <c r="L54" s="19"/>
      <c r="M54" s="19"/>
      <c r="N54" s="19"/>
      <c r="O54" s="20"/>
      <c r="P54" s="21" t="str">
        <f aca="false">IF(OR(A54="",B54=""),"",IF(COUNT(I54:M54)=0,"",SUM(I54:M54)))</f>
        <v/>
      </c>
      <c r="Q54" s="22" t="str">
        <f aca="false">IF(OR(OR(A54="",B54=""),P54=""),"",IFERROR(P54/(IF(N(H54)&gt;0,H54,IF(N(G54)&gt;0,G54,IF(COUNTIFS($B$12:$B$211,B54,$G$12:$G$211,"&gt;0")+COUNTIFS($B$12:$B$211,B54,$H$12:$H$211,"&gt;0")&gt;0,"",INDEX($B$5:$B$7,MATCH(B54,$A$5:$A$7,0)))))),""))</f>
        <v/>
      </c>
      <c r="R54" s="23" t="str">
        <f aca="false">IF(OR(A54="",B54=""),"",IF(OR(Q54="",COUNTIFS($B$12:$B$211,B54,$Q$12:$Q$211,"&gt;=0")&lt;2),"No Data Yet",IFERROR(IF(Q54/AVERAGEIFS($Q$12:$Q$211,$B$12:$B$211,B54)&gt;=1.2,"Good",IF(Q54/AVERAGEIFS($Q$12:$Q$211,$B$12:$B$211,B54)&gt;=0.8,"Average","Below Standard")),"Average")))</f>
        <v/>
      </c>
      <c r="S54" s="24"/>
      <c r="T54" s="24"/>
      <c r="U54" s="20"/>
      <c r="V54" s="23" t="str">
        <f aca="false">IF(OR(A54="",B54=""),"","https://www.alphanodus.com/contact?utm_source="&amp;IF(B54="X","twitter",LOWER(B54))&amp;"&amp;utm_medium=social&amp;utm_campaign="&amp;IF(D54="","general",LOWER(SUBSTITUTE(SUBSTITUTE(D54," / ","-")," ","-")))&amp;"&amp;utm_content="&amp;LOWER(LEFT(B54,2))&amp;"-"&amp;TEXT(A54,"yymmdd"))</f>
        <v/>
      </c>
    </row>
    <row r="55" customFormat="false" ht="15" hidden="false" customHeight="false" outlineLevel="0" collapsed="false">
      <c r="A55" s="25"/>
      <c r="B55" s="20"/>
      <c r="C55" s="24"/>
      <c r="D55" s="20"/>
      <c r="E55" s="20"/>
      <c r="F55" s="20"/>
      <c r="G55" s="19"/>
      <c r="H55" s="19"/>
      <c r="I55" s="19"/>
      <c r="J55" s="19"/>
      <c r="K55" s="19"/>
      <c r="L55" s="19"/>
      <c r="M55" s="19"/>
      <c r="N55" s="19"/>
      <c r="O55" s="20"/>
      <c r="P55" s="21" t="str">
        <f aca="false">IF(OR(A55="",B55=""),"",IF(COUNT(I55:M55)=0,"",SUM(I55:M55)))</f>
        <v/>
      </c>
      <c r="Q55" s="22" t="str">
        <f aca="false">IF(OR(OR(A55="",B55=""),P55=""),"",IFERROR(P55/(IF(N(H55)&gt;0,H55,IF(N(G55)&gt;0,G55,IF(COUNTIFS($B$12:$B$211,B55,$G$12:$G$211,"&gt;0")+COUNTIFS($B$12:$B$211,B55,$H$12:$H$211,"&gt;0")&gt;0,"",INDEX($B$5:$B$7,MATCH(B55,$A$5:$A$7,0)))))),""))</f>
        <v/>
      </c>
      <c r="R55" s="23" t="str">
        <f aca="false">IF(OR(A55="",B55=""),"",IF(OR(Q55="",COUNTIFS($B$12:$B$211,B55,$Q$12:$Q$211,"&gt;=0")&lt;2),"No Data Yet",IFERROR(IF(Q55/AVERAGEIFS($Q$12:$Q$211,$B$12:$B$211,B55)&gt;=1.2,"Good",IF(Q55/AVERAGEIFS($Q$12:$Q$211,$B$12:$B$211,B55)&gt;=0.8,"Average","Below Standard")),"Average")))</f>
        <v/>
      </c>
      <c r="S55" s="24"/>
      <c r="T55" s="24"/>
      <c r="U55" s="20"/>
      <c r="V55" s="23" t="str">
        <f aca="false">IF(OR(A55="",B55=""),"","https://www.alphanodus.com/contact?utm_source="&amp;IF(B55="X","twitter",LOWER(B55))&amp;"&amp;utm_medium=social&amp;utm_campaign="&amp;IF(D55="","general",LOWER(SUBSTITUTE(SUBSTITUTE(D55," / ","-")," ","-")))&amp;"&amp;utm_content="&amp;LOWER(LEFT(B55,2))&amp;"-"&amp;TEXT(A55,"yymmdd"))</f>
        <v/>
      </c>
    </row>
    <row r="56" customFormat="false" ht="15" hidden="false" customHeight="false" outlineLevel="0" collapsed="false">
      <c r="A56" s="25"/>
      <c r="B56" s="20"/>
      <c r="C56" s="24"/>
      <c r="D56" s="20"/>
      <c r="E56" s="20"/>
      <c r="F56" s="20"/>
      <c r="G56" s="19"/>
      <c r="H56" s="19"/>
      <c r="I56" s="19"/>
      <c r="J56" s="19"/>
      <c r="K56" s="19"/>
      <c r="L56" s="19"/>
      <c r="M56" s="19"/>
      <c r="N56" s="19"/>
      <c r="O56" s="20"/>
      <c r="P56" s="21" t="str">
        <f aca="false">IF(OR(A56="",B56=""),"",IF(COUNT(I56:M56)=0,"",SUM(I56:M56)))</f>
        <v/>
      </c>
      <c r="Q56" s="22" t="str">
        <f aca="false">IF(OR(OR(A56="",B56=""),P56=""),"",IFERROR(P56/(IF(N(H56)&gt;0,H56,IF(N(G56)&gt;0,G56,IF(COUNTIFS($B$12:$B$211,B56,$G$12:$G$211,"&gt;0")+COUNTIFS($B$12:$B$211,B56,$H$12:$H$211,"&gt;0")&gt;0,"",INDEX($B$5:$B$7,MATCH(B56,$A$5:$A$7,0)))))),""))</f>
        <v/>
      </c>
      <c r="R56" s="23" t="str">
        <f aca="false">IF(OR(A56="",B56=""),"",IF(OR(Q56="",COUNTIFS($B$12:$B$211,B56,$Q$12:$Q$211,"&gt;=0")&lt;2),"No Data Yet",IFERROR(IF(Q56/AVERAGEIFS($Q$12:$Q$211,$B$12:$B$211,B56)&gt;=1.2,"Good",IF(Q56/AVERAGEIFS($Q$12:$Q$211,$B$12:$B$211,B56)&gt;=0.8,"Average","Below Standard")),"Average")))</f>
        <v/>
      </c>
      <c r="S56" s="24"/>
      <c r="T56" s="24"/>
      <c r="U56" s="20"/>
      <c r="V56" s="23" t="str">
        <f aca="false">IF(OR(A56="",B56=""),"","https://www.alphanodus.com/contact?utm_source="&amp;IF(B56="X","twitter",LOWER(B56))&amp;"&amp;utm_medium=social&amp;utm_campaign="&amp;IF(D56="","general",LOWER(SUBSTITUTE(SUBSTITUTE(D56," / ","-")," ","-")))&amp;"&amp;utm_content="&amp;LOWER(LEFT(B56,2))&amp;"-"&amp;TEXT(A56,"yymmdd"))</f>
        <v/>
      </c>
    </row>
    <row r="57" customFormat="false" ht="15" hidden="false" customHeight="false" outlineLevel="0" collapsed="false">
      <c r="A57" s="25"/>
      <c r="B57" s="20"/>
      <c r="C57" s="24"/>
      <c r="D57" s="20"/>
      <c r="E57" s="20"/>
      <c r="F57" s="20"/>
      <c r="G57" s="19"/>
      <c r="H57" s="19"/>
      <c r="I57" s="19"/>
      <c r="J57" s="19"/>
      <c r="K57" s="19"/>
      <c r="L57" s="19"/>
      <c r="M57" s="19"/>
      <c r="N57" s="19"/>
      <c r="O57" s="20"/>
      <c r="P57" s="21" t="str">
        <f aca="false">IF(OR(A57="",B57=""),"",IF(COUNT(I57:M57)=0,"",SUM(I57:M57)))</f>
        <v/>
      </c>
      <c r="Q57" s="22" t="str">
        <f aca="false">IF(OR(OR(A57="",B57=""),P57=""),"",IFERROR(P57/(IF(N(H57)&gt;0,H57,IF(N(G57)&gt;0,G57,IF(COUNTIFS($B$12:$B$211,B57,$G$12:$G$211,"&gt;0")+COUNTIFS($B$12:$B$211,B57,$H$12:$H$211,"&gt;0")&gt;0,"",INDEX($B$5:$B$7,MATCH(B57,$A$5:$A$7,0)))))),""))</f>
        <v/>
      </c>
      <c r="R57" s="23" t="str">
        <f aca="false">IF(OR(A57="",B57=""),"",IF(OR(Q57="",COUNTIFS($B$12:$B$211,B57,$Q$12:$Q$211,"&gt;=0")&lt;2),"No Data Yet",IFERROR(IF(Q57/AVERAGEIFS($Q$12:$Q$211,$B$12:$B$211,B57)&gt;=1.2,"Good",IF(Q57/AVERAGEIFS($Q$12:$Q$211,$B$12:$B$211,B57)&gt;=0.8,"Average","Below Standard")),"Average")))</f>
        <v/>
      </c>
      <c r="S57" s="24"/>
      <c r="T57" s="24"/>
      <c r="U57" s="20"/>
      <c r="V57" s="23" t="str">
        <f aca="false">IF(OR(A57="",B57=""),"","https://www.alphanodus.com/contact?utm_source="&amp;IF(B57="X","twitter",LOWER(B57))&amp;"&amp;utm_medium=social&amp;utm_campaign="&amp;IF(D57="","general",LOWER(SUBSTITUTE(SUBSTITUTE(D57," / ","-")," ","-")))&amp;"&amp;utm_content="&amp;LOWER(LEFT(B57,2))&amp;"-"&amp;TEXT(A57,"yymmdd"))</f>
        <v/>
      </c>
    </row>
    <row r="58" customFormat="false" ht="15" hidden="false" customHeight="false" outlineLevel="0" collapsed="false">
      <c r="A58" s="25"/>
      <c r="B58" s="20"/>
      <c r="C58" s="24"/>
      <c r="D58" s="20"/>
      <c r="E58" s="20"/>
      <c r="F58" s="20"/>
      <c r="G58" s="19"/>
      <c r="H58" s="19"/>
      <c r="I58" s="19"/>
      <c r="J58" s="19"/>
      <c r="K58" s="19"/>
      <c r="L58" s="19"/>
      <c r="M58" s="19"/>
      <c r="N58" s="19"/>
      <c r="O58" s="20"/>
      <c r="P58" s="21" t="str">
        <f aca="false">IF(OR(A58="",B58=""),"",IF(COUNT(I58:M58)=0,"",SUM(I58:M58)))</f>
        <v/>
      </c>
      <c r="Q58" s="22" t="str">
        <f aca="false">IF(OR(OR(A58="",B58=""),P58=""),"",IFERROR(P58/(IF(N(H58)&gt;0,H58,IF(N(G58)&gt;0,G58,IF(COUNTIFS($B$12:$B$211,B58,$G$12:$G$211,"&gt;0")+COUNTIFS($B$12:$B$211,B58,$H$12:$H$211,"&gt;0")&gt;0,"",INDEX($B$5:$B$7,MATCH(B58,$A$5:$A$7,0)))))),""))</f>
        <v/>
      </c>
      <c r="R58" s="23" t="str">
        <f aca="false">IF(OR(A58="",B58=""),"",IF(OR(Q58="",COUNTIFS($B$12:$B$211,B58,$Q$12:$Q$211,"&gt;=0")&lt;2),"No Data Yet",IFERROR(IF(Q58/AVERAGEIFS($Q$12:$Q$211,$B$12:$B$211,B58)&gt;=1.2,"Good",IF(Q58/AVERAGEIFS($Q$12:$Q$211,$B$12:$B$211,B58)&gt;=0.8,"Average","Below Standard")),"Average")))</f>
        <v/>
      </c>
      <c r="S58" s="24"/>
      <c r="T58" s="24"/>
      <c r="U58" s="20"/>
      <c r="V58" s="23" t="str">
        <f aca="false">IF(OR(A58="",B58=""),"","https://www.alphanodus.com/contact?utm_source="&amp;IF(B58="X","twitter",LOWER(B58))&amp;"&amp;utm_medium=social&amp;utm_campaign="&amp;IF(D58="","general",LOWER(SUBSTITUTE(SUBSTITUTE(D58," / ","-")," ","-")))&amp;"&amp;utm_content="&amp;LOWER(LEFT(B58,2))&amp;"-"&amp;TEXT(A58,"yymmdd"))</f>
        <v/>
      </c>
    </row>
    <row r="59" customFormat="false" ht="15" hidden="false" customHeight="false" outlineLevel="0" collapsed="false">
      <c r="A59" s="25"/>
      <c r="B59" s="20"/>
      <c r="C59" s="24"/>
      <c r="D59" s="20"/>
      <c r="E59" s="20"/>
      <c r="F59" s="20"/>
      <c r="G59" s="19"/>
      <c r="H59" s="19"/>
      <c r="I59" s="19"/>
      <c r="J59" s="19"/>
      <c r="K59" s="19"/>
      <c r="L59" s="19"/>
      <c r="M59" s="19"/>
      <c r="N59" s="19"/>
      <c r="O59" s="20"/>
      <c r="P59" s="21" t="str">
        <f aca="false">IF(OR(A59="",B59=""),"",IF(COUNT(I59:M59)=0,"",SUM(I59:M59)))</f>
        <v/>
      </c>
      <c r="Q59" s="22" t="str">
        <f aca="false">IF(OR(OR(A59="",B59=""),P59=""),"",IFERROR(P59/(IF(N(H59)&gt;0,H59,IF(N(G59)&gt;0,G59,IF(COUNTIFS($B$12:$B$211,B59,$G$12:$G$211,"&gt;0")+COUNTIFS($B$12:$B$211,B59,$H$12:$H$211,"&gt;0")&gt;0,"",INDEX($B$5:$B$7,MATCH(B59,$A$5:$A$7,0)))))),""))</f>
        <v/>
      </c>
      <c r="R59" s="23" t="str">
        <f aca="false">IF(OR(A59="",B59=""),"",IF(OR(Q59="",COUNTIFS($B$12:$B$211,B59,$Q$12:$Q$211,"&gt;=0")&lt;2),"No Data Yet",IFERROR(IF(Q59/AVERAGEIFS($Q$12:$Q$211,$B$12:$B$211,B59)&gt;=1.2,"Good",IF(Q59/AVERAGEIFS($Q$12:$Q$211,$B$12:$B$211,B59)&gt;=0.8,"Average","Below Standard")),"Average")))</f>
        <v/>
      </c>
      <c r="S59" s="24"/>
      <c r="T59" s="24"/>
      <c r="U59" s="20"/>
      <c r="V59" s="23" t="str">
        <f aca="false">IF(OR(A59="",B59=""),"","https://www.alphanodus.com/contact?utm_source="&amp;IF(B59="X","twitter",LOWER(B59))&amp;"&amp;utm_medium=social&amp;utm_campaign="&amp;IF(D59="","general",LOWER(SUBSTITUTE(SUBSTITUTE(D59," / ","-")," ","-")))&amp;"&amp;utm_content="&amp;LOWER(LEFT(B59,2))&amp;"-"&amp;TEXT(A59,"yymmdd"))</f>
        <v/>
      </c>
    </row>
    <row r="60" customFormat="false" ht="15" hidden="false" customHeight="false" outlineLevel="0" collapsed="false">
      <c r="A60" s="25"/>
      <c r="B60" s="20"/>
      <c r="C60" s="24"/>
      <c r="D60" s="20"/>
      <c r="E60" s="20"/>
      <c r="F60" s="20"/>
      <c r="G60" s="19"/>
      <c r="H60" s="19"/>
      <c r="I60" s="19"/>
      <c r="J60" s="19"/>
      <c r="K60" s="19"/>
      <c r="L60" s="19"/>
      <c r="M60" s="19"/>
      <c r="N60" s="19"/>
      <c r="O60" s="20"/>
      <c r="P60" s="21" t="str">
        <f aca="false">IF(OR(A60="",B60=""),"",IF(COUNT(I60:M60)=0,"",SUM(I60:M60)))</f>
        <v/>
      </c>
      <c r="Q60" s="22" t="str">
        <f aca="false">IF(OR(OR(A60="",B60=""),P60=""),"",IFERROR(P60/(IF(N(H60)&gt;0,H60,IF(N(G60)&gt;0,G60,IF(COUNTIFS($B$12:$B$211,B60,$G$12:$G$211,"&gt;0")+COUNTIFS($B$12:$B$211,B60,$H$12:$H$211,"&gt;0")&gt;0,"",INDEX($B$5:$B$7,MATCH(B60,$A$5:$A$7,0)))))),""))</f>
        <v/>
      </c>
      <c r="R60" s="23" t="str">
        <f aca="false">IF(OR(A60="",B60=""),"",IF(OR(Q60="",COUNTIFS($B$12:$B$211,B60,$Q$12:$Q$211,"&gt;=0")&lt;2),"No Data Yet",IFERROR(IF(Q60/AVERAGEIFS($Q$12:$Q$211,$B$12:$B$211,B60)&gt;=1.2,"Good",IF(Q60/AVERAGEIFS($Q$12:$Q$211,$B$12:$B$211,B60)&gt;=0.8,"Average","Below Standard")),"Average")))</f>
        <v/>
      </c>
      <c r="S60" s="24"/>
      <c r="T60" s="24"/>
      <c r="U60" s="20"/>
      <c r="V60" s="23" t="str">
        <f aca="false">IF(OR(A60="",B60=""),"","https://www.alphanodus.com/contact?utm_source="&amp;IF(B60="X","twitter",LOWER(B60))&amp;"&amp;utm_medium=social&amp;utm_campaign="&amp;IF(D60="","general",LOWER(SUBSTITUTE(SUBSTITUTE(D60," / ","-")," ","-")))&amp;"&amp;utm_content="&amp;LOWER(LEFT(B60,2))&amp;"-"&amp;TEXT(A60,"yymmdd"))</f>
        <v/>
      </c>
    </row>
    <row r="61" customFormat="false" ht="15" hidden="false" customHeight="false" outlineLevel="0" collapsed="false">
      <c r="A61" s="25"/>
      <c r="B61" s="20"/>
      <c r="C61" s="24"/>
      <c r="D61" s="20"/>
      <c r="E61" s="20"/>
      <c r="F61" s="20"/>
      <c r="G61" s="19"/>
      <c r="H61" s="19"/>
      <c r="I61" s="19"/>
      <c r="J61" s="19"/>
      <c r="K61" s="19"/>
      <c r="L61" s="19"/>
      <c r="M61" s="19"/>
      <c r="N61" s="19"/>
      <c r="O61" s="20"/>
      <c r="P61" s="21" t="str">
        <f aca="false">IF(OR(A61="",B61=""),"",IF(COUNT(I61:M61)=0,"",SUM(I61:M61)))</f>
        <v/>
      </c>
      <c r="Q61" s="22" t="str">
        <f aca="false">IF(OR(OR(A61="",B61=""),P61=""),"",IFERROR(P61/(IF(N(H61)&gt;0,H61,IF(N(G61)&gt;0,G61,IF(COUNTIFS($B$12:$B$211,B61,$G$12:$G$211,"&gt;0")+COUNTIFS($B$12:$B$211,B61,$H$12:$H$211,"&gt;0")&gt;0,"",INDEX($B$5:$B$7,MATCH(B61,$A$5:$A$7,0)))))),""))</f>
        <v/>
      </c>
      <c r="R61" s="23" t="str">
        <f aca="false">IF(OR(A61="",B61=""),"",IF(OR(Q61="",COUNTIFS($B$12:$B$211,B61,$Q$12:$Q$211,"&gt;=0")&lt;2),"No Data Yet",IFERROR(IF(Q61/AVERAGEIFS($Q$12:$Q$211,$B$12:$B$211,B61)&gt;=1.2,"Good",IF(Q61/AVERAGEIFS($Q$12:$Q$211,$B$12:$B$211,B61)&gt;=0.8,"Average","Below Standard")),"Average")))</f>
        <v/>
      </c>
      <c r="S61" s="24"/>
      <c r="T61" s="24"/>
      <c r="U61" s="20"/>
      <c r="V61" s="23" t="str">
        <f aca="false">IF(OR(A61="",B61=""),"","https://www.alphanodus.com/contact?utm_source="&amp;IF(B61="X","twitter",LOWER(B61))&amp;"&amp;utm_medium=social&amp;utm_campaign="&amp;IF(D61="","general",LOWER(SUBSTITUTE(SUBSTITUTE(D61," / ","-")," ","-")))&amp;"&amp;utm_content="&amp;LOWER(LEFT(B61,2))&amp;"-"&amp;TEXT(A61,"yymmdd"))</f>
        <v/>
      </c>
    </row>
    <row r="62" customFormat="false" ht="15" hidden="false" customHeight="false" outlineLevel="0" collapsed="false">
      <c r="A62" s="25"/>
      <c r="B62" s="20"/>
      <c r="C62" s="24"/>
      <c r="D62" s="20"/>
      <c r="E62" s="20"/>
      <c r="F62" s="20"/>
      <c r="G62" s="19"/>
      <c r="H62" s="19"/>
      <c r="I62" s="19"/>
      <c r="J62" s="19"/>
      <c r="K62" s="19"/>
      <c r="L62" s="19"/>
      <c r="M62" s="19"/>
      <c r="N62" s="19"/>
      <c r="O62" s="20"/>
      <c r="P62" s="21" t="str">
        <f aca="false">IF(OR(A62="",B62=""),"",IF(COUNT(I62:M62)=0,"",SUM(I62:M62)))</f>
        <v/>
      </c>
      <c r="Q62" s="22" t="str">
        <f aca="false">IF(OR(OR(A62="",B62=""),P62=""),"",IFERROR(P62/(IF(N(H62)&gt;0,H62,IF(N(G62)&gt;0,G62,IF(COUNTIFS($B$12:$B$211,B62,$G$12:$G$211,"&gt;0")+COUNTIFS($B$12:$B$211,B62,$H$12:$H$211,"&gt;0")&gt;0,"",INDEX($B$5:$B$7,MATCH(B62,$A$5:$A$7,0)))))),""))</f>
        <v/>
      </c>
      <c r="R62" s="23" t="str">
        <f aca="false">IF(OR(A62="",B62=""),"",IF(OR(Q62="",COUNTIFS($B$12:$B$211,B62,$Q$12:$Q$211,"&gt;=0")&lt;2),"No Data Yet",IFERROR(IF(Q62/AVERAGEIFS($Q$12:$Q$211,$B$12:$B$211,B62)&gt;=1.2,"Good",IF(Q62/AVERAGEIFS($Q$12:$Q$211,$B$12:$B$211,B62)&gt;=0.8,"Average","Below Standard")),"Average")))</f>
        <v/>
      </c>
      <c r="S62" s="24"/>
      <c r="T62" s="24"/>
      <c r="U62" s="20"/>
      <c r="V62" s="23" t="str">
        <f aca="false">IF(OR(A62="",B62=""),"","https://www.alphanodus.com/contact?utm_source="&amp;IF(B62="X","twitter",LOWER(B62))&amp;"&amp;utm_medium=social&amp;utm_campaign="&amp;IF(D62="","general",LOWER(SUBSTITUTE(SUBSTITUTE(D62," / ","-")," ","-")))&amp;"&amp;utm_content="&amp;LOWER(LEFT(B62,2))&amp;"-"&amp;TEXT(A62,"yymmdd"))</f>
        <v/>
      </c>
    </row>
    <row r="63" customFormat="false" ht="15" hidden="false" customHeight="false" outlineLevel="0" collapsed="false">
      <c r="A63" s="25"/>
      <c r="B63" s="20"/>
      <c r="C63" s="24"/>
      <c r="D63" s="20"/>
      <c r="E63" s="20"/>
      <c r="F63" s="20"/>
      <c r="G63" s="19"/>
      <c r="H63" s="19"/>
      <c r="I63" s="19"/>
      <c r="J63" s="19"/>
      <c r="K63" s="19"/>
      <c r="L63" s="19"/>
      <c r="M63" s="19"/>
      <c r="N63" s="19"/>
      <c r="O63" s="20"/>
      <c r="P63" s="21" t="str">
        <f aca="false">IF(OR(A63="",B63=""),"",IF(COUNT(I63:M63)=0,"",SUM(I63:M63)))</f>
        <v/>
      </c>
      <c r="Q63" s="22" t="str">
        <f aca="false">IF(OR(OR(A63="",B63=""),P63=""),"",IFERROR(P63/(IF(N(H63)&gt;0,H63,IF(N(G63)&gt;0,G63,IF(COUNTIFS($B$12:$B$211,B63,$G$12:$G$211,"&gt;0")+COUNTIFS($B$12:$B$211,B63,$H$12:$H$211,"&gt;0")&gt;0,"",INDEX($B$5:$B$7,MATCH(B63,$A$5:$A$7,0)))))),""))</f>
        <v/>
      </c>
      <c r="R63" s="23" t="str">
        <f aca="false">IF(OR(A63="",B63=""),"",IF(OR(Q63="",COUNTIFS($B$12:$B$211,B63,$Q$12:$Q$211,"&gt;=0")&lt;2),"No Data Yet",IFERROR(IF(Q63/AVERAGEIFS($Q$12:$Q$211,$B$12:$B$211,B63)&gt;=1.2,"Good",IF(Q63/AVERAGEIFS($Q$12:$Q$211,$B$12:$B$211,B63)&gt;=0.8,"Average","Below Standard")),"Average")))</f>
        <v/>
      </c>
      <c r="S63" s="24"/>
      <c r="T63" s="24"/>
      <c r="U63" s="20"/>
      <c r="V63" s="23" t="str">
        <f aca="false">IF(OR(A63="",B63=""),"","https://www.alphanodus.com/contact?utm_source="&amp;IF(B63="X","twitter",LOWER(B63))&amp;"&amp;utm_medium=social&amp;utm_campaign="&amp;IF(D63="","general",LOWER(SUBSTITUTE(SUBSTITUTE(D63," / ","-")," ","-")))&amp;"&amp;utm_content="&amp;LOWER(LEFT(B63,2))&amp;"-"&amp;TEXT(A63,"yymmdd"))</f>
        <v/>
      </c>
    </row>
    <row r="64" customFormat="false" ht="15" hidden="false" customHeight="false" outlineLevel="0" collapsed="false">
      <c r="A64" s="25"/>
      <c r="B64" s="20"/>
      <c r="C64" s="24"/>
      <c r="D64" s="20"/>
      <c r="E64" s="20"/>
      <c r="F64" s="20"/>
      <c r="G64" s="19"/>
      <c r="H64" s="19"/>
      <c r="I64" s="19"/>
      <c r="J64" s="19"/>
      <c r="K64" s="19"/>
      <c r="L64" s="19"/>
      <c r="M64" s="19"/>
      <c r="N64" s="19"/>
      <c r="O64" s="20"/>
      <c r="P64" s="21" t="str">
        <f aca="false">IF(OR(A64="",B64=""),"",IF(COUNT(I64:M64)=0,"",SUM(I64:M64)))</f>
        <v/>
      </c>
      <c r="Q64" s="22" t="str">
        <f aca="false">IF(OR(OR(A64="",B64=""),P64=""),"",IFERROR(P64/(IF(N(H64)&gt;0,H64,IF(N(G64)&gt;0,G64,IF(COUNTIFS($B$12:$B$211,B64,$G$12:$G$211,"&gt;0")+COUNTIFS($B$12:$B$211,B64,$H$12:$H$211,"&gt;0")&gt;0,"",INDEX($B$5:$B$7,MATCH(B64,$A$5:$A$7,0)))))),""))</f>
        <v/>
      </c>
      <c r="R64" s="23" t="str">
        <f aca="false">IF(OR(A64="",B64=""),"",IF(OR(Q64="",COUNTIFS($B$12:$B$211,B64,$Q$12:$Q$211,"&gt;=0")&lt;2),"No Data Yet",IFERROR(IF(Q64/AVERAGEIFS($Q$12:$Q$211,$B$12:$B$211,B64)&gt;=1.2,"Good",IF(Q64/AVERAGEIFS($Q$12:$Q$211,$B$12:$B$211,B64)&gt;=0.8,"Average","Below Standard")),"Average")))</f>
        <v/>
      </c>
      <c r="S64" s="24"/>
      <c r="T64" s="24"/>
      <c r="U64" s="20"/>
      <c r="V64" s="23" t="str">
        <f aca="false">IF(OR(A64="",B64=""),"","https://www.alphanodus.com/contact?utm_source="&amp;IF(B64="X","twitter",LOWER(B64))&amp;"&amp;utm_medium=social&amp;utm_campaign="&amp;IF(D64="","general",LOWER(SUBSTITUTE(SUBSTITUTE(D64," / ","-")," ","-")))&amp;"&amp;utm_content="&amp;LOWER(LEFT(B64,2))&amp;"-"&amp;TEXT(A64,"yymmdd"))</f>
        <v/>
      </c>
    </row>
    <row r="65" customFormat="false" ht="15" hidden="false" customHeight="false" outlineLevel="0" collapsed="false">
      <c r="A65" s="25"/>
      <c r="B65" s="20"/>
      <c r="C65" s="24"/>
      <c r="D65" s="20"/>
      <c r="E65" s="20"/>
      <c r="F65" s="20"/>
      <c r="G65" s="19"/>
      <c r="H65" s="19"/>
      <c r="I65" s="19"/>
      <c r="J65" s="19"/>
      <c r="K65" s="19"/>
      <c r="L65" s="19"/>
      <c r="M65" s="19"/>
      <c r="N65" s="19"/>
      <c r="O65" s="20"/>
      <c r="P65" s="21" t="str">
        <f aca="false">IF(OR(A65="",B65=""),"",IF(COUNT(I65:M65)=0,"",SUM(I65:M65)))</f>
        <v/>
      </c>
      <c r="Q65" s="22" t="str">
        <f aca="false">IF(OR(OR(A65="",B65=""),P65=""),"",IFERROR(P65/(IF(N(H65)&gt;0,H65,IF(N(G65)&gt;0,G65,IF(COUNTIFS($B$12:$B$211,B65,$G$12:$G$211,"&gt;0")+COUNTIFS($B$12:$B$211,B65,$H$12:$H$211,"&gt;0")&gt;0,"",INDEX($B$5:$B$7,MATCH(B65,$A$5:$A$7,0)))))),""))</f>
        <v/>
      </c>
      <c r="R65" s="23" t="str">
        <f aca="false">IF(OR(A65="",B65=""),"",IF(OR(Q65="",COUNTIFS($B$12:$B$211,B65,$Q$12:$Q$211,"&gt;=0")&lt;2),"No Data Yet",IFERROR(IF(Q65/AVERAGEIFS($Q$12:$Q$211,$B$12:$B$211,B65)&gt;=1.2,"Good",IF(Q65/AVERAGEIFS($Q$12:$Q$211,$B$12:$B$211,B65)&gt;=0.8,"Average","Below Standard")),"Average")))</f>
        <v/>
      </c>
      <c r="S65" s="24"/>
      <c r="T65" s="24"/>
      <c r="U65" s="20"/>
      <c r="V65" s="23" t="str">
        <f aca="false">IF(OR(A65="",B65=""),"","https://www.alphanodus.com/contact?utm_source="&amp;IF(B65="X","twitter",LOWER(B65))&amp;"&amp;utm_medium=social&amp;utm_campaign="&amp;IF(D65="","general",LOWER(SUBSTITUTE(SUBSTITUTE(D65," / ","-")," ","-")))&amp;"&amp;utm_content="&amp;LOWER(LEFT(B65,2))&amp;"-"&amp;TEXT(A65,"yymmdd"))</f>
        <v/>
      </c>
    </row>
    <row r="66" customFormat="false" ht="15" hidden="false" customHeight="false" outlineLevel="0" collapsed="false">
      <c r="A66" s="25"/>
      <c r="B66" s="20"/>
      <c r="C66" s="24"/>
      <c r="D66" s="20"/>
      <c r="E66" s="20"/>
      <c r="F66" s="20"/>
      <c r="G66" s="19"/>
      <c r="H66" s="19"/>
      <c r="I66" s="19"/>
      <c r="J66" s="19"/>
      <c r="K66" s="19"/>
      <c r="L66" s="19"/>
      <c r="M66" s="19"/>
      <c r="N66" s="19"/>
      <c r="O66" s="20"/>
      <c r="P66" s="21" t="str">
        <f aca="false">IF(OR(A66="",B66=""),"",IF(COUNT(I66:M66)=0,"",SUM(I66:M66)))</f>
        <v/>
      </c>
      <c r="Q66" s="22" t="str">
        <f aca="false">IF(OR(OR(A66="",B66=""),P66=""),"",IFERROR(P66/(IF(N(H66)&gt;0,H66,IF(N(G66)&gt;0,G66,IF(COUNTIFS($B$12:$B$211,B66,$G$12:$G$211,"&gt;0")+COUNTIFS($B$12:$B$211,B66,$H$12:$H$211,"&gt;0")&gt;0,"",INDEX($B$5:$B$7,MATCH(B66,$A$5:$A$7,0)))))),""))</f>
        <v/>
      </c>
      <c r="R66" s="23" t="str">
        <f aca="false">IF(OR(A66="",B66=""),"",IF(OR(Q66="",COUNTIFS($B$12:$B$211,B66,$Q$12:$Q$211,"&gt;=0")&lt;2),"No Data Yet",IFERROR(IF(Q66/AVERAGEIFS($Q$12:$Q$211,$B$12:$B$211,B66)&gt;=1.2,"Good",IF(Q66/AVERAGEIFS($Q$12:$Q$211,$B$12:$B$211,B66)&gt;=0.8,"Average","Below Standard")),"Average")))</f>
        <v/>
      </c>
      <c r="S66" s="24"/>
      <c r="T66" s="24"/>
      <c r="U66" s="20"/>
      <c r="V66" s="23" t="str">
        <f aca="false">IF(OR(A66="",B66=""),"","https://www.alphanodus.com/contact?utm_source="&amp;IF(B66="X","twitter",LOWER(B66))&amp;"&amp;utm_medium=social&amp;utm_campaign="&amp;IF(D66="","general",LOWER(SUBSTITUTE(SUBSTITUTE(D66," / ","-")," ","-")))&amp;"&amp;utm_content="&amp;LOWER(LEFT(B66,2))&amp;"-"&amp;TEXT(A66,"yymmdd"))</f>
        <v/>
      </c>
    </row>
    <row r="67" customFormat="false" ht="15" hidden="false" customHeight="false" outlineLevel="0" collapsed="false">
      <c r="A67" s="25"/>
      <c r="B67" s="20"/>
      <c r="C67" s="24"/>
      <c r="D67" s="20"/>
      <c r="E67" s="20"/>
      <c r="F67" s="20"/>
      <c r="G67" s="19"/>
      <c r="H67" s="19"/>
      <c r="I67" s="19"/>
      <c r="J67" s="19"/>
      <c r="K67" s="19"/>
      <c r="L67" s="19"/>
      <c r="M67" s="19"/>
      <c r="N67" s="19"/>
      <c r="O67" s="20"/>
      <c r="P67" s="21" t="str">
        <f aca="false">IF(OR(A67="",B67=""),"",IF(COUNT(I67:M67)=0,"",SUM(I67:M67)))</f>
        <v/>
      </c>
      <c r="Q67" s="22" t="str">
        <f aca="false">IF(OR(OR(A67="",B67=""),P67=""),"",IFERROR(P67/(IF(N(H67)&gt;0,H67,IF(N(G67)&gt;0,G67,IF(COUNTIFS($B$12:$B$211,B67,$G$12:$G$211,"&gt;0")+COUNTIFS($B$12:$B$211,B67,$H$12:$H$211,"&gt;0")&gt;0,"",INDEX($B$5:$B$7,MATCH(B67,$A$5:$A$7,0)))))),""))</f>
        <v/>
      </c>
      <c r="R67" s="23" t="str">
        <f aca="false">IF(OR(A67="",B67=""),"",IF(OR(Q67="",COUNTIFS($B$12:$B$211,B67,$Q$12:$Q$211,"&gt;=0")&lt;2),"No Data Yet",IFERROR(IF(Q67/AVERAGEIFS($Q$12:$Q$211,$B$12:$B$211,B67)&gt;=1.2,"Good",IF(Q67/AVERAGEIFS($Q$12:$Q$211,$B$12:$B$211,B67)&gt;=0.8,"Average","Below Standard")),"Average")))</f>
        <v/>
      </c>
      <c r="S67" s="24"/>
      <c r="T67" s="24"/>
      <c r="U67" s="20"/>
      <c r="V67" s="23" t="str">
        <f aca="false">IF(OR(A67="",B67=""),"","https://www.alphanodus.com/contact?utm_source="&amp;IF(B67="X","twitter",LOWER(B67))&amp;"&amp;utm_medium=social&amp;utm_campaign="&amp;IF(D67="","general",LOWER(SUBSTITUTE(SUBSTITUTE(D67," / ","-")," ","-")))&amp;"&amp;utm_content="&amp;LOWER(LEFT(B67,2))&amp;"-"&amp;TEXT(A67,"yymmdd"))</f>
        <v/>
      </c>
    </row>
    <row r="68" customFormat="false" ht="15" hidden="false" customHeight="false" outlineLevel="0" collapsed="false">
      <c r="A68" s="25"/>
      <c r="B68" s="20"/>
      <c r="C68" s="24"/>
      <c r="D68" s="20"/>
      <c r="E68" s="20"/>
      <c r="F68" s="20"/>
      <c r="G68" s="19"/>
      <c r="H68" s="19"/>
      <c r="I68" s="19"/>
      <c r="J68" s="19"/>
      <c r="K68" s="19"/>
      <c r="L68" s="19"/>
      <c r="M68" s="19"/>
      <c r="N68" s="19"/>
      <c r="O68" s="20"/>
      <c r="P68" s="21" t="str">
        <f aca="false">IF(OR(A68="",B68=""),"",IF(COUNT(I68:M68)=0,"",SUM(I68:M68)))</f>
        <v/>
      </c>
      <c r="Q68" s="22" t="str">
        <f aca="false">IF(OR(OR(A68="",B68=""),P68=""),"",IFERROR(P68/(IF(N(H68)&gt;0,H68,IF(N(G68)&gt;0,G68,IF(COUNTIFS($B$12:$B$211,B68,$G$12:$G$211,"&gt;0")+COUNTIFS($B$12:$B$211,B68,$H$12:$H$211,"&gt;0")&gt;0,"",INDEX($B$5:$B$7,MATCH(B68,$A$5:$A$7,0)))))),""))</f>
        <v/>
      </c>
      <c r="R68" s="23" t="str">
        <f aca="false">IF(OR(A68="",B68=""),"",IF(OR(Q68="",COUNTIFS($B$12:$B$211,B68,$Q$12:$Q$211,"&gt;=0")&lt;2),"No Data Yet",IFERROR(IF(Q68/AVERAGEIFS($Q$12:$Q$211,$B$12:$B$211,B68)&gt;=1.2,"Good",IF(Q68/AVERAGEIFS($Q$12:$Q$211,$B$12:$B$211,B68)&gt;=0.8,"Average","Below Standard")),"Average")))</f>
        <v/>
      </c>
      <c r="S68" s="24"/>
      <c r="T68" s="24"/>
      <c r="U68" s="20"/>
      <c r="V68" s="23" t="str">
        <f aca="false">IF(OR(A68="",B68=""),"","https://www.alphanodus.com/contact?utm_source="&amp;IF(B68="X","twitter",LOWER(B68))&amp;"&amp;utm_medium=social&amp;utm_campaign="&amp;IF(D68="","general",LOWER(SUBSTITUTE(SUBSTITUTE(D68," / ","-")," ","-")))&amp;"&amp;utm_content="&amp;LOWER(LEFT(B68,2))&amp;"-"&amp;TEXT(A68,"yymmdd"))</f>
        <v/>
      </c>
    </row>
    <row r="69" customFormat="false" ht="15" hidden="false" customHeight="false" outlineLevel="0" collapsed="false">
      <c r="A69" s="25"/>
      <c r="B69" s="20"/>
      <c r="C69" s="24"/>
      <c r="D69" s="20"/>
      <c r="E69" s="20"/>
      <c r="F69" s="20"/>
      <c r="G69" s="19"/>
      <c r="H69" s="19"/>
      <c r="I69" s="19"/>
      <c r="J69" s="19"/>
      <c r="K69" s="19"/>
      <c r="L69" s="19"/>
      <c r="M69" s="19"/>
      <c r="N69" s="19"/>
      <c r="O69" s="20"/>
      <c r="P69" s="21" t="str">
        <f aca="false">IF(OR(A69="",B69=""),"",IF(COUNT(I69:M69)=0,"",SUM(I69:M69)))</f>
        <v/>
      </c>
      <c r="Q69" s="22" t="str">
        <f aca="false">IF(OR(OR(A69="",B69=""),P69=""),"",IFERROR(P69/(IF(N(H69)&gt;0,H69,IF(N(G69)&gt;0,G69,IF(COUNTIFS($B$12:$B$211,B69,$G$12:$G$211,"&gt;0")+COUNTIFS($B$12:$B$211,B69,$H$12:$H$211,"&gt;0")&gt;0,"",INDEX($B$5:$B$7,MATCH(B69,$A$5:$A$7,0)))))),""))</f>
        <v/>
      </c>
      <c r="R69" s="23" t="str">
        <f aca="false">IF(OR(A69="",B69=""),"",IF(OR(Q69="",COUNTIFS($B$12:$B$211,B69,$Q$12:$Q$211,"&gt;=0")&lt;2),"No Data Yet",IFERROR(IF(Q69/AVERAGEIFS($Q$12:$Q$211,$B$12:$B$211,B69)&gt;=1.2,"Good",IF(Q69/AVERAGEIFS($Q$12:$Q$211,$B$12:$B$211,B69)&gt;=0.8,"Average","Below Standard")),"Average")))</f>
        <v/>
      </c>
      <c r="S69" s="24"/>
      <c r="T69" s="24"/>
      <c r="U69" s="20"/>
      <c r="V69" s="23" t="str">
        <f aca="false">IF(OR(A69="",B69=""),"","https://www.alphanodus.com/contact?utm_source="&amp;IF(B69="X","twitter",LOWER(B69))&amp;"&amp;utm_medium=social&amp;utm_campaign="&amp;IF(D69="","general",LOWER(SUBSTITUTE(SUBSTITUTE(D69," / ","-")," ","-")))&amp;"&amp;utm_content="&amp;LOWER(LEFT(B69,2))&amp;"-"&amp;TEXT(A69,"yymmdd"))</f>
        <v/>
      </c>
    </row>
    <row r="70" customFormat="false" ht="15" hidden="false" customHeight="false" outlineLevel="0" collapsed="false">
      <c r="A70" s="25"/>
      <c r="B70" s="20"/>
      <c r="C70" s="24"/>
      <c r="D70" s="20"/>
      <c r="E70" s="20"/>
      <c r="F70" s="20"/>
      <c r="G70" s="19"/>
      <c r="H70" s="19"/>
      <c r="I70" s="19"/>
      <c r="J70" s="19"/>
      <c r="K70" s="19"/>
      <c r="L70" s="19"/>
      <c r="M70" s="19"/>
      <c r="N70" s="19"/>
      <c r="O70" s="20"/>
      <c r="P70" s="21" t="str">
        <f aca="false">IF(OR(A70="",B70=""),"",IF(COUNT(I70:M70)=0,"",SUM(I70:M70)))</f>
        <v/>
      </c>
      <c r="Q70" s="22" t="str">
        <f aca="false">IF(OR(OR(A70="",B70=""),P70=""),"",IFERROR(P70/(IF(N(H70)&gt;0,H70,IF(N(G70)&gt;0,G70,IF(COUNTIFS($B$12:$B$211,B70,$G$12:$G$211,"&gt;0")+COUNTIFS($B$12:$B$211,B70,$H$12:$H$211,"&gt;0")&gt;0,"",INDEX($B$5:$B$7,MATCH(B70,$A$5:$A$7,0)))))),""))</f>
        <v/>
      </c>
      <c r="R70" s="23" t="str">
        <f aca="false">IF(OR(A70="",B70=""),"",IF(OR(Q70="",COUNTIFS($B$12:$B$211,B70,$Q$12:$Q$211,"&gt;=0")&lt;2),"No Data Yet",IFERROR(IF(Q70/AVERAGEIFS($Q$12:$Q$211,$B$12:$B$211,B70)&gt;=1.2,"Good",IF(Q70/AVERAGEIFS($Q$12:$Q$211,$B$12:$B$211,B70)&gt;=0.8,"Average","Below Standard")),"Average")))</f>
        <v/>
      </c>
      <c r="S70" s="24"/>
      <c r="T70" s="24"/>
      <c r="U70" s="20"/>
      <c r="V70" s="23" t="str">
        <f aca="false">IF(OR(A70="",B70=""),"","https://www.alphanodus.com/contact?utm_source="&amp;IF(B70="X","twitter",LOWER(B70))&amp;"&amp;utm_medium=social&amp;utm_campaign="&amp;IF(D70="","general",LOWER(SUBSTITUTE(SUBSTITUTE(D70," / ","-")," ","-")))&amp;"&amp;utm_content="&amp;LOWER(LEFT(B70,2))&amp;"-"&amp;TEXT(A70,"yymmdd"))</f>
        <v/>
      </c>
    </row>
    <row r="71" customFormat="false" ht="15" hidden="false" customHeight="false" outlineLevel="0" collapsed="false">
      <c r="A71" s="25"/>
      <c r="B71" s="20"/>
      <c r="C71" s="24"/>
      <c r="D71" s="20"/>
      <c r="E71" s="20"/>
      <c r="F71" s="20"/>
      <c r="G71" s="19"/>
      <c r="H71" s="19"/>
      <c r="I71" s="19"/>
      <c r="J71" s="19"/>
      <c r="K71" s="19"/>
      <c r="L71" s="19"/>
      <c r="M71" s="19"/>
      <c r="N71" s="19"/>
      <c r="O71" s="20"/>
      <c r="P71" s="21" t="str">
        <f aca="false">IF(OR(A71="",B71=""),"",IF(COUNT(I71:M71)=0,"",SUM(I71:M71)))</f>
        <v/>
      </c>
      <c r="Q71" s="22" t="str">
        <f aca="false">IF(OR(OR(A71="",B71=""),P71=""),"",IFERROR(P71/(IF(N(H71)&gt;0,H71,IF(N(G71)&gt;0,G71,IF(COUNTIFS($B$12:$B$211,B71,$G$12:$G$211,"&gt;0")+COUNTIFS($B$12:$B$211,B71,$H$12:$H$211,"&gt;0")&gt;0,"",INDEX($B$5:$B$7,MATCH(B71,$A$5:$A$7,0)))))),""))</f>
        <v/>
      </c>
      <c r="R71" s="23" t="str">
        <f aca="false">IF(OR(A71="",B71=""),"",IF(OR(Q71="",COUNTIFS($B$12:$B$211,B71,$Q$12:$Q$211,"&gt;=0")&lt;2),"No Data Yet",IFERROR(IF(Q71/AVERAGEIFS($Q$12:$Q$211,$B$12:$B$211,B71)&gt;=1.2,"Good",IF(Q71/AVERAGEIFS($Q$12:$Q$211,$B$12:$B$211,B71)&gt;=0.8,"Average","Below Standard")),"Average")))</f>
        <v/>
      </c>
      <c r="S71" s="24"/>
      <c r="T71" s="24"/>
      <c r="U71" s="20"/>
      <c r="V71" s="23" t="str">
        <f aca="false">IF(OR(A71="",B71=""),"","https://www.alphanodus.com/contact?utm_source="&amp;IF(B71="X","twitter",LOWER(B71))&amp;"&amp;utm_medium=social&amp;utm_campaign="&amp;IF(D71="","general",LOWER(SUBSTITUTE(SUBSTITUTE(D71," / ","-")," ","-")))&amp;"&amp;utm_content="&amp;LOWER(LEFT(B71,2))&amp;"-"&amp;TEXT(A71,"yymmdd"))</f>
        <v/>
      </c>
    </row>
    <row r="72" customFormat="false" ht="15" hidden="false" customHeight="false" outlineLevel="0" collapsed="false">
      <c r="A72" s="25"/>
      <c r="B72" s="20"/>
      <c r="C72" s="24"/>
      <c r="D72" s="20"/>
      <c r="E72" s="20"/>
      <c r="F72" s="20"/>
      <c r="G72" s="19"/>
      <c r="H72" s="19"/>
      <c r="I72" s="19"/>
      <c r="J72" s="19"/>
      <c r="K72" s="19"/>
      <c r="L72" s="19"/>
      <c r="M72" s="19"/>
      <c r="N72" s="19"/>
      <c r="O72" s="20"/>
      <c r="P72" s="21" t="str">
        <f aca="false">IF(OR(A72="",B72=""),"",IF(COUNT(I72:M72)=0,"",SUM(I72:M72)))</f>
        <v/>
      </c>
      <c r="Q72" s="22" t="str">
        <f aca="false">IF(OR(OR(A72="",B72=""),P72=""),"",IFERROR(P72/(IF(N(H72)&gt;0,H72,IF(N(G72)&gt;0,G72,IF(COUNTIFS($B$12:$B$211,B72,$G$12:$G$211,"&gt;0")+COUNTIFS($B$12:$B$211,B72,$H$12:$H$211,"&gt;0")&gt;0,"",INDEX($B$5:$B$7,MATCH(B72,$A$5:$A$7,0)))))),""))</f>
        <v/>
      </c>
      <c r="R72" s="23" t="str">
        <f aca="false">IF(OR(A72="",B72=""),"",IF(OR(Q72="",COUNTIFS($B$12:$B$211,B72,$Q$12:$Q$211,"&gt;=0")&lt;2),"No Data Yet",IFERROR(IF(Q72/AVERAGEIFS($Q$12:$Q$211,$B$12:$B$211,B72)&gt;=1.2,"Good",IF(Q72/AVERAGEIFS($Q$12:$Q$211,$B$12:$B$211,B72)&gt;=0.8,"Average","Below Standard")),"Average")))</f>
        <v/>
      </c>
      <c r="S72" s="24"/>
      <c r="T72" s="24"/>
      <c r="U72" s="20"/>
      <c r="V72" s="23" t="str">
        <f aca="false">IF(OR(A72="",B72=""),"","https://www.alphanodus.com/contact?utm_source="&amp;IF(B72="X","twitter",LOWER(B72))&amp;"&amp;utm_medium=social&amp;utm_campaign="&amp;IF(D72="","general",LOWER(SUBSTITUTE(SUBSTITUTE(D72," / ","-")," ","-")))&amp;"&amp;utm_content="&amp;LOWER(LEFT(B72,2))&amp;"-"&amp;TEXT(A72,"yymmdd"))</f>
        <v/>
      </c>
    </row>
    <row r="73" customFormat="false" ht="15" hidden="false" customHeight="false" outlineLevel="0" collapsed="false">
      <c r="A73" s="25"/>
      <c r="B73" s="20"/>
      <c r="C73" s="24"/>
      <c r="D73" s="20"/>
      <c r="E73" s="20"/>
      <c r="F73" s="20"/>
      <c r="G73" s="19"/>
      <c r="H73" s="19"/>
      <c r="I73" s="19"/>
      <c r="J73" s="19"/>
      <c r="K73" s="19"/>
      <c r="L73" s="19"/>
      <c r="M73" s="19"/>
      <c r="N73" s="19"/>
      <c r="O73" s="20"/>
      <c r="P73" s="21" t="str">
        <f aca="false">IF(OR(A73="",B73=""),"",IF(COUNT(I73:M73)=0,"",SUM(I73:M73)))</f>
        <v/>
      </c>
      <c r="Q73" s="22" t="str">
        <f aca="false">IF(OR(OR(A73="",B73=""),P73=""),"",IFERROR(P73/(IF(N(H73)&gt;0,H73,IF(N(G73)&gt;0,G73,IF(COUNTIFS($B$12:$B$211,B73,$G$12:$G$211,"&gt;0")+COUNTIFS($B$12:$B$211,B73,$H$12:$H$211,"&gt;0")&gt;0,"",INDEX($B$5:$B$7,MATCH(B73,$A$5:$A$7,0)))))),""))</f>
        <v/>
      </c>
      <c r="R73" s="23" t="str">
        <f aca="false">IF(OR(A73="",B73=""),"",IF(OR(Q73="",COUNTIFS($B$12:$B$211,B73,$Q$12:$Q$211,"&gt;=0")&lt;2),"No Data Yet",IFERROR(IF(Q73/AVERAGEIFS($Q$12:$Q$211,$B$12:$B$211,B73)&gt;=1.2,"Good",IF(Q73/AVERAGEIFS($Q$12:$Q$211,$B$12:$B$211,B73)&gt;=0.8,"Average","Below Standard")),"Average")))</f>
        <v/>
      </c>
      <c r="S73" s="24"/>
      <c r="T73" s="24"/>
      <c r="U73" s="20"/>
      <c r="V73" s="23" t="str">
        <f aca="false">IF(OR(A73="",B73=""),"","https://www.alphanodus.com/contact?utm_source="&amp;IF(B73="X","twitter",LOWER(B73))&amp;"&amp;utm_medium=social&amp;utm_campaign="&amp;IF(D73="","general",LOWER(SUBSTITUTE(SUBSTITUTE(D73," / ","-")," ","-")))&amp;"&amp;utm_content="&amp;LOWER(LEFT(B73,2))&amp;"-"&amp;TEXT(A73,"yymmdd"))</f>
        <v/>
      </c>
    </row>
    <row r="74" customFormat="false" ht="15" hidden="false" customHeight="false" outlineLevel="0" collapsed="false">
      <c r="A74" s="25"/>
      <c r="B74" s="20"/>
      <c r="C74" s="24"/>
      <c r="D74" s="20"/>
      <c r="E74" s="20"/>
      <c r="F74" s="20"/>
      <c r="G74" s="19"/>
      <c r="H74" s="19"/>
      <c r="I74" s="19"/>
      <c r="J74" s="19"/>
      <c r="K74" s="19"/>
      <c r="L74" s="19"/>
      <c r="M74" s="19"/>
      <c r="N74" s="19"/>
      <c r="O74" s="20"/>
      <c r="P74" s="21" t="str">
        <f aca="false">IF(OR(A74="",B74=""),"",IF(COUNT(I74:M74)=0,"",SUM(I74:M74)))</f>
        <v/>
      </c>
      <c r="Q74" s="22" t="str">
        <f aca="false">IF(OR(OR(A74="",B74=""),P74=""),"",IFERROR(P74/(IF(N(H74)&gt;0,H74,IF(N(G74)&gt;0,G74,IF(COUNTIFS($B$12:$B$211,B74,$G$12:$G$211,"&gt;0")+COUNTIFS($B$12:$B$211,B74,$H$12:$H$211,"&gt;0")&gt;0,"",INDEX($B$5:$B$7,MATCH(B74,$A$5:$A$7,0)))))),""))</f>
        <v/>
      </c>
      <c r="R74" s="23" t="str">
        <f aca="false">IF(OR(A74="",B74=""),"",IF(OR(Q74="",COUNTIFS($B$12:$B$211,B74,$Q$12:$Q$211,"&gt;=0")&lt;2),"No Data Yet",IFERROR(IF(Q74/AVERAGEIFS($Q$12:$Q$211,$B$12:$B$211,B74)&gt;=1.2,"Good",IF(Q74/AVERAGEIFS($Q$12:$Q$211,$B$12:$B$211,B74)&gt;=0.8,"Average","Below Standard")),"Average")))</f>
        <v/>
      </c>
      <c r="S74" s="24"/>
      <c r="T74" s="24"/>
      <c r="U74" s="20"/>
      <c r="V74" s="23" t="str">
        <f aca="false">IF(OR(A74="",B74=""),"","https://www.alphanodus.com/contact?utm_source="&amp;IF(B74="X","twitter",LOWER(B74))&amp;"&amp;utm_medium=social&amp;utm_campaign="&amp;IF(D74="","general",LOWER(SUBSTITUTE(SUBSTITUTE(D74," / ","-")," ","-")))&amp;"&amp;utm_content="&amp;LOWER(LEFT(B74,2))&amp;"-"&amp;TEXT(A74,"yymmdd"))</f>
        <v/>
      </c>
    </row>
    <row r="75" customFormat="false" ht="15" hidden="false" customHeight="false" outlineLevel="0" collapsed="false">
      <c r="A75" s="25"/>
      <c r="B75" s="20"/>
      <c r="C75" s="24"/>
      <c r="D75" s="20"/>
      <c r="E75" s="20"/>
      <c r="F75" s="20"/>
      <c r="G75" s="19"/>
      <c r="H75" s="19"/>
      <c r="I75" s="19"/>
      <c r="J75" s="19"/>
      <c r="K75" s="19"/>
      <c r="L75" s="19"/>
      <c r="M75" s="19"/>
      <c r="N75" s="19"/>
      <c r="O75" s="20"/>
      <c r="P75" s="21" t="str">
        <f aca="false">IF(OR(A75="",B75=""),"",IF(COUNT(I75:M75)=0,"",SUM(I75:M75)))</f>
        <v/>
      </c>
      <c r="Q75" s="22" t="str">
        <f aca="false">IF(OR(OR(A75="",B75=""),P75=""),"",IFERROR(P75/(IF(N(H75)&gt;0,H75,IF(N(G75)&gt;0,G75,IF(COUNTIFS($B$12:$B$211,B75,$G$12:$G$211,"&gt;0")+COUNTIFS($B$12:$B$211,B75,$H$12:$H$211,"&gt;0")&gt;0,"",INDEX($B$5:$B$7,MATCH(B75,$A$5:$A$7,0)))))),""))</f>
        <v/>
      </c>
      <c r="R75" s="23" t="str">
        <f aca="false">IF(OR(A75="",B75=""),"",IF(OR(Q75="",COUNTIFS($B$12:$B$211,B75,$Q$12:$Q$211,"&gt;=0")&lt;2),"No Data Yet",IFERROR(IF(Q75/AVERAGEIFS($Q$12:$Q$211,$B$12:$B$211,B75)&gt;=1.2,"Good",IF(Q75/AVERAGEIFS($Q$12:$Q$211,$B$12:$B$211,B75)&gt;=0.8,"Average","Below Standard")),"Average")))</f>
        <v/>
      </c>
      <c r="S75" s="24"/>
      <c r="T75" s="24"/>
      <c r="U75" s="20"/>
      <c r="V75" s="23" t="str">
        <f aca="false">IF(OR(A75="",B75=""),"","https://www.alphanodus.com/contact?utm_source="&amp;IF(B75="X","twitter",LOWER(B75))&amp;"&amp;utm_medium=social&amp;utm_campaign="&amp;IF(D75="","general",LOWER(SUBSTITUTE(SUBSTITUTE(D75," / ","-")," ","-")))&amp;"&amp;utm_content="&amp;LOWER(LEFT(B75,2))&amp;"-"&amp;TEXT(A75,"yymmdd"))</f>
        <v/>
      </c>
    </row>
    <row r="76" customFormat="false" ht="15" hidden="false" customHeight="false" outlineLevel="0" collapsed="false">
      <c r="A76" s="25"/>
      <c r="B76" s="20"/>
      <c r="C76" s="24"/>
      <c r="D76" s="20"/>
      <c r="E76" s="20"/>
      <c r="F76" s="20"/>
      <c r="G76" s="19"/>
      <c r="H76" s="19"/>
      <c r="I76" s="19"/>
      <c r="J76" s="19"/>
      <c r="K76" s="19"/>
      <c r="L76" s="19"/>
      <c r="M76" s="19"/>
      <c r="N76" s="19"/>
      <c r="O76" s="20"/>
      <c r="P76" s="21" t="str">
        <f aca="false">IF(OR(A76="",B76=""),"",IF(COUNT(I76:M76)=0,"",SUM(I76:M76)))</f>
        <v/>
      </c>
      <c r="Q76" s="22" t="str">
        <f aca="false">IF(OR(OR(A76="",B76=""),P76=""),"",IFERROR(P76/(IF(N(H76)&gt;0,H76,IF(N(G76)&gt;0,G76,IF(COUNTIFS($B$12:$B$211,B76,$G$12:$G$211,"&gt;0")+COUNTIFS($B$12:$B$211,B76,$H$12:$H$211,"&gt;0")&gt;0,"",INDEX($B$5:$B$7,MATCH(B76,$A$5:$A$7,0)))))),""))</f>
        <v/>
      </c>
      <c r="R76" s="23" t="str">
        <f aca="false">IF(OR(A76="",B76=""),"",IF(OR(Q76="",COUNTIFS($B$12:$B$211,B76,$Q$12:$Q$211,"&gt;=0")&lt;2),"No Data Yet",IFERROR(IF(Q76/AVERAGEIFS($Q$12:$Q$211,$B$12:$B$211,B76)&gt;=1.2,"Good",IF(Q76/AVERAGEIFS($Q$12:$Q$211,$B$12:$B$211,B76)&gt;=0.8,"Average","Below Standard")),"Average")))</f>
        <v/>
      </c>
      <c r="S76" s="24"/>
      <c r="T76" s="24"/>
      <c r="U76" s="20"/>
      <c r="V76" s="23" t="str">
        <f aca="false">IF(OR(A76="",B76=""),"","https://www.alphanodus.com/contact?utm_source="&amp;IF(B76="X","twitter",LOWER(B76))&amp;"&amp;utm_medium=social&amp;utm_campaign="&amp;IF(D76="","general",LOWER(SUBSTITUTE(SUBSTITUTE(D76," / ","-")," ","-")))&amp;"&amp;utm_content="&amp;LOWER(LEFT(B76,2))&amp;"-"&amp;TEXT(A76,"yymmdd"))</f>
        <v/>
      </c>
    </row>
    <row r="77" customFormat="false" ht="15" hidden="false" customHeight="false" outlineLevel="0" collapsed="false">
      <c r="A77" s="25"/>
      <c r="B77" s="20"/>
      <c r="C77" s="24"/>
      <c r="D77" s="20"/>
      <c r="E77" s="20"/>
      <c r="F77" s="20"/>
      <c r="G77" s="19"/>
      <c r="H77" s="19"/>
      <c r="I77" s="19"/>
      <c r="J77" s="19"/>
      <c r="K77" s="19"/>
      <c r="L77" s="19"/>
      <c r="M77" s="19"/>
      <c r="N77" s="19"/>
      <c r="O77" s="20"/>
      <c r="P77" s="21" t="str">
        <f aca="false">IF(OR(A77="",B77=""),"",IF(COUNT(I77:M77)=0,"",SUM(I77:M77)))</f>
        <v/>
      </c>
      <c r="Q77" s="22" t="str">
        <f aca="false">IF(OR(OR(A77="",B77=""),P77=""),"",IFERROR(P77/(IF(N(H77)&gt;0,H77,IF(N(G77)&gt;0,G77,IF(COUNTIFS($B$12:$B$211,B77,$G$12:$G$211,"&gt;0")+COUNTIFS($B$12:$B$211,B77,$H$12:$H$211,"&gt;0")&gt;0,"",INDEX($B$5:$B$7,MATCH(B77,$A$5:$A$7,0)))))),""))</f>
        <v/>
      </c>
      <c r="R77" s="23" t="str">
        <f aca="false">IF(OR(A77="",B77=""),"",IF(OR(Q77="",COUNTIFS($B$12:$B$211,B77,$Q$12:$Q$211,"&gt;=0")&lt;2),"No Data Yet",IFERROR(IF(Q77/AVERAGEIFS($Q$12:$Q$211,$B$12:$B$211,B77)&gt;=1.2,"Good",IF(Q77/AVERAGEIFS($Q$12:$Q$211,$B$12:$B$211,B77)&gt;=0.8,"Average","Below Standard")),"Average")))</f>
        <v/>
      </c>
      <c r="S77" s="24"/>
      <c r="T77" s="24"/>
      <c r="U77" s="20"/>
      <c r="V77" s="23" t="str">
        <f aca="false">IF(OR(A77="",B77=""),"","https://www.alphanodus.com/contact?utm_source="&amp;IF(B77="X","twitter",LOWER(B77))&amp;"&amp;utm_medium=social&amp;utm_campaign="&amp;IF(D77="","general",LOWER(SUBSTITUTE(SUBSTITUTE(D77," / ","-")," ","-")))&amp;"&amp;utm_content="&amp;LOWER(LEFT(B77,2))&amp;"-"&amp;TEXT(A77,"yymmdd"))</f>
        <v/>
      </c>
    </row>
    <row r="78" customFormat="false" ht="15" hidden="false" customHeight="false" outlineLevel="0" collapsed="false">
      <c r="A78" s="25"/>
      <c r="B78" s="20"/>
      <c r="C78" s="24"/>
      <c r="D78" s="20"/>
      <c r="E78" s="20"/>
      <c r="F78" s="20"/>
      <c r="G78" s="19"/>
      <c r="H78" s="19"/>
      <c r="I78" s="19"/>
      <c r="J78" s="19"/>
      <c r="K78" s="19"/>
      <c r="L78" s="19"/>
      <c r="M78" s="19"/>
      <c r="N78" s="19"/>
      <c r="O78" s="20"/>
      <c r="P78" s="21" t="str">
        <f aca="false">IF(OR(A78="",B78=""),"",IF(COUNT(I78:M78)=0,"",SUM(I78:M78)))</f>
        <v/>
      </c>
      <c r="Q78" s="22" t="str">
        <f aca="false">IF(OR(OR(A78="",B78=""),P78=""),"",IFERROR(P78/(IF(N(H78)&gt;0,H78,IF(N(G78)&gt;0,G78,IF(COUNTIFS($B$12:$B$211,B78,$G$12:$G$211,"&gt;0")+COUNTIFS($B$12:$B$211,B78,$H$12:$H$211,"&gt;0")&gt;0,"",INDEX($B$5:$B$7,MATCH(B78,$A$5:$A$7,0)))))),""))</f>
        <v/>
      </c>
      <c r="R78" s="23" t="str">
        <f aca="false">IF(OR(A78="",B78=""),"",IF(OR(Q78="",COUNTIFS($B$12:$B$211,B78,$Q$12:$Q$211,"&gt;=0")&lt;2),"No Data Yet",IFERROR(IF(Q78/AVERAGEIFS($Q$12:$Q$211,$B$12:$B$211,B78)&gt;=1.2,"Good",IF(Q78/AVERAGEIFS($Q$12:$Q$211,$B$12:$B$211,B78)&gt;=0.8,"Average","Below Standard")),"Average")))</f>
        <v/>
      </c>
      <c r="S78" s="24"/>
      <c r="T78" s="24"/>
      <c r="U78" s="20"/>
      <c r="V78" s="23" t="str">
        <f aca="false">IF(OR(A78="",B78=""),"","https://www.alphanodus.com/contact?utm_source="&amp;IF(B78="X","twitter",LOWER(B78))&amp;"&amp;utm_medium=social&amp;utm_campaign="&amp;IF(D78="","general",LOWER(SUBSTITUTE(SUBSTITUTE(D78," / ","-")," ","-")))&amp;"&amp;utm_content="&amp;LOWER(LEFT(B78,2))&amp;"-"&amp;TEXT(A78,"yymmdd"))</f>
        <v/>
      </c>
    </row>
    <row r="79" customFormat="false" ht="15" hidden="false" customHeight="false" outlineLevel="0" collapsed="false">
      <c r="A79" s="25"/>
      <c r="B79" s="20"/>
      <c r="C79" s="24"/>
      <c r="D79" s="20"/>
      <c r="E79" s="20"/>
      <c r="F79" s="20"/>
      <c r="G79" s="19"/>
      <c r="H79" s="19"/>
      <c r="I79" s="19"/>
      <c r="J79" s="19"/>
      <c r="K79" s="19"/>
      <c r="L79" s="19"/>
      <c r="M79" s="19"/>
      <c r="N79" s="19"/>
      <c r="O79" s="20"/>
      <c r="P79" s="21" t="str">
        <f aca="false">IF(OR(A79="",B79=""),"",IF(COUNT(I79:M79)=0,"",SUM(I79:M79)))</f>
        <v/>
      </c>
      <c r="Q79" s="22" t="str">
        <f aca="false">IF(OR(OR(A79="",B79=""),P79=""),"",IFERROR(P79/(IF(N(H79)&gt;0,H79,IF(N(G79)&gt;0,G79,IF(COUNTIFS($B$12:$B$211,B79,$G$12:$G$211,"&gt;0")+COUNTIFS($B$12:$B$211,B79,$H$12:$H$211,"&gt;0")&gt;0,"",INDEX($B$5:$B$7,MATCH(B79,$A$5:$A$7,0)))))),""))</f>
        <v/>
      </c>
      <c r="R79" s="23" t="str">
        <f aca="false">IF(OR(A79="",B79=""),"",IF(OR(Q79="",COUNTIFS($B$12:$B$211,B79,$Q$12:$Q$211,"&gt;=0")&lt;2),"No Data Yet",IFERROR(IF(Q79/AVERAGEIFS($Q$12:$Q$211,$B$12:$B$211,B79)&gt;=1.2,"Good",IF(Q79/AVERAGEIFS($Q$12:$Q$211,$B$12:$B$211,B79)&gt;=0.8,"Average","Below Standard")),"Average")))</f>
        <v/>
      </c>
      <c r="S79" s="24"/>
      <c r="T79" s="24"/>
      <c r="U79" s="20"/>
      <c r="V79" s="23" t="str">
        <f aca="false">IF(OR(A79="",B79=""),"","https://www.alphanodus.com/contact?utm_source="&amp;IF(B79="X","twitter",LOWER(B79))&amp;"&amp;utm_medium=social&amp;utm_campaign="&amp;IF(D79="","general",LOWER(SUBSTITUTE(SUBSTITUTE(D79," / ","-")," ","-")))&amp;"&amp;utm_content="&amp;LOWER(LEFT(B79,2))&amp;"-"&amp;TEXT(A79,"yymmdd"))</f>
        <v/>
      </c>
    </row>
    <row r="80" customFormat="false" ht="15" hidden="false" customHeight="false" outlineLevel="0" collapsed="false">
      <c r="A80" s="25"/>
      <c r="B80" s="20"/>
      <c r="C80" s="24"/>
      <c r="D80" s="20"/>
      <c r="E80" s="20"/>
      <c r="F80" s="20"/>
      <c r="G80" s="19"/>
      <c r="H80" s="19"/>
      <c r="I80" s="19"/>
      <c r="J80" s="19"/>
      <c r="K80" s="19"/>
      <c r="L80" s="19"/>
      <c r="M80" s="19"/>
      <c r="N80" s="19"/>
      <c r="O80" s="20"/>
      <c r="P80" s="21" t="str">
        <f aca="false">IF(OR(A80="",B80=""),"",IF(COUNT(I80:M80)=0,"",SUM(I80:M80)))</f>
        <v/>
      </c>
      <c r="Q80" s="22" t="str">
        <f aca="false">IF(OR(OR(A80="",B80=""),P80=""),"",IFERROR(P80/(IF(N(H80)&gt;0,H80,IF(N(G80)&gt;0,G80,IF(COUNTIFS($B$12:$B$211,B80,$G$12:$G$211,"&gt;0")+COUNTIFS($B$12:$B$211,B80,$H$12:$H$211,"&gt;0")&gt;0,"",INDEX($B$5:$B$7,MATCH(B80,$A$5:$A$7,0)))))),""))</f>
        <v/>
      </c>
      <c r="R80" s="23" t="str">
        <f aca="false">IF(OR(A80="",B80=""),"",IF(OR(Q80="",COUNTIFS($B$12:$B$211,B80,$Q$12:$Q$211,"&gt;=0")&lt;2),"No Data Yet",IFERROR(IF(Q80/AVERAGEIFS($Q$12:$Q$211,$B$12:$B$211,B80)&gt;=1.2,"Good",IF(Q80/AVERAGEIFS($Q$12:$Q$211,$B$12:$B$211,B80)&gt;=0.8,"Average","Below Standard")),"Average")))</f>
        <v/>
      </c>
      <c r="S80" s="24"/>
      <c r="T80" s="24"/>
      <c r="U80" s="20"/>
      <c r="V80" s="23" t="str">
        <f aca="false">IF(OR(A80="",B80=""),"","https://www.alphanodus.com/contact?utm_source="&amp;IF(B80="X","twitter",LOWER(B80))&amp;"&amp;utm_medium=social&amp;utm_campaign="&amp;IF(D80="","general",LOWER(SUBSTITUTE(SUBSTITUTE(D80," / ","-")," ","-")))&amp;"&amp;utm_content="&amp;LOWER(LEFT(B80,2))&amp;"-"&amp;TEXT(A80,"yymmdd"))</f>
        <v/>
      </c>
    </row>
    <row r="81" customFormat="false" ht="15" hidden="false" customHeight="false" outlineLevel="0" collapsed="false">
      <c r="A81" s="25"/>
      <c r="B81" s="20"/>
      <c r="C81" s="24"/>
      <c r="D81" s="20"/>
      <c r="E81" s="20"/>
      <c r="F81" s="20"/>
      <c r="G81" s="19"/>
      <c r="H81" s="19"/>
      <c r="I81" s="19"/>
      <c r="J81" s="19"/>
      <c r="K81" s="19"/>
      <c r="L81" s="19"/>
      <c r="M81" s="19"/>
      <c r="N81" s="19"/>
      <c r="O81" s="20"/>
      <c r="P81" s="21" t="str">
        <f aca="false">IF(OR(A81="",B81=""),"",IF(COUNT(I81:M81)=0,"",SUM(I81:M81)))</f>
        <v/>
      </c>
      <c r="Q81" s="22" t="str">
        <f aca="false">IF(OR(OR(A81="",B81=""),P81=""),"",IFERROR(P81/(IF(N(H81)&gt;0,H81,IF(N(G81)&gt;0,G81,IF(COUNTIFS($B$12:$B$211,B81,$G$12:$G$211,"&gt;0")+COUNTIFS($B$12:$B$211,B81,$H$12:$H$211,"&gt;0")&gt;0,"",INDEX($B$5:$B$7,MATCH(B81,$A$5:$A$7,0)))))),""))</f>
        <v/>
      </c>
      <c r="R81" s="23" t="str">
        <f aca="false">IF(OR(A81="",B81=""),"",IF(OR(Q81="",COUNTIFS($B$12:$B$211,B81,$Q$12:$Q$211,"&gt;=0")&lt;2),"No Data Yet",IFERROR(IF(Q81/AVERAGEIFS($Q$12:$Q$211,$B$12:$B$211,B81)&gt;=1.2,"Good",IF(Q81/AVERAGEIFS($Q$12:$Q$211,$B$12:$B$211,B81)&gt;=0.8,"Average","Below Standard")),"Average")))</f>
        <v/>
      </c>
      <c r="S81" s="24"/>
      <c r="T81" s="24"/>
      <c r="U81" s="20"/>
      <c r="V81" s="23" t="str">
        <f aca="false">IF(OR(A81="",B81=""),"","https://www.alphanodus.com/contact?utm_source="&amp;IF(B81="X","twitter",LOWER(B81))&amp;"&amp;utm_medium=social&amp;utm_campaign="&amp;IF(D81="","general",LOWER(SUBSTITUTE(SUBSTITUTE(D81," / ","-")," ","-")))&amp;"&amp;utm_content="&amp;LOWER(LEFT(B81,2))&amp;"-"&amp;TEXT(A81,"yymmdd"))</f>
        <v/>
      </c>
    </row>
    <row r="82" customFormat="false" ht="15" hidden="false" customHeight="false" outlineLevel="0" collapsed="false">
      <c r="A82" s="25"/>
      <c r="B82" s="20"/>
      <c r="C82" s="24"/>
      <c r="D82" s="20"/>
      <c r="E82" s="20"/>
      <c r="F82" s="20"/>
      <c r="G82" s="19"/>
      <c r="H82" s="19"/>
      <c r="I82" s="19"/>
      <c r="J82" s="19"/>
      <c r="K82" s="19"/>
      <c r="L82" s="19"/>
      <c r="M82" s="19"/>
      <c r="N82" s="19"/>
      <c r="O82" s="20"/>
      <c r="P82" s="21" t="str">
        <f aca="false">IF(OR(A82="",B82=""),"",IF(COUNT(I82:M82)=0,"",SUM(I82:M82)))</f>
        <v/>
      </c>
      <c r="Q82" s="22" t="str">
        <f aca="false">IF(OR(OR(A82="",B82=""),P82=""),"",IFERROR(P82/(IF(N(H82)&gt;0,H82,IF(N(G82)&gt;0,G82,IF(COUNTIFS($B$12:$B$211,B82,$G$12:$G$211,"&gt;0")+COUNTIFS($B$12:$B$211,B82,$H$12:$H$211,"&gt;0")&gt;0,"",INDEX($B$5:$B$7,MATCH(B82,$A$5:$A$7,0)))))),""))</f>
        <v/>
      </c>
      <c r="R82" s="23" t="str">
        <f aca="false">IF(OR(A82="",B82=""),"",IF(OR(Q82="",COUNTIFS($B$12:$B$211,B82,$Q$12:$Q$211,"&gt;=0")&lt;2),"No Data Yet",IFERROR(IF(Q82/AVERAGEIFS($Q$12:$Q$211,$B$12:$B$211,B82)&gt;=1.2,"Good",IF(Q82/AVERAGEIFS($Q$12:$Q$211,$B$12:$B$211,B82)&gt;=0.8,"Average","Below Standard")),"Average")))</f>
        <v/>
      </c>
      <c r="S82" s="24"/>
      <c r="T82" s="24"/>
      <c r="U82" s="20"/>
      <c r="V82" s="23" t="str">
        <f aca="false">IF(OR(A82="",B82=""),"","https://www.alphanodus.com/contact?utm_source="&amp;IF(B82="X","twitter",LOWER(B82))&amp;"&amp;utm_medium=social&amp;utm_campaign="&amp;IF(D82="","general",LOWER(SUBSTITUTE(SUBSTITUTE(D82," / ","-")," ","-")))&amp;"&amp;utm_content="&amp;LOWER(LEFT(B82,2))&amp;"-"&amp;TEXT(A82,"yymmdd"))</f>
        <v/>
      </c>
    </row>
    <row r="83" customFormat="false" ht="15" hidden="false" customHeight="false" outlineLevel="0" collapsed="false">
      <c r="A83" s="25"/>
      <c r="B83" s="20"/>
      <c r="C83" s="24"/>
      <c r="D83" s="20"/>
      <c r="E83" s="20"/>
      <c r="F83" s="20"/>
      <c r="G83" s="19"/>
      <c r="H83" s="19"/>
      <c r="I83" s="19"/>
      <c r="J83" s="19"/>
      <c r="K83" s="19"/>
      <c r="L83" s="19"/>
      <c r="M83" s="19"/>
      <c r="N83" s="19"/>
      <c r="O83" s="20"/>
      <c r="P83" s="21" t="str">
        <f aca="false">IF(OR(A83="",B83=""),"",IF(COUNT(I83:M83)=0,"",SUM(I83:M83)))</f>
        <v/>
      </c>
      <c r="Q83" s="22" t="str">
        <f aca="false">IF(OR(OR(A83="",B83=""),P83=""),"",IFERROR(P83/(IF(N(H83)&gt;0,H83,IF(N(G83)&gt;0,G83,IF(COUNTIFS($B$12:$B$211,B83,$G$12:$G$211,"&gt;0")+COUNTIFS($B$12:$B$211,B83,$H$12:$H$211,"&gt;0")&gt;0,"",INDEX($B$5:$B$7,MATCH(B83,$A$5:$A$7,0)))))),""))</f>
        <v/>
      </c>
      <c r="R83" s="23" t="str">
        <f aca="false">IF(OR(A83="",B83=""),"",IF(OR(Q83="",COUNTIFS($B$12:$B$211,B83,$Q$12:$Q$211,"&gt;=0")&lt;2),"No Data Yet",IFERROR(IF(Q83/AVERAGEIFS($Q$12:$Q$211,$B$12:$B$211,B83)&gt;=1.2,"Good",IF(Q83/AVERAGEIFS($Q$12:$Q$211,$B$12:$B$211,B83)&gt;=0.8,"Average","Below Standard")),"Average")))</f>
        <v/>
      </c>
      <c r="S83" s="24"/>
      <c r="T83" s="24"/>
      <c r="U83" s="20"/>
      <c r="V83" s="23" t="str">
        <f aca="false">IF(OR(A83="",B83=""),"","https://www.alphanodus.com/contact?utm_source="&amp;IF(B83="X","twitter",LOWER(B83))&amp;"&amp;utm_medium=social&amp;utm_campaign="&amp;IF(D83="","general",LOWER(SUBSTITUTE(SUBSTITUTE(D83," / ","-")," ","-")))&amp;"&amp;utm_content="&amp;LOWER(LEFT(B83,2))&amp;"-"&amp;TEXT(A83,"yymmdd"))</f>
        <v/>
      </c>
    </row>
    <row r="84" customFormat="false" ht="15" hidden="false" customHeight="false" outlineLevel="0" collapsed="false">
      <c r="A84" s="25"/>
      <c r="B84" s="20"/>
      <c r="C84" s="24"/>
      <c r="D84" s="20"/>
      <c r="E84" s="20"/>
      <c r="F84" s="20"/>
      <c r="G84" s="19"/>
      <c r="H84" s="19"/>
      <c r="I84" s="19"/>
      <c r="J84" s="19"/>
      <c r="K84" s="19"/>
      <c r="L84" s="19"/>
      <c r="M84" s="19"/>
      <c r="N84" s="19"/>
      <c r="O84" s="20"/>
      <c r="P84" s="21" t="str">
        <f aca="false">IF(OR(A84="",B84=""),"",IF(COUNT(I84:M84)=0,"",SUM(I84:M84)))</f>
        <v/>
      </c>
      <c r="Q84" s="22" t="str">
        <f aca="false">IF(OR(OR(A84="",B84=""),P84=""),"",IFERROR(P84/(IF(N(H84)&gt;0,H84,IF(N(G84)&gt;0,G84,IF(COUNTIFS($B$12:$B$211,B84,$G$12:$G$211,"&gt;0")+COUNTIFS($B$12:$B$211,B84,$H$12:$H$211,"&gt;0")&gt;0,"",INDEX($B$5:$B$7,MATCH(B84,$A$5:$A$7,0)))))),""))</f>
        <v/>
      </c>
      <c r="R84" s="23" t="str">
        <f aca="false">IF(OR(A84="",B84=""),"",IF(OR(Q84="",COUNTIFS($B$12:$B$211,B84,$Q$12:$Q$211,"&gt;=0")&lt;2),"No Data Yet",IFERROR(IF(Q84/AVERAGEIFS($Q$12:$Q$211,$B$12:$B$211,B84)&gt;=1.2,"Good",IF(Q84/AVERAGEIFS($Q$12:$Q$211,$B$12:$B$211,B84)&gt;=0.8,"Average","Below Standard")),"Average")))</f>
        <v/>
      </c>
      <c r="S84" s="24"/>
      <c r="T84" s="24"/>
      <c r="U84" s="20"/>
      <c r="V84" s="23" t="str">
        <f aca="false">IF(OR(A84="",B84=""),"","https://www.alphanodus.com/contact?utm_source="&amp;IF(B84="X","twitter",LOWER(B84))&amp;"&amp;utm_medium=social&amp;utm_campaign="&amp;IF(D84="","general",LOWER(SUBSTITUTE(SUBSTITUTE(D84," / ","-")," ","-")))&amp;"&amp;utm_content="&amp;LOWER(LEFT(B84,2))&amp;"-"&amp;TEXT(A84,"yymmdd"))</f>
        <v/>
      </c>
    </row>
    <row r="85" customFormat="false" ht="15" hidden="false" customHeight="false" outlineLevel="0" collapsed="false">
      <c r="A85" s="25"/>
      <c r="B85" s="20"/>
      <c r="C85" s="24"/>
      <c r="D85" s="20"/>
      <c r="E85" s="20"/>
      <c r="F85" s="20"/>
      <c r="G85" s="19"/>
      <c r="H85" s="19"/>
      <c r="I85" s="19"/>
      <c r="J85" s="19"/>
      <c r="K85" s="19"/>
      <c r="L85" s="19"/>
      <c r="M85" s="19"/>
      <c r="N85" s="19"/>
      <c r="O85" s="20"/>
      <c r="P85" s="21" t="str">
        <f aca="false">IF(OR(A85="",B85=""),"",IF(COUNT(I85:M85)=0,"",SUM(I85:M85)))</f>
        <v/>
      </c>
      <c r="Q85" s="22" t="str">
        <f aca="false">IF(OR(OR(A85="",B85=""),P85=""),"",IFERROR(P85/(IF(N(H85)&gt;0,H85,IF(N(G85)&gt;0,G85,IF(COUNTIFS($B$12:$B$211,B85,$G$12:$G$211,"&gt;0")+COUNTIFS($B$12:$B$211,B85,$H$12:$H$211,"&gt;0")&gt;0,"",INDEX($B$5:$B$7,MATCH(B85,$A$5:$A$7,0)))))),""))</f>
        <v/>
      </c>
      <c r="R85" s="23" t="str">
        <f aca="false">IF(OR(A85="",B85=""),"",IF(OR(Q85="",COUNTIFS($B$12:$B$211,B85,$Q$12:$Q$211,"&gt;=0")&lt;2),"No Data Yet",IFERROR(IF(Q85/AVERAGEIFS($Q$12:$Q$211,$B$12:$B$211,B85)&gt;=1.2,"Good",IF(Q85/AVERAGEIFS($Q$12:$Q$211,$B$12:$B$211,B85)&gt;=0.8,"Average","Below Standard")),"Average")))</f>
        <v/>
      </c>
      <c r="S85" s="24"/>
      <c r="T85" s="24"/>
      <c r="U85" s="20"/>
      <c r="V85" s="23" t="str">
        <f aca="false">IF(OR(A85="",B85=""),"","https://www.alphanodus.com/contact?utm_source="&amp;IF(B85="X","twitter",LOWER(B85))&amp;"&amp;utm_medium=social&amp;utm_campaign="&amp;IF(D85="","general",LOWER(SUBSTITUTE(SUBSTITUTE(D85," / ","-")," ","-")))&amp;"&amp;utm_content="&amp;LOWER(LEFT(B85,2))&amp;"-"&amp;TEXT(A85,"yymmdd"))</f>
        <v/>
      </c>
    </row>
    <row r="86" customFormat="false" ht="15" hidden="false" customHeight="false" outlineLevel="0" collapsed="false">
      <c r="A86" s="25"/>
      <c r="B86" s="20"/>
      <c r="C86" s="24"/>
      <c r="D86" s="20"/>
      <c r="E86" s="20"/>
      <c r="F86" s="20"/>
      <c r="G86" s="19"/>
      <c r="H86" s="19"/>
      <c r="I86" s="19"/>
      <c r="J86" s="19"/>
      <c r="K86" s="19"/>
      <c r="L86" s="19"/>
      <c r="M86" s="19"/>
      <c r="N86" s="19"/>
      <c r="O86" s="20"/>
      <c r="P86" s="21" t="str">
        <f aca="false">IF(OR(A86="",B86=""),"",IF(COUNT(I86:M86)=0,"",SUM(I86:M86)))</f>
        <v/>
      </c>
      <c r="Q86" s="22" t="str">
        <f aca="false">IF(OR(OR(A86="",B86=""),P86=""),"",IFERROR(P86/(IF(N(H86)&gt;0,H86,IF(N(G86)&gt;0,G86,IF(COUNTIFS($B$12:$B$211,B86,$G$12:$G$211,"&gt;0")+COUNTIFS($B$12:$B$211,B86,$H$12:$H$211,"&gt;0")&gt;0,"",INDEX($B$5:$B$7,MATCH(B86,$A$5:$A$7,0)))))),""))</f>
        <v/>
      </c>
      <c r="R86" s="23" t="str">
        <f aca="false">IF(OR(A86="",B86=""),"",IF(OR(Q86="",COUNTIFS($B$12:$B$211,B86,$Q$12:$Q$211,"&gt;=0")&lt;2),"No Data Yet",IFERROR(IF(Q86/AVERAGEIFS($Q$12:$Q$211,$B$12:$B$211,B86)&gt;=1.2,"Good",IF(Q86/AVERAGEIFS($Q$12:$Q$211,$B$12:$B$211,B86)&gt;=0.8,"Average","Below Standard")),"Average")))</f>
        <v/>
      </c>
      <c r="S86" s="24"/>
      <c r="T86" s="24"/>
      <c r="U86" s="20"/>
      <c r="V86" s="23" t="str">
        <f aca="false">IF(OR(A86="",B86=""),"","https://www.alphanodus.com/contact?utm_source="&amp;IF(B86="X","twitter",LOWER(B86))&amp;"&amp;utm_medium=social&amp;utm_campaign="&amp;IF(D86="","general",LOWER(SUBSTITUTE(SUBSTITUTE(D86," / ","-")," ","-")))&amp;"&amp;utm_content="&amp;LOWER(LEFT(B86,2))&amp;"-"&amp;TEXT(A86,"yymmdd"))</f>
        <v/>
      </c>
    </row>
    <row r="87" customFormat="false" ht="15" hidden="false" customHeight="false" outlineLevel="0" collapsed="false">
      <c r="A87" s="25"/>
      <c r="B87" s="20"/>
      <c r="C87" s="24"/>
      <c r="D87" s="20"/>
      <c r="E87" s="20"/>
      <c r="F87" s="20"/>
      <c r="G87" s="19"/>
      <c r="H87" s="19"/>
      <c r="I87" s="19"/>
      <c r="J87" s="19"/>
      <c r="K87" s="19"/>
      <c r="L87" s="19"/>
      <c r="M87" s="19"/>
      <c r="N87" s="19"/>
      <c r="O87" s="20"/>
      <c r="P87" s="21" t="str">
        <f aca="false">IF(OR(A87="",B87=""),"",IF(COUNT(I87:M87)=0,"",SUM(I87:M87)))</f>
        <v/>
      </c>
      <c r="Q87" s="22" t="str">
        <f aca="false">IF(OR(OR(A87="",B87=""),P87=""),"",IFERROR(P87/(IF(N(H87)&gt;0,H87,IF(N(G87)&gt;0,G87,IF(COUNTIFS($B$12:$B$211,B87,$G$12:$G$211,"&gt;0")+COUNTIFS($B$12:$B$211,B87,$H$12:$H$211,"&gt;0")&gt;0,"",INDEX($B$5:$B$7,MATCH(B87,$A$5:$A$7,0)))))),""))</f>
        <v/>
      </c>
      <c r="R87" s="23" t="str">
        <f aca="false">IF(OR(A87="",B87=""),"",IF(OR(Q87="",COUNTIFS($B$12:$B$211,B87,$Q$12:$Q$211,"&gt;=0")&lt;2),"No Data Yet",IFERROR(IF(Q87/AVERAGEIFS($Q$12:$Q$211,$B$12:$B$211,B87)&gt;=1.2,"Good",IF(Q87/AVERAGEIFS($Q$12:$Q$211,$B$12:$B$211,B87)&gt;=0.8,"Average","Below Standard")),"Average")))</f>
        <v/>
      </c>
      <c r="S87" s="24"/>
      <c r="T87" s="24"/>
      <c r="U87" s="20"/>
      <c r="V87" s="23" t="str">
        <f aca="false">IF(OR(A87="",B87=""),"","https://www.alphanodus.com/contact?utm_source="&amp;IF(B87="X","twitter",LOWER(B87))&amp;"&amp;utm_medium=social&amp;utm_campaign="&amp;IF(D87="","general",LOWER(SUBSTITUTE(SUBSTITUTE(D87," / ","-")," ","-")))&amp;"&amp;utm_content="&amp;LOWER(LEFT(B87,2))&amp;"-"&amp;TEXT(A87,"yymmdd"))</f>
        <v/>
      </c>
    </row>
    <row r="88" customFormat="false" ht="15" hidden="false" customHeight="false" outlineLevel="0" collapsed="false">
      <c r="A88" s="25"/>
      <c r="B88" s="20"/>
      <c r="C88" s="24"/>
      <c r="D88" s="20"/>
      <c r="E88" s="20"/>
      <c r="F88" s="20"/>
      <c r="G88" s="19"/>
      <c r="H88" s="19"/>
      <c r="I88" s="19"/>
      <c r="J88" s="19"/>
      <c r="K88" s="19"/>
      <c r="L88" s="19"/>
      <c r="M88" s="19"/>
      <c r="N88" s="19"/>
      <c r="O88" s="20"/>
      <c r="P88" s="21" t="str">
        <f aca="false">IF(OR(A88="",B88=""),"",IF(COUNT(I88:M88)=0,"",SUM(I88:M88)))</f>
        <v/>
      </c>
      <c r="Q88" s="22" t="str">
        <f aca="false">IF(OR(OR(A88="",B88=""),P88=""),"",IFERROR(P88/(IF(N(H88)&gt;0,H88,IF(N(G88)&gt;0,G88,IF(COUNTIFS($B$12:$B$211,B88,$G$12:$G$211,"&gt;0")+COUNTIFS($B$12:$B$211,B88,$H$12:$H$211,"&gt;0")&gt;0,"",INDEX($B$5:$B$7,MATCH(B88,$A$5:$A$7,0)))))),""))</f>
        <v/>
      </c>
      <c r="R88" s="23" t="str">
        <f aca="false">IF(OR(A88="",B88=""),"",IF(OR(Q88="",COUNTIFS($B$12:$B$211,B88,$Q$12:$Q$211,"&gt;=0")&lt;2),"No Data Yet",IFERROR(IF(Q88/AVERAGEIFS($Q$12:$Q$211,$B$12:$B$211,B88)&gt;=1.2,"Good",IF(Q88/AVERAGEIFS($Q$12:$Q$211,$B$12:$B$211,B88)&gt;=0.8,"Average","Below Standard")),"Average")))</f>
        <v/>
      </c>
      <c r="S88" s="24"/>
      <c r="T88" s="24"/>
      <c r="U88" s="20"/>
      <c r="V88" s="23" t="str">
        <f aca="false">IF(OR(A88="",B88=""),"","https://www.alphanodus.com/contact?utm_source="&amp;IF(B88="X","twitter",LOWER(B88))&amp;"&amp;utm_medium=social&amp;utm_campaign="&amp;IF(D88="","general",LOWER(SUBSTITUTE(SUBSTITUTE(D88," / ","-")," ","-")))&amp;"&amp;utm_content="&amp;LOWER(LEFT(B88,2))&amp;"-"&amp;TEXT(A88,"yymmdd"))</f>
        <v/>
      </c>
    </row>
    <row r="89" customFormat="false" ht="15" hidden="false" customHeight="false" outlineLevel="0" collapsed="false">
      <c r="A89" s="25"/>
      <c r="B89" s="20"/>
      <c r="C89" s="24"/>
      <c r="D89" s="20"/>
      <c r="E89" s="20"/>
      <c r="F89" s="20"/>
      <c r="G89" s="19"/>
      <c r="H89" s="19"/>
      <c r="I89" s="19"/>
      <c r="J89" s="19"/>
      <c r="K89" s="19"/>
      <c r="L89" s="19"/>
      <c r="M89" s="19"/>
      <c r="N89" s="19"/>
      <c r="O89" s="20"/>
      <c r="P89" s="21" t="str">
        <f aca="false">IF(OR(A89="",B89=""),"",IF(COUNT(I89:M89)=0,"",SUM(I89:M89)))</f>
        <v/>
      </c>
      <c r="Q89" s="22" t="str">
        <f aca="false">IF(OR(OR(A89="",B89=""),P89=""),"",IFERROR(P89/(IF(N(H89)&gt;0,H89,IF(N(G89)&gt;0,G89,IF(COUNTIFS($B$12:$B$211,B89,$G$12:$G$211,"&gt;0")+COUNTIFS($B$12:$B$211,B89,$H$12:$H$211,"&gt;0")&gt;0,"",INDEX($B$5:$B$7,MATCH(B89,$A$5:$A$7,0)))))),""))</f>
        <v/>
      </c>
      <c r="R89" s="23" t="str">
        <f aca="false">IF(OR(A89="",B89=""),"",IF(OR(Q89="",COUNTIFS($B$12:$B$211,B89,$Q$12:$Q$211,"&gt;=0")&lt;2),"No Data Yet",IFERROR(IF(Q89/AVERAGEIFS($Q$12:$Q$211,$B$12:$B$211,B89)&gt;=1.2,"Good",IF(Q89/AVERAGEIFS($Q$12:$Q$211,$B$12:$B$211,B89)&gt;=0.8,"Average","Below Standard")),"Average")))</f>
        <v/>
      </c>
      <c r="S89" s="24"/>
      <c r="T89" s="24"/>
      <c r="U89" s="20"/>
      <c r="V89" s="23" t="str">
        <f aca="false">IF(OR(A89="",B89=""),"","https://www.alphanodus.com/contact?utm_source="&amp;IF(B89="X","twitter",LOWER(B89))&amp;"&amp;utm_medium=social&amp;utm_campaign="&amp;IF(D89="","general",LOWER(SUBSTITUTE(SUBSTITUTE(D89," / ","-")," ","-")))&amp;"&amp;utm_content="&amp;LOWER(LEFT(B89,2))&amp;"-"&amp;TEXT(A89,"yymmdd"))</f>
        <v/>
      </c>
    </row>
    <row r="90" customFormat="false" ht="15" hidden="false" customHeight="false" outlineLevel="0" collapsed="false">
      <c r="A90" s="25"/>
      <c r="B90" s="20"/>
      <c r="C90" s="24"/>
      <c r="D90" s="20"/>
      <c r="E90" s="20"/>
      <c r="F90" s="20"/>
      <c r="G90" s="19"/>
      <c r="H90" s="19"/>
      <c r="I90" s="19"/>
      <c r="J90" s="19"/>
      <c r="K90" s="19"/>
      <c r="L90" s="19"/>
      <c r="M90" s="19"/>
      <c r="N90" s="19"/>
      <c r="O90" s="20"/>
      <c r="P90" s="21" t="str">
        <f aca="false">IF(OR(A90="",B90=""),"",IF(COUNT(I90:M90)=0,"",SUM(I90:M90)))</f>
        <v/>
      </c>
      <c r="Q90" s="22" t="str">
        <f aca="false">IF(OR(OR(A90="",B90=""),P90=""),"",IFERROR(P90/(IF(N(H90)&gt;0,H90,IF(N(G90)&gt;0,G90,IF(COUNTIFS($B$12:$B$211,B90,$G$12:$G$211,"&gt;0")+COUNTIFS($B$12:$B$211,B90,$H$12:$H$211,"&gt;0")&gt;0,"",INDEX($B$5:$B$7,MATCH(B90,$A$5:$A$7,0)))))),""))</f>
        <v/>
      </c>
      <c r="R90" s="23" t="str">
        <f aca="false">IF(OR(A90="",B90=""),"",IF(OR(Q90="",COUNTIFS($B$12:$B$211,B90,$Q$12:$Q$211,"&gt;=0")&lt;2),"No Data Yet",IFERROR(IF(Q90/AVERAGEIFS($Q$12:$Q$211,$B$12:$B$211,B90)&gt;=1.2,"Good",IF(Q90/AVERAGEIFS($Q$12:$Q$211,$B$12:$B$211,B90)&gt;=0.8,"Average","Below Standard")),"Average")))</f>
        <v/>
      </c>
      <c r="S90" s="24"/>
      <c r="T90" s="24"/>
      <c r="U90" s="20"/>
      <c r="V90" s="23" t="str">
        <f aca="false">IF(OR(A90="",B90=""),"","https://www.alphanodus.com/contact?utm_source="&amp;IF(B90="X","twitter",LOWER(B90))&amp;"&amp;utm_medium=social&amp;utm_campaign="&amp;IF(D90="","general",LOWER(SUBSTITUTE(SUBSTITUTE(D90," / ","-")," ","-")))&amp;"&amp;utm_content="&amp;LOWER(LEFT(B90,2))&amp;"-"&amp;TEXT(A90,"yymmdd"))</f>
        <v/>
      </c>
    </row>
    <row r="91" customFormat="false" ht="15" hidden="false" customHeight="false" outlineLevel="0" collapsed="false">
      <c r="A91" s="25"/>
      <c r="B91" s="20"/>
      <c r="C91" s="24"/>
      <c r="D91" s="20"/>
      <c r="E91" s="20"/>
      <c r="F91" s="20"/>
      <c r="G91" s="19"/>
      <c r="H91" s="19"/>
      <c r="I91" s="19"/>
      <c r="J91" s="19"/>
      <c r="K91" s="19"/>
      <c r="L91" s="19"/>
      <c r="M91" s="19"/>
      <c r="N91" s="19"/>
      <c r="O91" s="20"/>
      <c r="P91" s="21" t="str">
        <f aca="false">IF(OR(A91="",B91=""),"",IF(COUNT(I91:M91)=0,"",SUM(I91:M91)))</f>
        <v/>
      </c>
      <c r="Q91" s="22" t="str">
        <f aca="false">IF(OR(OR(A91="",B91=""),P91=""),"",IFERROR(P91/(IF(N(H91)&gt;0,H91,IF(N(G91)&gt;0,G91,IF(COUNTIFS($B$12:$B$211,B91,$G$12:$G$211,"&gt;0")+COUNTIFS($B$12:$B$211,B91,$H$12:$H$211,"&gt;0")&gt;0,"",INDEX($B$5:$B$7,MATCH(B91,$A$5:$A$7,0)))))),""))</f>
        <v/>
      </c>
      <c r="R91" s="23" t="str">
        <f aca="false">IF(OR(A91="",B91=""),"",IF(OR(Q91="",COUNTIFS($B$12:$B$211,B91,$Q$12:$Q$211,"&gt;=0")&lt;2),"No Data Yet",IFERROR(IF(Q91/AVERAGEIFS($Q$12:$Q$211,$B$12:$B$211,B91)&gt;=1.2,"Good",IF(Q91/AVERAGEIFS($Q$12:$Q$211,$B$12:$B$211,B91)&gt;=0.8,"Average","Below Standard")),"Average")))</f>
        <v/>
      </c>
      <c r="S91" s="24"/>
      <c r="T91" s="24"/>
      <c r="U91" s="20"/>
      <c r="V91" s="23" t="str">
        <f aca="false">IF(OR(A91="",B91=""),"","https://www.alphanodus.com/contact?utm_source="&amp;IF(B91="X","twitter",LOWER(B91))&amp;"&amp;utm_medium=social&amp;utm_campaign="&amp;IF(D91="","general",LOWER(SUBSTITUTE(SUBSTITUTE(D91," / ","-")," ","-")))&amp;"&amp;utm_content="&amp;LOWER(LEFT(B91,2))&amp;"-"&amp;TEXT(A91,"yymmdd"))</f>
        <v/>
      </c>
    </row>
    <row r="92" customFormat="false" ht="15" hidden="false" customHeight="false" outlineLevel="0" collapsed="false">
      <c r="A92" s="25"/>
      <c r="B92" s="20"/>
      <c r="C92" s="24"/>
      <c r="D92" s="20"/>
      <c r="E92" s="20"/>
      <c r="F92" s="20"/>
      <c r="G92" s="19"/>
      <c r="H92" s="19"/>
      <c r="I92" s="19"/>
      <c r="J92" s="19"/>
      <c r="K92" s="19"/>
      <c r="L92" s="19"/>
      <c r="M92" s="19"/>
      <c r="N92" s="19"/>
      <c r="O92" s="20"/>
      <c r="P92" s="21" t="str">
        <f aca="false">IF(OR(A92="",B92=""),"",IF(COUNT(I92:M92)=0,"",SUM(I92:M92)))</f>
        <v/>
      </c>
      <c r="Q92" s="22" t="str">
        <f aca="false">IF(OR(OR(A92="",B92=""),P92=""),"",IFERROR(P92/(IF(N(H92)&gt;0,H92,IF(N(G92)&gt;0,G92,IF(COUNTIFS($B$12:$B$211,B92,$G$12:$G$211,"&gt;0")+COUNTIFS($B$12:$B$211,B92,$H$12:$H$211,"&gt;0")&gt;0,"",INDEX($B$5:$B$7,MATCH(B92,$A$5:$A$7,0)))))),""))</f>
        <v/>
      </c>
      <c r="R92" s="23" t="str">
        <f aca="false">IF(OR(A92="",B92=""),"",IF(OR(Q92="",COUNTIFS($B$12:$B$211,B92,$Q$12:$Q$211,"&gt;=0")&lt;2),"No Data Yet",IFERROR(IF(Q92/AVERAGEIFS($Q$12:$Q$211,$B$12:$B$211,B92)&gt;=1.2,"Good",IF(Q92/AVERAGEIFS($Q$12:$Q$211,$B$12:$B$211,B92)&gt;=0.8,"Average","Below Standard")),"Average")))</f>
        <v/>
      </c>
      <c r="S92" s="24"/>
      <c r="T92" s="24"/>
      <c r="U92" s="20"/>
      <c r="V92" s="23" t="str">
        <f aca="false">IF(OR(A92="",B92=""),"","https://www.alphanodus.com/contact?utm_source="&amp;IF(B92="X","twitter",LOWER(B92))&amp;"&amp;utm_medium=social&amp;utm_campaign="&amp;IF(D92="","general",LOWER(SUBSTITUTE(SUBSTITUTE(D92," / ","-")," ","-")))&amp;"&amp;utm_content="&amp;LOWER(LEFT(B92,2))&amp;"-"&amp;TEXT(A92,"yymmdd"))</f>
        <v/>
      </c>
    </row>
    <row r="93" customFormat="false" ht="15" hidden="false" customHeight="false" outlineLevel="0" collapsed="false">
      <c r="A93" s="25"/>
      <c r="B93" s="20"/>
      <c r="C93" s="24"/>
      <c r="D93" s="20"/>
      <c r="E93" s="20"/>
      <c r="F93" s="20"/>
      <c r="G93" s="19"/>
      <c r="H93" s="19"/>
      <c r="I93" s="19"/>
      <c r="J93" s="19"/>
      <c r="K93" s="19"/>
      <c r="L93" s="19"/>
      <c r="M93" s="19"/>
      <c r="N93" s="19"/>
      <c r="O93" s="20"/>
      <c r="P93" s="21" t="str">
        <f aca="false">IF(OR(A93="",B93=""),"",IF(COUNT(I93:M93)=0,"",SUM(I93:M93)))</f>
        <v/>
      </c>
      <c r="Q93" s="22" t="str">
        <f aca="false">IF(OR(OR(A93="",B93=""),P93=""),"",IFERROR(P93/(IF(N(H93)&gt;0,H93,IF(N(G93)&gt;0,G93,IF(COUNTIFS($B$12:$B$211,B93,$G$12:$G$211,"&gt;0")+COUNTIFS($B$12:$B$211,B93,$H$12:$H$211,"&gt;0")&gt;0,"",INDEX($B$5:$B$7,MATCH(B93,$A$5:$A$7,0)))))),""))</f>
        <v/>
      </c>
      <c r="R93" s="23" t="str">
        <f aca="false">IF(OR(A93="",B93=""),"",IF(OR(Q93="",COUNTIFS($B$12:$B$211,B93,$Q$12:$Q$211,"&gt;=0")&lt;2),"No Data Yet",IFERROR(IF(Q93/AVERAGEIFS($Q$12:$Q$211,$B$12:$B$211,B93)&gt;=1.2,"Good",IF(Q93/AVERAGEIFS($Q$12:$Q$211,$B$12:$B$211,B93)&gt;=0.8,"Average","Below Standard")),"Average")))</f>
        <v/>
      </c>
      <c r="S93" s="24"/>
      <c r="T93" s="24"/>
      <c r="U93" s="20"/>
      <c r="V93" s="23" t="str">
        <f aca="false">IF(OR(A93="",B93=""),"","https://www.alphanodus.com/contact?utm_source="&amp;IF(B93="X","twitter",LOWER(B93))&amp;"&amp;utm_medium=social&amp;utm_campaign="&amp;IF(D93="","general",LOWER(SUBSTITUTE(SUBSTITUTE(D93," / ","-")," ","-")))&amp;"&amp;utm_content="&amp;LOWER(LEFT(B93,2))&amp;"-"&amp;TEXT(A93,"yymmdd"))</f>
        <v/>
      </c>
    </row>
    <row r="94" customFormat="false" ht="15" hidden="false" customHeight="false" outlineLevel="0" collapsed="false">
      <c r="A94" s="25"/>
      <c r="B94" s="20"/>
      <c r="C94" s="24"/>
      <c r="D94" s="20"/>
      <c r="E94" s="20"/>
      <c r="F94" s="20"/>
      <c r="G94" s="19"/>
      <c r="H94" s="19"/>
      <c r="I94" s="19"/>
      <c r="J94" s="19"/>
      <c r="K94" s="19"/>
      <c r="L94" s="19"/>
      <c r="M94" s="19"/>
      <c r="N94" s="19"/>
      <c r="O94" s="20"/>
      <c r="P94" s="21" t="str">
        <f aca="false">IF(OR(A94="",B94=""),"",IF(COUNT(I94:M94)=0,"",SUM(I94:M94)))</f>
        <v/>
      </c>
      <c r="Q94" s="22" t="str">
        <f aca="false">IF(OR(OR(A94="",B94=""),P94=""),"",IFERROR(P94/(IF(N(H94)&gt;0,H94,IF(N(G94)&gt;0,G94,IF(COUNTIFS($B$12:$B$211,B94,$G$12:$G$211,"&gt;0")+COUNTIFS($B$12:$B$211,B94,$H$12:$H$211,"&gt;0")&gt;0,"",INDEX($B$5:$B$7,MATCH(B94,$A$5:$A$7,0)))))),""))</f>
        <v/>
      </c>
      <c r="R94" s="23" t="str">
        <f aca="false">IF(OR(A94="",B94=""),"",IF(OR(Q94="",COUNTIFS($B$12:$B$211,B94,$Q$12:$Q$211,"&gt;=0")&lt;2),"No Data Yet",IFERROR(IF(Q94/AVERAGEIFS($Q$12:$Q$211,$B$12:$B$211,B94)&gt;=1.2,"Good",IF(Q94/AVERAGEIFS($Q$12:$Q$211,$B$12:$B$211,B94)&gt;=0.8,"Average","Below Standard")),"Average")))</f>
        <v/>
      </c>
      <c r="S94" s="24"/>
      <c r="T94" s="24"/>
      <c r="U94" s="20"/>
      <c r="V94" s="23" t="str">
        <f aca="false">IF(OR(A94="",B94=""),"","https://www.alphanodus.com/contact?utm_source="&amp;IF(B94="X","twitter",LOWER(B94))&amp;"&amp;utm_medium=social&amp;utm_campaign="&amp;IF(D94="","general",LOWER(SUBSTITUTE(SUBSTITUTE(D94," / ","-")," ","-")))&amp;"&amp;utm_content="&amp;LOWER(LEFT(B94,2))&amp;"-"&amp;TEXT(A94,"yymmdd"))</f>
        <v/>
      </c>
    </row>
    <row r="95" customFormat="false" ht="15" hidden="false" customHeight="false" outlineLevel="0" collapsed="false">
      <c r="A95" s="25"/>
      <c r="B95" s="20"/>
      <c r="C95" s="24"/>
      <c r="D95" s="20"/>
      <c r="E95" s="20"/>
      <c r="F95" s="20"/>
      <c r="G95" s="19"/>
      <c r="H95" s="19"/>
      <c r="I95" s="19"/>
      <c r="J95" s="19"/>
      <c r="K95" s="19"/>
      <c r="L95" s="19"/>
      <c r="M95" s="19"/>
      <c r="N95" s="19"/>
      <c r="O95" s="20"/>
      <c r="P95" s="21" t="str">
        <f aca="false">IF(OR(A95="",B95=""),"",IF(COUNT(I95:M95)=0,"",SUM(I95:M95)))</f>
        <v/>
      </c>
      <c r="Q95" s="22" t="str">
        <f aca="false">IF(OR(OR(A95="",B95=""),P95=""),"",IFERROR(P95/(IF(N(H95)&gt;0,H95,IF(N(G95)&gt;0,G95,IF(COUNTIFS($B$12:$B$211,B95,$G$12:$G$211,"&gt;0")+COUNTIFS($B$12:$B$211,B95,$H$12:$H$211,"&gt;0")&gt;0,"",INDEX($B$5:$B$7,MATCH(B95,$A$5:$A$7,0)))))),""))</f>
        <v/>
      </c>
      <c r="R95" s="23" t="str">
        <f aca="false">IF(OR(A95="",B95=""),"",IF(OR(Q95="",COUNTIFS($B$12:$B$211,B95,$Q$12:$Q$211,"&gt;=0")&lt;2),"No Data Yet",IFERROR(IF(Q95/AVERAGEIFS($Q$12:$Q$211,$B$12:$B$211,B95)&gt;=1.2,"Good",IF(Q95/AVERAGEIFS($Q$12:$Q$211,$B$12:$B$211,B95)&gt;=0.8,"Average","Below Standard")),"Average")))</f>
        <v/>
      </c>
      <c r="S95" s="24"/>
      <c r="T95" s="24"/>
      <c r="U95" s="20"/>
      <c r="V95" s="23" t="str">
        <f aca="false">IF(OR(A95="",B95=""),"","https://www.alphanodus.com/contact?utm_source="&amp;IF(B95="X","twitter",LOWER(B95))&amp;"&amp;utm_medium=social&amp;utm_campaign="&amp;IF(D95="","general",LOWER(SUBSTITUTE(SUBSTITUTE(D95," / ","-")," ","-")))&amp;"&amp;utm_content="&amp;LOWER(LEFT(B95,2))&amp;"-"&amp;TEXT(A95,"yymmdd"))</f>
        <v/>
      </c>
    </row>
    <row r="96" customFormat="false" ht="15" hidden="false" customHeight="false" outlineLevel="0" collapsed="false">
      <c r="A96" s="25"/>
      <c r="B96" s="20"/>
      <c r="C96" s="24"/>
      <c r="D96" s="20"/>
      <c r="E96" s="20"/>
      <c r="F96" s="20"/>
      <c r="G96" s="19"/>
      <c r="H96" s="19"/>
      <c r="I96" s="19"/>
      <c r="J96" s="19"/>
      <c r="K96" s="19"/>
      <c r="L96" s="19"/>
      <c r="M96" s="19"/>
      <c r="N96" s="19"/>
      <c r="O96" s="20"/>
      <c r="P96" s="21" t="str">
        <f aca="false">IF(OR(A96="",B96=""),"",IF(COUNT(I96:M96)=0,"",SUM(I96:M96)))</f>
        <v/>
      </c>
      <c r="Q96" s="22" t="str">
        <f aca="false">IF(OR(OR(A96="",B96=""),P96=""),"",IFERROR(P96/(IF(N(H96)&gt;0,H96,IF(N(G96)&gt;0,G96,IF(COUNTIFS($B$12:$B$211,B96,$G$12:$G$211,"&gt;0")+COUNTIFS($B$12:$B$211,B96,$H$12:$H$211,"&gt;0")&gt;0,"",INDEX($B$5:$B$7,MATCH(B96,$A$5:$A$7,0)))))),""))</f>
        <v/>
      </c>
      <c r="R96" s="23" t="str">
        <f aca="false">IF(OR(A96="",B96=""),"",IF(OR(Q96="",COUNTIFS($B$12:$B$211,B96,$Q$12:$Q$211,"&gt;=0")&lt;2),"No Data Yet",IFERROR(IF(Q96/AVERAGEIFS($Q$12:$Q$211,$B$12:$B$211,B96)&gt;=1.2,"Good",IF(Q96/AVERAGEIFS($Q$12:$Q$211,$B$12:$B$211,B96)&gt;=0.8,"Average","Below Standard")),"Average")))</f>
        <v/>
      </c>
      <c r="S96" s="24"/>
      <c r="T96" s="24"/>
      <c r="U96" s="20"/>
      <c r="V96" s="23" t="str">
        <f aca="false">IF(OR(A96="",B96=""),"","https://www.alphanodus.com/contact?utm_source="&amp;IF(B96="X","twitter",LOWER(B96))&amp;"&amp;utm_medium=social&amp;utm_campaign="&amp;IF(D96="","general",LOWER(SUBSTITUTE(SUBSTITUTE(D96," / ","-")," ","-")))&amp;"&amp;utm_content="&amp;LOWER(LEFT(B96,2))&amp;"-"&amp;TEXT(A96,"yymmdd"))</f>
        <v/>
      </c>
    </row>
    <row r="97" customFormat="false" ht="15" hidden="false" customHeight="false" outlineLevel="0" collapsed="false">
      <c r="A97" s="25"/>
      <c r="B97" s="20"/>
      <c r="C97" s="24"/>
      <c r="D97" s="20"/>
      <c r="E97" s="20"/>
      <c r="F97" s="20"/>
      <c r="G97" s="19"/>
      <c r="H97" s="19"/>
      <c r="I97" s="19"/>
      <c r="J97" s="19"/>
      <c r="K97" s="19"/>
      <c r="L97" s="19"/>
      <c r="M97" s="19"/>
      <c r="N97" s="19"/>
      <c r="O97" s="20"/>
      <c r="P97" s="21" t="str">
        <f aca="false">IF(OR(A97="",B97=""),"",IF(COUNT(I97:M97)=0,"",SUM(I97:M97)))</f>
        <v/>
      </c>
      <c r="Q97" s="22" t="str">
        <f aca="false">IF(OR(OR(A97="",B97=""),P97=""),"",IFERROR(P97/(IF(N(H97)&gt;0,H97,IF(N(G97)&gt;0,G97,IF(COUNTIFS($B$12:$B$211,B97,$G$12:$G$211,"&gt;0")+COUNTIFS($B$12:$B$211,B97,$H$12:$H$211,"&gt;0")&gt;0,"",INDEX($B$5:$B$7,MATCH(B97,$A$5:$A$7,0)))))),""))</f>
        <v/>
      </c>
      <c r="R97" s="23" t="str">
        <f aca="false">IF(OR(A97="",B97=""),"",IF(OR(Q97="",COUNTIFS($B$12:$B$211,B97,$Q$12:$Q$211,"&gt;=0")&lt;2),"No Data Yet",IFERROR(IF(Q97/AVERAGEIFS($Q$12:$Q$211,$B$12:$B$211,B97)&gt;=1.2,"Good",IF(Q97/AVERAGEIFS($Q$12:$Q$211,$B$12:$B$211,B97)&gt;=0.8,"Average","Below Standard")),"Average")))</f>
        <v/>
      </c>
      <c r="S97" s="24"/>
      <c r="T97" s="24"/>
      <c r="U97" s="20"/>
      <c r="V97" s="23" t="str">
        <f aca="false">IF(OR(A97="",B97=""),"","https://www.alphanodus.com/contact?utm_source="&amp;IF(B97="X","twitter",LOWER(B97))&amp;"&amp;utm_medium=social&amp;utm_campaign="&amp;IF(D97="","general",LOWER(SUBSTITUTE(SUBSTITUTE(D97," / ","-")," ","-")))&amp;"&amp;utm_content="&amp;LOWER(LEFT(B97,2))&amp;"-"&amp;TEXT(A97,"yymmdd"))</f>
        <v/>
      </c>
    </row>
    <row r="98" customFormat="false" ht="15" hidden="false" customHeight="false" outlineLevel="0" collapsed="false">
      <c r="A98" s="25"/>
      <c r="B98" s="20"/>
      <c r="C98" s="24"/>
      <c r="D98" s="20"/>
      <c r="E98" s="20"/>
      <c r="F98" s="20"/>
      <c r="G98" s="19"/>
      <c r="H98" s="19"/>
      <c r="I98" s="19"/>
      <c r="J98" s="19"/>
      <c r="K98" s="19"/>
      <c r="L98" s="19"/>
      <c r="M98" s="19"/>
      <c r="N98" s="19"/>
      <c r="O98" s="20"/>
      <c r="P98" s="21" t="str">
        <f aca="false">IF(OR(A98="",B98=""),"",IF(COUNT(I98:M98)=0,"",SUM(I98:M98)))</f>
        <v/>
      </c>
      <c r="Q98" s="22" t="str">
        <f aca="false">IF(OR(OR(A98="",B98=""),P98=""),"",IFERROR(P98/(IF(N(H98)&gt;0,H98,IF(N(G98)&gt;0,G98,IF(COUNTIFS($B$12:$B$211,B98,$G$12:$G$211,"&gt;0")+COUNTIFS($B$12:$B$211,B98,$H$12:$H$211,"&gt;0")&gt;0,"",INDEX($B$5:$B$7,MATCH(B98,$A$5:$A$7,0)))))),""))</f>
        <v/>
      </c>
      <c r="R98" s="23" t="str">
        <f aca="false">IF(OR(A98="",B98=""),"",IF(OR(Q98="",COUNTIFS($B$12:$B$211,B98,$Q$12:$Q$211,"&gt;=0")&lt;2),"No Data Yet",IFERROR(IF(Q98/AVERAGEIFS($Q$12:$Q$211,$B$12:$B$211,B98)&gt;=1.2,"Good",IF(Q98/AVERAGEIFS($Q$12:$Q$211,$B$12:$B$211,B98)&gt;=0.8,"Average","Below Standard")),"Average")))</f>
        <v/>
      </c>
      <c r="S98" s="24"/>
      <c r="T98" s="24"/>
      <c r="U98" s="20"/>
      <c r="V98" s="23" t="str">
        <f aca="false">IF(OR(A98="",B98=""),"","https://www.alphanodus.com/contact?utm_source="&amp;IF(B98="X","twitter",LOWER(B98))&amp;"&amp;utm_medium=social&amp;utm_campaign="&amp;IF(D98="","general",LOWER(SUBSTITUTE(SUBSTITUTE(D98," / ","-")," ","-")))&amp;"&amp;utm_content="&amp;LOWER(LEFT(B98,2))&amp;"-"&amp;TEXT(A98,"yymmdd"))</f>
        <v/>
      </c>
    </row>
    <row r="99" customFormat="false" ht="15" hidden="false" customHeight="false" outlineLevel="0" collapsed="false">
      <c r="A99" s="25"/>
      <c r="B99" s="20"/>
      <c r="C99" s="24"/>
      <c r="D99" s="20"/>
      <c r="E99" s="20"/>
      <c r="F99" s="20"/>
      <c r="G99" s="19"/>
      <c r="H99" s="19"/>
      <c r="I99" s="19"/>
      <c r="J99" s="19"/>
      <c r="K99" s="19"/>
      <c r="L99" s="19"/>
      <c r="M99" s="19"/>
      <c r="N99" s="19"/>
      <c r="O99" s="20"/>
      <c r="P99" s="21" t="str">
        <f aca="false">IF(OR(A99="",B99=""),"",IF(COUNT(I99:M99)=0,"",SUM(I99:M99)))</f>
        <v/>
      </c>
      <c r="Q99" s="22" t="str">
        <f aca="false">IF(OR(OR(A99="",B99=""),P99=""),"",IFERROR(P99/(IF(N(H99)&gt;0,H99,IF(N(G99)&gt;0,G99,IF(COUNTIFS($B$12:$B$211,B99,$G$12:$G$211,"&gt;0")+COUNTIFS($B$12:$B$211,B99,$H$12:$H$211,"&gt;0")&gt;0,"",INDEX($B$5:$B$7,MATCH(B99,$A$5:$A$7,0)))))),""))</f>
        <v/>
      </c>
      <c r="R99" s="23" t="str">
        <f aca="false">IF(OR(A99="",B99=""),"",IF(OR(Q99="",COUNTIFS($B$12:$B$211,B99,$Q$12:$Q$211,"&gt;=0")&lt;2),"No Data Yet",IFERROR(IF(Q99/AVERAGEIFS($Q$12:$Q$211,$B$12:$B$211,B99)&gt;=1.2,"Good",IF(Q99/AVERAGEIFS($Q$12:$Q$211,$B$12:$B$211,B99)&gt;=0.8,"Average","Below Standard")),"Average")))</f>
        <v/>
      </c>
      <c r="S99" s="24"/>
      <c r="T99" s="24"/>
      <c r="U99" s="20"/>
      <c r="V99" s="23" t="str">
        <f aca="false">IF(OR(A99="",B99=""),"","https://www.alphanodus.com/contact?utm_source="&amp;IF(B99="X","twitter",LOWER(B99))&amp;"&amp;utm_medium=social&amp;utm_campaign="&amp;IF(D99="","general",LOWER(SUBSTITUTE(SUBSTITUTE(D99," / ","-")," ","-")))&amp;"&amp;utm_content="&amp;LOWER(LEFT(B99,2))&amp;"-"&amp;TEXT(A99,"yymmdd"))</f>
        <v/>
      </c>
    </row>
    <row r="100" customFormat="false" ht="15" hidden="false" customHeight="false" outlineLevel="0" collapsed="false">
      <c r="A100" s="25"/>
      <c r="B100" s="20"/>
      <c r="C100" s="24"/>
      <c r="D100" s="20"/>
      <c r="E100" s="20"/>
      <c r="F100" s="20"/>
      <c r="G100" s="19"/>
      <c r="H100" s="19"/>
      <c r="I100" s="19"/>
      <c r="J100" s="19"/>
      <c r="K100" s="19"/>
      <c r="L100" s="19"/>
      <c r="M100" s="19"/>
      <c r="N100" s="19"/>
      <c r="O100" s="20"/>
      <c r="P100" s="21" t="str">
        <f aca="false">IF(OR(A100="",B100=""),"",IF(COUNT(I100:M100)=0,"",SUM(I100:M100)))</f>
        <v/>
      </c>
      <c r="Q100" s="22" t="str">
        <f aca="false">IF(OR(OR(A100="",B100=""),P100=""),"",IFERROR(P100/(IF(N(H100)&gt;0,H100,IF(N(G100)&gt;0,G100,IF(COUNTIFS($B$12:$B$211,B100,$G$12:$G$211,"&gt;0")+COUNTIFS($B$12:$B$211,B100,$H$12:$H$211,"&gt;0")&gt;0,"",INDEX($B$5:$B$7,MATCH(B100,$A$5:$A$7,0)))))),""))</f>
        <v/>
      </c>
      <c r="R100" s="23" t="str">
        <f aca="false">IF(OR(A100="",B100=""),"",IF(OR(Q100="",COUNTIFS($B$12:$B$211,B100,$Q$12:$Q$211,"&gt;=0")&lt;2),"No Data Yet",IFERROR(IF(Q100/AVERAGEIFS($Q$12:$Q$211,$B$12:$B$211,B100)&gt;=1.2,"Good",IF(Q100/AVERAGEIFS($Q$12:$Q$211,$B$12:$B$211,B100)&gt;=0.8,"Average","Below Standard")),"Average")))</f>
        <v/>
      </c>
      <c r="S100" s="24"/>
      <c r="T100" s="24"/>
      <c r="U100" s="20"/>
      <c r="V100" s="23" t="str">
        <f aca="false">IF(OR(A100="",B100=""),"","https://www.alphanodus.com/contact?utm_source="&amp;IF(B100="X","twitter",LOWER(B100))&amp;"&amp;utm_medium=social&amp;utm_campaign="&amp;IF(D100="","general",LOWER(SUBSTITUTE(SUBSTITUTE(D100," / ","-")," ","-")))&amp;"&amp;utm_content="&amp;LOWER(LEFT(B100,2))&amp;"-"&amp;TEXT(A100,"yymmdd"))</f>
        <v/>
      </c>
    </row>
    <row r="101" customFormat="false" ht="15" hidden="false" customHeight="false" outlineLevel="0" collapsed="false">
      <c r="A101" s="25"/>
      <c r="B101" s="20"/>
      <c r="C101" s="24"/>
      <c r="D101" s="20"/>
      <c r="E101" s="20"/>
      <c r="F101" s="20"/>
      <c r="G101" s="19"/>
      <c r="H101" s="19"/>
      <c r="I101" s="19"/>
      <c r="J101" s="19"/>
      <c r="K101" s="19"/>
      <c r="L101" s="19"/>
      <c r="M101" s="19"/>
      <c r="N101" s="19"/>
      <c r="O101" s="20"/>
      <c r="P101" s="21" t="str">
        <f aca="false">IF(OR(A101="",B101=""),"",IF(COUNT(I101:M101)=0,"",SUM(I101:M101)))</f>
        <v/>
      </c>
      <c r="Q101" s="22" t="str">
        <f aca="false">IF(OR(OR(A101="",B101=""),P101=""),"",IFERROR(P101/(IF(N(H101)&gt;0,H101,IF(N(G101)&gt;0,G101,IF(COUNTIFS($B$12:$B$211,B101,$G$12:$G$211,"&gt;0")+COUNTIFS($B$12:$B$211,B101,$H$12:$H$211,"&gt;0")&gt;0,"",INDEX($B$5:$B$7,MATCH(B101,$A$5:$A$7,0)))))),""))</f>
        <v/>
      </c>
      <c r="R101" s="23" t="str">
        <f aca="false">IF(OR(A101="",B101=""),"",IF(OR(Q101="",COUNTIFS($B$12:$B$211,B101,$Q$12:$Q$211,"&gt;=0")&lt;2),"No Data Yet",IFERROR(IF(Q101/AVERAGEIFS($Q$12:$Q$211,$B$12:$B$211,B101)&gt;=1.2,"Good",IF(Q101/AVERAGEIFS($Q$12:$Q$211,$B$12:$B$211,B101)&gt;=0.8,"Average","Below Standard")),"Average")))</f>
        <v/>
      </c>
      <c r="S101" s="24"/>
      <c r="T101" s="24"/>
      <c r="U101" s="20"/>
      <c r="V101" s="23" t="str">
        <f aca="false">IF(OR(A101="",B101=""),"","https://www.alphanodus.com/contact?utm_source="&amp;IF(B101="X","twitter",LOWER(B101))&amp;"&amp;utm_medium=social&amp;utm_campaign="&amp;IF(D101="","general",LOWER(SUBSTITUTE(SUBSTITUTE(D101," / ","-")," ","-")))&amp;"&amp;utm_content="&amp;LOWER(LEFT(B101,2))&amp;"-"&amp;TEXT(A101,"yymmdd"))</f>
        <v/>
      </c>
    </row>
    <row r="102" customFormat="false" ht="15" hidden="false" customHeight="false" outlineLevel="0" collapsed="false">
      <c r="A102" s="25"/>
      <c r="B102" s="20"/>
      <c r="C102" s="24"/>
      <c r="D102" s="20"/>
      <c r="E102" s="20"/>
      <c r="F102" s="20"/>
      <c r="G102" s="19"/>
      <c r="H102" s="19"/>
      <c r="I102" s="19"/>
      <c r="J102" s="19"/>
      <c r="K102" s="19"/>
      <c r="L102" s="19"/>
      <c r="M102" s="19"/>
      <c r="N102" s="19"/>
      <c r="O102" s="20"/>
      <c r="P102" s="21" t="str">
        <f aca="false">IF(OR(A102="",B102=""),"",IF(COUNT(I102:M102)=0,"",SUM(I102:M102)))</f>
        <v/>
      </c>
      <c r="Q102" s="22" t="str">
        <f aca="false">IF(OR(OR(A102="",B102=""),P102=""),"",IFERROR(P102/(IF(N(H102)&gt;0,H102,IF(N(G102)&gt;0,G102,IF(COUNTIFS($B$12:$B$211,B102,$G$12:$G$211,"&gt;0")+COUNTIFS($B$12:$B$211,B102,$H$12:$H$211,"&gt;0")&gt;0,"",INDEX($B$5:$B$7,MATCH(B102,$A$5:$A$7,0)))))),""))</f>
        <v/>
      </c>
      <c r="R102" s="23" t="str">
        <f aca="false">IF(OR(A102="",B102=""),"",IF(OR(Q102="",COUNTIFS($B$12:$B$211,B102,$Q$12:$Q$211,"&gt;=0")&lt;2),"No Data Yet",IFERROR(IF(Q102/AVERAGEIFS($Q$12:$Q$211,$B$12:$B$211,B102)&gt;=1.2,"Good",IF(Q102/AVERAGEIFS($Q$12:$Q$211,$B$12:$B$211,B102)&gt;=0.8,"Average","Below Standard")),"Average")))</f>
        <v/>
      </c>
      <c r="S102" s="24"/>
      <c r="T102" s="24"/>
      <c r="U102" s="20"/>
      <c r="V102" s="23" t="str">
        <f aca="false">IF(OR(A102="",B102=""),"","https://www.alphanodus.com/contact?utm_source="&amp;IF(B102="X","twitter",LOWER(B102))&amp;"&amp;utm_medium=social&amp;utm_campaign="&amp;IF(D102="","general",LOWER(SUBSTITUTE(SUBSTITUTE(D102," / ","-")," ","-")))&amp;"&amp;utm_content="&amp;LOWER(LEFT(B102,2))&amp;"-"&amp;TEXT(A102,"yymmdd"))</f>
        <v/>
      </c>
    </row>
    <row r="103" customFormat="false" ht="15" hidden="false" customHeight="false" outlineLevel="0" collapsed="false">
      <c r="A103" s="25"/>
      <c r="B103" s="20"/>
      <c r="C103" s="24"/>
      <c r="D103" s="20"/>
      <c r="E103" s="20"/>
      <c r="F103" s="20"/>
      <c r="G103" s="19"/>
      <c r="H103" s="19"/>
      <c r="I103" s="19"/>
      <c r="J103" s="19"/>
      <c r="K103" s="19"/>
      <c r="L103" s="19"/>
      <c r="M103" s="19"/>
      <c r="N103" s="19"/>
      <c r="O103" s="20"/>
      <c r="P103" s="21" t="str">
        <f aca="false">IF(OR(A103="",B103=""),"",IF(COUNT(I103:M103)=0,"",SUM(I103:M103)))</f>
        <v/>
      </c>
      <c r="Q103" s="22" t="str">
        <f aca="false">IF(OR(OR(A103="",B103=""),P103=""),"",IFERROR(P103/(IF(N(H103)&gt;0,H103,IF(N(G103)&gt;0,G103,IF(COUNTIFS($B$12:$B$211,B103,$G$12:$G$211,"&gt;0")+COUNTIFS($B$12:$B$211,B103,$H$12:$H$211,"&gt;0")&gt;0,"",INDEX($B$5:$B$7,MATCH(B103,$A$5:$A$7,0)))))),""))</f>
        <v/>
      </c>
      <c r="R103" s="23" t="str">
        <f aca="false">IF(OR(A103="",B103=""),"",IF(OR(Q103="",COUNTIFS($B$12:$B$211,B103,$Q$12:$Q$211,"&gt;=0")&lt;2),"No Data Yet",IFERROR(IF(Q103/AVERAGEIFS($Q$12:$Q$211,$B$12:$B$211,B103)&gt;=1.2,"Good",IF(Q103/AVERAGEIFS($Q$12:$Q$211,$B$12:$B$211,B103)&gt;=0.8,"Average","Below Standard")),"Average")))</f>
        <v/>
      </c>
      <c r="S103" s="24"/>
      <c r="T103" s="24"/>
      <c r="U103" s="20"/>
      <c r="V103" s="23" t="str">
        <f aca="false">IF(OR(A103="",B103=""),"","https://www.alphanodus.com/contact?utm_source="&amp;IF(B103="X","twitter",LOWER(B103))&amp;"&amp;utm_medium=social&amp;utm_campaign="&amp;IF(D103="","general",LOWER(SUBSTITUTE(SUBSTITUTE(D103," / ","-")," ","-")))&amp;"&amp;utm_content="&amp;LOWER(LEFT(B103,2))&amp;"-"&amp;TEXT(A103,"yymmdd"))</f>
        <v/>
      </c>
    </row>
    <row r="104" customFormat="false" ht="15" hidden="false" customHeight="false" outlineLevel="0" collapsed="false">
      <c r="A104" s="25"/>
      <c r="B104" s="20"/>
      <c r="C104" s="24"/>
      <c r="D104" s="20"/>
      <c r="E104" s="20"/>
      <c r="F104" s="20"/>
      <c r="G104" s="19"/>
      <c r="H104" s="19"/>
      <c r="I104" s="19"/>
      <c r="J104" s="19"/>
      <c r="K104" s="19"/>
      <c r="L104" s="19"/>
      <c r="M104" s="19"/>
      <c r="N104" s="19"/>
      <c r="O104" s="20"/>
      <c r="P104" s="21" t="str">
        <f aca="false">IF(OR(A104="",B104=""),"",IF(COUNT(I104:M104)=0,"",SUM(I104:M104)))</f>
        <v/>
      </c>
      <c r="Q104" s="22" t="str">
        <f aca="false">IF(OR(OR(A104="",B104=""),P104=""),"",IFERROR(P104/(IF(N(H104)&gt;0,H104,IF(N(G104)&gt;0,G104,IF(COUNTIFS($B$12:$B$211,B104,$G$12:$G$211,"&gt;0")+COUNTIFS($B$12:$B$211,B104,$H$12:$H$211,"&gt;0")&gt;0,"",INDEX($B$5:$B$7,MATCH(B104,$A$5:$A$7,0)))))),""))</f>
        <v/>
      </c>
      <c r="R104" s="23" t="str">
        <f aca="false">IF(OR(A104="",B104=""),"",IF(OR(Q104="",COUNTIFS($B$12:$B$211,B104,$Q$12:$Q$211,"&gt;=0")&lt;2),"No Data Yet",IFERROR(IF(Q104/AVERAGEIFS($Q$12:$Q$211,$B$12:$B$211,B104)&gt;=1.2,"Good",IF(Q104/AVERAGEIFS($Q$12:$Q$211,$B$12:$B$211,B104)&gt;=0.8,"Average","Below Standard")),"Average")))</f>
        <v/>
      </c>
      <c r="S104" s="24"/>
      <c r="T104" s="24"/>
      <c r="U104" s="20"/>
      <c r="V104" s="23" t="str">
        <f aca="false">IF(OR(A104="",B104=""),"","https://www.alphanodus.com/contact?utm_source="&amp;IF(B104="X","twitter",LOWER(B104))&amp;"&amp;utm_medium=social&amp;utm_campaign="&amp;IF(D104="","general",LOWER(SUBSTITUTE(SUBSTITUTE(D104," / ","-")," ","-")))&amp;"&amp;utm_content="&amp;LOWER(LEFT(B104,2))&amp;"-"&amp;TEXT(A104,"yymmdd"))</f>
        <v/>
      </c>
    </row>
    <row r="105" customFormat="false" ht="15" hidden="false" customHeight="false" outlineLevel="0" collapsed="false">
      <c r="A105" s="25"/>
      <c r="B105" s="20"/>
      <c r="C105" s="24"/>
      <c r="D105" s="20"/>
      <c r="E105" s="20"/>
      <c r="F105" s="20"/>
      <c r="G105" s="19"/>
      <c r="H105" s="19"/>
      <c r="I105" s="19"/>
      <c r="J105" s="19"/>
      <c r="K105" s="19"/>
      <c r="L105" s="19"/>
      <c r="M105" s="19"/>
      <c r="N105" s="19"/>
      <c r="O105" s="20"/>
      <c r="P105" s="21" t="str">
        <f aca="false">IF(OR(A105="",B105=""),"",IF(COUNT(I105:M105)=0,"",SUM(I105:M105)))</f>
        <v/>
      </c>
      <c r="Q105" s="22" t="str">
        <f aca="false">IF(OR(OR(A105="",B105=""),P105=""),"",IFERROR(P105/(IF(N(H105)&gt;0,H105,IF(N(G105)&gt;0,G105,IF(COUNTIFS($B$12:$B$211,B105,$G$12:$G$211,"&gt;0")+COUNTIFS($B$12:$B$211,B105,$H$12:$H$211,"&gt;0")&gt;0,"",INDEX($B$5:$B$7,MATCH(B105,$A$5:$A$7,0)))))),""))</f>
        <v/>
      </c>
      <c r="R105" s="23" t="str">
        <f aca="false">IF(OR(A105="",B105=""),"",IF(OR(Q105="",COUNTIFS($B$12:$B$211,B105,$Q$12:$Q$211,"&gt;=0")&lt;2),"No Data Yet",IFERROR(IF(Q105/AVERAGEIFS($Q$12:$Q$211,$B$12:$B$211,B105)&gt;=1.2,"Good",IF(Q105/AVERAGEIFS($Q$12:$Q$211,$B$12:$B$211,B105)&gt;=0.8,"Average","Below Standard")),"Average")))</f>
        <v/>
      </c>
      <c r="S105" s="24"/>
      <c r="T105" s="24"/>
      <c r="U105" s="20"/>
      <c r="V105" s="23" t="str">
        <f aca="false">IF(OR(A105="",B105=""),"","https://www.alphanodus.com/contact?utm_source="&amp;IF(B105="X","twitter",LOWER(B105))&amp;"&amp;utm_medium=social&amp;utm_campaign="&amp;IF(D105="","general",LOWER(SUBSTITUTE(SUBSTITUTE(D105," / ","-")," ","-")))&amp;"&amp;utm_content="&amp;LOWER(LEFT(B105,2))&amp;"-"&amp;TEXT(A105,"yymmdd"))</f>
        <v/>
      </c>
    </row>
    <row r="106" customFormat="false" ht="15" hidden="false" customHeight="false" outlineLevel="0" collapsed="false">
      <c r="A106" s="25"/>
      <c r="B106" s="20"/>
      <c r="C106" s="24"/>
      <c r="D106" s="20"/>
      <c r="E106" s="20"/>
      <c r="F106" s="20"/>
      <c r="G106" s="19"/>
      <c r="H106" s="19"/>
      <c r="I106" s="19"/>
      <c r="J106" s="19"/>
      <c r="K106" s="19"/>
      <c r="L106" s="19"/>
      <c r="M106" s="19"/>
      <c r="N106" s="19"/>
      <c r="O106" s="20"/>
      <c r="P106" s="21" t="str">
        <f aca="false">IF(OR(A106="",B106=""),"",IF(COUNT(I106:M106)=0,"",SUM(I106:M106)))</f>
        <v/>
      </c>
      <c r="Q106" s="22" t="str">
        <f aca="false">IF(OR(OR(A106="",B106=""),P106=""),"",IFERROR(P106/(IF(N(H106)&gt;0,H106,IF(N(G106)&gt;0,G106,IF(COUNTIFS($B$12:$B$211,B106,$G$12:$G$211,"&gt;0")+COUNTIFS($B$12:$B$211,B106,$H$12:$H$211,"&gt;0")&gt;0,"",INDEX($B$5:$B$7,MATCH(B106,$A$5:$A$7,0)))))),""))</f>
        <v/>
      </c>
      <c r="R106" s="23" t="str">
        <f aca="false">IF(OR(A106="",B106=""),"",IF(OR(Q106="",COUNTIFS($B$12:$B$211,B106,$Q$12:$Q$211,"&gt;=0")&lt;2),"No Data Yet",IFERROR(IF(Q106/AVERAGEIFS($Q$12:$Q$211,$B$12:$B$211,B106)&gt;=1.2,"Good",IF(Q106/AVERAGEIFS($Q$12:$Q$211,$B$12:$B$211,B106)&gt;=0.8,"Average","Below Standard")),"Average")))</f>
        <v/>
      </c>
      <c r="S106" s="24"/>
      <c r="T106" s="24"/>
      <c r="U106" s="20"/>
      <c r="V106" s="23" t="str">
        <f aca="false">IF(OR(A106="",B106=""),"","https://www.alphanodus.com/contact?utm_source="&amp;IF(B106="X","twitter",LOWER(B106))&amp;"&amp;utm_medium=social&amp;utm_campaign="&amp;IF(D106="","general",LOWER(SUBSTITUTE(SUBSTITUTE(D106," / ","-")," ","-")))&amp;"&amp;utm_content="&amp;LOWER(LEFT(B106,2))&amp;"-"&amp;TEXT(A106,"yymmdd"))</f>
        <v/>
      </c>
    </row>
    <row r="107" customFormat="false" ht="15" hidden="false" customHeight="false" outlineLevel="0" collapsed="false">
      <c r="A107" s="25"/>
      <c r="B107" s="20"/>
      <c r="C107" s="24"/>
      <c r="D107" s="20"/>
      <c r="E107" s="20"/>
      <c r="F107" s="20"/>
      <c r="G107" s="19"/>
      <c r="H107" s="19"/>
      <c r="I107" s="19"/>
      <c r="J107" s="19"/>
      <c r="K107" s="19"/>
      <c r="L107" s="19"/>
      <c r="M107" s="19"/>
      <c r="N107" s="19"/>
      <c r="O107" s="20"/>
      <c r="P107" s="21" t="str">
        <f aca="false">IF(OR(A107="",B107=""),"",IF(COUNT(I107:M107)=0,"",SUM(I107:M107)))</f>
        <v/>
      </c>
      <c r="Q107" s="22" t="str">
        <f aca="false">IF(OR(OR(A107="",B107=""),P107=""),"",IFERROR(P107/(IF(N(H107)&gt;0,H107,IF(N(G107)&gt;0,G107,IF(COUNTIFS($B$12:$B$211,B107,$G$12:$G$211,"&gt;0")+COUNTIFS($B$12:$B$211,B107,$H$12:$H$211,"&gt;0")&gt;0,"",INDEX($B$5:$B$7,MATCH(B107,$A$5:$A$7,0)))))),""))</f>
        <v/>
      </c>
      <c r="R107" s="23" t="str">
        <f aca="false">IF(OR(A107="",B107=""),"",IF(OR(Q107="",COUNTIFS($B$12:$B$211,B107,$Q$12:$Q$211,"&gt;=0")&lt;2),"No Data Yet",IFERROR(IF(Q107/AVERAGEIFS($Q$12:$Q$211,$B$12:$B$211,B107)&gt;=1.2,"Good",IF(Q107/AVERAGEIFS($Q$12:$Q$211,$B$12:$B$211,B107)&gt;=0.8,"Average","Below Standard")),"Average")))</f>
        <v/>
      </c>
      <c r="S107" s="24"/>
      <c r="T107" s="24"/>
      <c r="U107" s="20"/>
      <c r="V107" s="23" t="str">
        <f aca="false">IF(OR(A107="",B107=""),"","https://www.alphanodus.com/contact?utm_source="&amp;IF(B107="X","twitter",LOWER(B107))&amp;"&amp;utm_medium=social&amp;utm_campaign="&amp;IF(D107="","general",LOWER(SUBSTITUTE(SUBSTITUTE(D107," / ","-")," ","-")))&amp;"&amp;utm_content="&amp;LOWER(LEFT(B107,2))&amp;"-"&amp;TEXT(A107,"yymmdd"))</f>
        <v/>
      </c>
    </row>
    <row r="108" customFormat="false" ht="15" hidden="false" customHeight="false" outlineLevel="0" collapsed="false">
      <c r="A108" s="25"/>
      <c r="B108" s="20"/>
      <c r="C108" s="24"/>
      <c r="D108" s="20"/>
      <c r="E108" s="20"/>
      <c r="F108" s="20"/>
      <c r="G108" s="19"/>
      <c r="H108" s="19"/>
      <c r="I108" s="19"/>
      <c r="J108" s="19"/>
      <c r="K108" s="19"/>
      <c r="L108" s="19"/>
      <c r="M108" s="19"/>
      <c r="N108" s="19"/>
      <c r="O108" s="20"/>
      <c r="P108" s="21" t="str">
        <f aca="false">IF(OR(A108="",B108=""),"",IF(COUNT(I108:M108)=0,"",SUM(I108:M108)))</f>
        <v/>
      </c>
      <c r="Q108" s="22" t="str">
        <f aca="false">IF(OR(OR(A108="",B108=""),P108=""),"",IFERROR(P108/(IF(N(H108)&gt;0,H108,IF(N(G108)&gt;0,G108,IF(COUNTIFS($B$12:$B$211,B108,$G$12:$G$211,"&gt;0")+COUNTIFS($B$12:$B$211,B108,$H$12:$H$211,"&gt;0")&gt;0,"",INDEX($B$5:$B$7,MATCH(B108,$A$5:$A$7,0)))))),""))</f>
        <v/>
      </c>
      <c r="R108" s="23" t="str">
        <f aca="false">IF(OR(A108="",B108=""),"",IF(OR(Q108="",COUNTIFS($B$12:$B$211,B108,$Q$12:$Q$211,"&gt;=0")&lt;2),"No Data Yet",IFERROR(IF(Q108/AVERAGEIFS($Q$12:$Q$211,$B$12:$B$211,B108)&gt;=1.2,"Good",IF(Q108/AVERAGEIFS($Q$12:$Q$211,$B$12:$B$211,B108)&gt;=0.8,"Average","Below Standard")),"Average")))</f>
        <v/>
      </c>
      <c r="S108" s="24"/>
      <c r="T108" s="24"/>
      <c r="U108" s="20"/>
      <c r="V108" s="23" t="str">
        <f aca="false">IF(OR(A108="",B108=""),"","https://www.alphanodus.com/contact?utm_source="&amp;IF(B108="X","twitter",LOWER(B108))&amp;"&amp;utm_medium=social&amp;utm_campaign="&amp;IF(D108="","general",LOWER(SUBSTITUTE(SUBSTITUTE(D108," / ","-")," ","-")))&amp;"&amp;utm_content="&amp;LOWER(LEFT(B108,2))&amp;"-"&amp;TEXT(A108,"yymmdd"))</f>
        <v/>
      </c>
    </row>
    <row r="109" customFormat="false" ht="15" hidden="false" customHeight="false" outlineLevel="0" collapsed="false">
      <c r="A109" s="25"/>
      <c r="B109" s="20"/>
      <c r="C109" s="24"/>
      <c r="D109" s="20"/>
      <c r="E109" s="20"/>
      <c r="F109" s="20"/>
      <c r="G109" s="19"/>
      <c r="H109" s="19"/>
      <c r="I109" s="19"/>
      <c r="J109" s="19"/>
      <c r="K109" s="19"/>
      <c r="L109" s="19"/>
      <c r="M109" s="19"/>
      <c r="N109" s="19"/>
      <c r="O109" s="20"/>
      <c r="P109" s="21" t="str">
        <f aca="false">IF(OR(A109="",B109=""),"",IF(COUNT(I109:M109)=0,"",SUM(I109:M109)))</f>
        <v/>
      </c>
      <c r="Q109" s="22" t="str">
        <f aca="false">IF(OR(OR(A109="",B109=""),P109=""),"",IFERROR(P109/(IF(N(H109)&gt;0,H109,IF(N(G109)&gt;0,G109,IF(COUNTIFS($B$12:$B$211,B109,$G$12:$G$211,"&gt;0")+COUNTIFS($B$12:$B$211,B109,$H$12:$H$211,"&gt;0")&gt;0,"",INDEX($B$5:$B$7,MATCH(B109,$A$5:$A$7,0)))))),""))</f>
        <v/>
      </c>
      <c r="R109" s="23" t="str">
        <f aca="false">IF(OR(A109="",B109=""),"",IF(OR(Q109="",COUNTIFS($B$12:$B$211,B109,$Q$12:$Q$211,"&gt;=0")&lt;2),"No Data Yet",IFERROR(IF(Q109/AVERAGEIFS($Q$12:$Q$211,$B$12:$B$211,B109)&gt;=1.2,"Good",IF(Q109/AVERAGEIFS($Q$12:$Q$211,$B$12:$B$211,B109)&gt;=0.8,"Average","Below Standard")),"Average")))</f>
        <v/>
      </c>
      <c r="S109" s="24"/>
      <c r="T109" s="24"/>
      <c r="U109" s="20"/>
      <c r="V109" s="23" t="str">
        <f aca="false">IF(OR(A109="",B109=""),"","https://www.alphanodus.com/contact?utm_source="&amp;IF(B109="X","twitter",LOWER(B109))&amp;"&amp;utm_medium=social&amp;utm_campaign="&amp;IF(D109="","general",LOWER(SUBSTITUTE(SUBSTITUTE(D109," / ","-")," ","-")))&amp;"&amp;utm_content="&amp;LOWER(LEFT(B109,2))&amp;"-"&amp;TEXT(A109,"yymmdd"))</f>
        <v/>
      </c>
    </row>
    <row r="110" customFormat="false" ht="15" hidden="false" customHeight="false" outlineLevel="0" collapsed="false">
      <c r="A110" s="25"/>
      <c r="B110" s="20"/>
      <c r="C110" s="24"/>
      <c r="D110" s="20"/>
      <c r="E110" s="20"/>
      <c r="F110" s="20"/>
      <c r="G110" s="19"/>
      <c r="H110" s="19"/>
      <c r="I110" s="19"/>
      <c r="J110" s="19"/>
      <c r="K110" s="19"/>
      <c r="L110" s="19"/>
      <c r="M110" s="19"/>
      <c r="N110" s="19"/>
      <c r="O110" s="20"/>
      <c r="P110" s="21" t="str">
        <f aca="false">IF(OR(A110="",B110=""),"",IF(COUNT(I110:M110)=0,"",SUM(I110:M110)))</f>
        <v/>
      </c>
      <c r="Q110" s="22" t="str">
        <f aca="false">IF(OR(OR(A110="",B110=""),P110=""),"",IFERROR(P110/(IF(N(H110)&gt;0,H110,IF(N(G110)&gt;0,G110,IF(COUNTIFS($B$12:$B$211,B110,$G$12:$G$211,"&gt;0")+COUNTIFS($B$12:$B$211,B110,$H$12:$H$211,"&gt;0")&gt;0,"",INDEX($B$5:$B$7,MATCH(B110,$A$5:$A$7,0)))))),""))</f>
        <v/>
      </c>
      <c r="R110" s="23" t="str">
        <f aca="false">IF(OR(A110="",B110=""),"",IF(OR(Q110="",COUNTIFS($B$12:$B$211,B110,$Q$12:$Q$211,"&gt;=0")&lt;2),"No Data Yet",IFERROR(IF(Q110/AVERAGEIFS($Q$12:$Q$211,$B$12:$B$211,B110)&gt;=1.2,"Good",IF(Q110/AVERAGEIFS($Q$12:$Q$211,$B$12:$B$211,B110)&gt;=0.8,"Average","Below Standard")),"Average")))</f>
        <v/>
      </c>
      <c r="S110" s="24"/>
      <c r="T110" s="24"/>
      <c r="U110" s="20"/>
      <c r="V110" s="23" t="str">
        <f aca="false">IF(OR(A110="",B110=""),"","https://www.alphanodus.com/contact?utm_source="&amp;IF(B110="X","twitter",LOWER(B110))&amp;"&amp;utm_medium=social&amp;utm_campaign="&amp;IF(D110="","general",LOWER(SUBSTITUTE(SUBSTITUTE(D110," / ","-")," ","-")))&amp;"&amp;utm_content="&amp;LOWER(LEFT(B110,2))&amp;"-"&amp;TEXT(A110,"yymmdd"))</f>
        <v/>
      </c>
    </row>
    <row r="111" customFormat="false" ht="15" hidden="false" customHeight="false" outlineLevel="0" collapsed="false">
      <c r="A111" s="25"/>
      <c r="B111" s="20"/>
      <c r="C111" s="24"/>
      <c r="D111" s="20"/>
      <c r="E111" s="20"/>
      <c r="F111" s="20"/>
      <c r="G111" s="19"/>
      <c r="H111" s="19"/>
      <c r="I111" s="19"/>
      <c r="J111" s="19"/>
      <c r="K111" s="19"/>
      <c r="L111" s="19"/>
      <c r="M111" s="19"/>
      <c r="N111" s="19"/>
      <c r="O111" s="20"/>
      <c r="P111" s="21" t="str">
        <f aca="false">IF(OR(A111="",B111=""),"",IF(COUNT(I111:M111)=0,"",SUM(I111:M111)))</f>
        <v/>
      </c>
      <c r="Q111" s="22" t="str">
        <f aca="false">IF(OR(OR(A111="",B111=""),P111=""),"",IFERROR(P111/(IF(N(H111)&gt;0,H111,IF(N(G111)&gt;0,G111,IF(COUNTIFS($B$12:$B$211,B111,$G$12:$G$211,"&gt;0")+COUNTIFS($B$12:$B$211,B111,$H$12:$H$211,"&gt;0")&gt;0,"",INDEX($B$5:$B$7,MATCH(B111,$A$5:$A$7,0)))))),""))</f>
        <v/>
      </c>
      <c r="R111" s="23" t="str">
        <f aca="false">IF(OR(A111="",B111=""),"",IF(OR(Q111="",COUNTIFS($B$12:$B$211,B111,$Q$12:$Q$211,"&gt;=0")&lt;2),"No Data Yet",IFERROR(IF(Q111/AVERAGEIFS($Q$12:$Q$211,$B$12:$B$211,B111)&gt;=1.2,"Good",IF(Q111/AVERAGEIFS($Q$12:$Q$211,$B$12:$B$211,B111)&gt;=0.8,"Average","Below Standard")),"Average")))</f>
        <v/>
      </c>
      <c r="S111" s="24"/>
      <c r="T111" s="24"/>
      <c r="U111" s="20"/>
      <c r="V111" s="23" t="str">
        <f aca="false">IF(OR(A111="",B111=""),"","https://www.alphanodus.com/contact?utm_source="&amp;IF(B111="X","twitter",LOWER(B111))&amp;"&amp;utm_medium=social&amp;utm_campaign="&amp;IF(D111="","general",LOWER(SUBSTITUTE(SUBSTITUTE(D111," / ","-")," ","-")))&amp;"&amp;utm_content="&amp;LOWER(LEFT(B111,2))&amp;"-"&amp;TEXT(A111,"yymmdd"))</f>
        <v/>
      </c>
    </row>
    <row r="112" customFormat="false" ht="15" hidden="false" customHeight="false" outlineLevel="0" collapsed="false">
      <c r="A112" s="25"/>
      <c r="B112" s="20"/>
      <c r="C112" s="24"/>
      <c r="D112" s="20"/>
      <c r="E112" s="20"/>
      <c r="F112" s="20"/>
      <c r="G112" s="19"/>
      <c r="H112" s="19"/>
      <c r="I112" s="19"/>
      <c r="J112" s="19"/>
      <c r="K112" s="19"/>
      <c r="L112" s="19"/>
      <c r="M112" s="19"/>
      <c r="N112" s="19"/>
      <c r="O112" s="20"/>
      <c r="P112" s="21" t="str">
        <f aca="false">IF(OR(A112="",B112=""),"",IF(COUNT(I112:M112)=0,"",SUM(I112:M112)))</f>
        <v/>
      </c>
      <c r="Q112" s="22" t="str">
        <f aca="false">IF(OR(OR(A112="",B112=""),P112=""),"",IFERROR(P112/(IF(N(H112)&gt;0,H112,IF(N(G112)&gt;0,G112,IF(COUNTIFS($B$12:$B$211,B112,$G$12:$G$211,"&gt;0")+COUNTIFS($B$12:$B$211,B112,$H$12:$H$211,"&gt;0")&gt;0,"",INDEX($B$5:$B$7,MATCH(B112,$A$5:$A$7,0)))))),""))</f>
        <v/>
      </c>
      <c r="R112" s="23" t="str">
        <f aca="false">IF(OR(A112="",B112=""),"",IF(OR(Q112="",COUNTIFS($B$12:$B$211,B112,$Q$12:$Q$211,"&gt;=0")&lt;2),"No Data Yet",IFERROR(IF(Q112/AVERAGEIFS($Q$12:$Q$211,$B$12:$B$211,B112)&gt;=1.2,"Good",IF(Q112/AVERAGEIFS($Q$12:$Q$211,$B$12:$B$211,B112)&gt;=0.8,"Average","Below Standard")),"Average")))</f>
        <v/>
      </c>
      <c r="S112" s="24"/>
      <c r="T112" s="24"/>
      <c r="U112" s="20"/>
      <c r="V112" s="23" t="str">
        <f aca="false">IF(OR(A112="",B112=""),"","https://www.alphanodus.com/contact?utm_source="&amp;IF(B112="X","twitter",LOWER(B112))&amp;"&amp;utm_medium=social&amp;utm_campaign="&amp;IF(D112="","general",LOWER(SUBSTITUTE(SUBSTITUTE(D112," / ","-")," ","-")))&amp;"&amp;utm_content="&amp;LOWER(LEFT(B112,2))&amp;"-"&amp;TEXT(A112,"yymmdd"))</f>
        <v/>
      </c>
    </row>
    <row r="113" customFormat="false" ht="15" hidden="false" customHeight="false" outlineLevel="0" collapsed="false">
      <c r="A113" s="25"/>
      <c r="B113" s="20"/>
      <c r="C113" s="24"/>
      <c r="D113" s="20"/>
      <c r="E113" s="20"/>
      <c r="F113" s="20"/>
      <c r="G113" s="19"/>
      <c r="H113" s="19"/>
      <c r="I113" s="19"/>
      <c r="J113" s="19"/>
      <c r="K113" s="19"/>
      <c r="L113" s="19"/>
      <c r="M113" s="19"/>
      <c r="N113" s="19"/>
      <c r="O113" s="20"/>
      <c r="P113" s="21" t="str">
        <f aca="false">IF(OR(A113="",B113=""),"",IF(COUNT(I113:M113)=0,"",SUM(I113:M113)))</f>
        <v/>
      </c>
      <c r="Q113" s="22" t="str">
        <f aca="false">IF(OR(OR(A113="",B113=""),P113=""),"",IFERROR(P113/(IF(N(H113)&gt;0,H113,IF(N(G113)&gt;0,G113,IF(COUNTIFS($B$12:$B$211,B113,$G$12:$G$211,"&gt;0")+COUNTIFS($B$12:$B$211,B113,$H$12:$H$211,"&gt;0")&gt;0,"",INDEX($B$5:$B$7,MATCH(B113,$A$5:$A$7,0)))))),""))</f>
        <v/>
      </c>
      <c r="R113" s="23" t="str">
        <f aca="false">IF(OR(A113="",B113=""),"",IF(OR(Q113="",COUNTIFS($B$12:$B$211,B113,$Q$12:$Q$211,"&gt;=0")&lt;2),"No Data Yet",IFERROR(IF(Q113/AVERAGEIFS($Q$12:$Q$211,$B$12:$B$211,B113)&gt;=1.2,"Good",IF(Q113/AVERAGEIFS($Q$12:$Q$211,$B$12:$B$211,B113)&gt;=0.8,"Average","Below Standard")),"Average")))</f>
        <v/>
      </c>
      <c r="S113" s="24"/>
      <c r="T113" s="24"/>
      <c r="U113" s="20"/>
      <c r="V113" s="23" t="str">
        <f aca="false">IF(OR(A113="",B113=""),"","https://www.alphanodus.com/contact?utm_source="&amp;IF(B113="X","twitter",LOWER(B113))&amp;"&amp;utm_medium=social&amp;utm_campaign="&amp;IF(D113="","general",LOWER(SUBSTITUTE(SUBSTITUTE(D113," / ","-")," ","-")))&amp;"&amp;utm_content="&amp;LOWER(LEFT(B113,2))&amp;"-"&amp;TEXT(A113,"yymmdd"))</f>
        <v/>
      </c>
    </row>
    <row r="114" customFormat="false" ht="15" hidden="false" customHeight="false" outlineLevel="0" collapsed="false">
      <c r="A114" s="25"/>
      <c r="B114" s="20"/>
      <c r="C114" s="24"/>
      <c r="D114" s="20"/>
      <c r="E114" s="20"/>
      <c r="F114" s="20"/>
      <c r="G114" s="19"/>
      <c r="H114" s="19"/>
      <c r="I114" s="19"/>
      <c r="J114" s="19"/>
      <c r="K114" s="19"/>
      <c r="L114" s="19"/>
      <c r="M114" s="19"/>
      <c r="N114" s="19"/>
      <c r="O114" s="20"/>
      <c r="P114" s="21" t="str">
        <f aca="false">IF(OR(A114="",B114=""),"",IF(COUNT(I114:M114)=0,"",SUM(I114:M114)))</f>
        <v/>
      </c>
      <c r="Q114" s="22" t="str">
        <f aca="false">IF(OR(OR(A114="",B114=""),P114=""),"",IFERROR(P114/(IF(N(H114)&gt;0,H114,IF(N(G114)&gt;0,G114,IF(COUNTIFS($B$12:$B$211,B114,$G$12:$G$211,"&gt;0")+COUNTIFS($B$12:$B$211,B114,$H$12:$H$211,"&gt;0")&gt;0,"",INDEX($B$5:$B$7,MATCH(B114,$A$5:$A$7,0)))))),""))</f>
        <v/>
      </c>
      <c r="R114" s="23" t="str">
        <f aca="false">IF(OR(A114="",B114=""),"",IF(OR(Q114="",COUNTIFS($B$12:$B$211,B114,$Q$12:$Q$211,"&gt;=0")&lt;2),"No Data Yet",IFERROR(IF(Q114/AVERAGEIFS($Q$12:$Q$211,$B$12:$B$211,B114)&gt;=1.2,"Good",IF(Q114/AVERAGEIFS($Q$12:$Q$211,$B$12:$B$211,B114)&gt;=0.8,"Average","Below Standard")),"Average")))</f>
        <v/>
      </c>
      <c r="S114" s="24"/>
      <c r="T114" s="24"/>
      <c r="U114" s="20"/>
      <c r="V114" s="23" t="str">
        <f aca="false">IF(OR(A114="",B114=""),"","https://www.alphanodus.com/contact?utm_source="&amp;IF(B114="X","twitter",LOWER(B114))&amp;"&amp;utm_medium=social&amp;utm_campaign="&amp;IF(D114="","general",LOWER(SUBSTITUTE(SUBSTITUTE(D114," / ","-")," ","-")))&amp;"&amp;utm_content="&amp;LOWER(LEFT(B114,2))&amp;"-"&amp;TEXT(A114,"yymmdd"))</f>
        <v/>
      </c>
    </row>
    <row r="115" customFormat="false" ht="15" hidden="false" customHeight="false" outlineLevel="0" collapsed="false">
      <c r="A115" s="25"/>
      <c r="B115" s="20"/>
      <c r="C115" s="24"/>
      <c r="D115" s="20"/>
      <c r="E115" s="20"/>
      <c r="F115" s="20"/>
      <c r="G115" s="19"/>
      <c r="H115" s="19"/>
      <c r="I115" s="19"/>
      <c r="J115" s="19"/>
      <c r="K115" s="19"/>
      <c r="L115" s="19"/>
      <c r="M115" s="19"/>
      <c r="N115" s="19"/>
      <c r="O115" s="20"/>
      <c r="P115" s="21" t="str">
        <f aca="false">IF(OR(A115="",B115=""),"",IF(COUNT(I115:M115)=0,"",SUM(I115:M115)))</f>
        <v/>
      </c>
      <c r="Q115" s="22" t="str">
        <f aca="false">IF(OR(OR(A115="",B115=""),P115=""),"",IFERROR(P115/(IF(N(H115)&gt;0,H115,IF(N(G115)&gt;0,G115,IF(COUNTIFS($B$12:$B$211,B115,$G$12:$G$211,"&gt;0")+COUNTIFS($B$12:$B$211,B115,$H$12:$H$211,"&gt;0")&gt;0,"",INDEX($B$5:$B$7,MATCH(B115,$A$5:$A$7,0)))))),""))</f>
        <v/>
      </c>
      <c r="R115" s="23" t="str">
        <f aca="false">IF(OR(A115="",B115=""),"",IF(OR(Q115="",COUNTIFS($B$12:$B$211,B115,$Q$12:$Q$211,"&gt;=0")&lt;2),"No Data Yet",IFERROR(IF(Q115/AVERAGEIFS($Q$12:$Q$211,$B$12:$B$211,B115)&gt;=1.2,"Good",IF(Q115/AVERAGEIFS($Q$12:$Q$211,$B$12:$B$211,B115)&gt;=0.8,"Average","Below Standard")),"Average")))</f>
        <v/>
      </c>
      <c r="S115" s="24"/>
      <c r="T115" s="24"/>
      <c r="U115" s="20"/>
      <c r="V115" s="23" t="str">
        <f aca="false">IF(OR(A115="",B115=""),"","https://www.alphanodus.com/contact?utm_source="&amp;IF(B115="X","twitter",LOWER(B115))&amp;"&amp;utm_medium=social&amp;utm_campaign="&amp;IF(D115="","general",LOWER(SUBSTITUTE(SUBSTITUTE(D115," / ","-")," ","-")))&amp;"&amp;utm_content="&amp;LOWER(LEFT(B115,2))&amp;"-"&amp;TEXT(A115,"yymmdd"))</f>
        <v/>
      </c>
    </row>
    <row r="116" customFormat="false" ht="15" hidden="false" customHeight="false" outlineLevel="0" collapsed="false">
      <c r="A116" s="25"/>
      <c r="B116" s="20"/>
      <c r="C116" s="24"/>
      <c r="D116" s="20"/>
      <c r="E116" s="20"/>
      <c r="F116" s="20"/>
      <c r="G116" s="19"/>
      <c r="H116" s="19"/>
      <c r="I116" s="19"/>
      <c r="J116" s="19"/>
      <c r="K116" s="19"/>
      <c r="L116" s="19"/>
      <c r="M116" s="19"/>
      <c r="N116" s="19"/>
      <c r="O116" s="20"/>
      <c r="P116" s="21" t="str">
        <f aca="false">IF(OR(A116="",B116=""),"",IF(COUNT(I116:M116)=0,"",SUM(I116:M116)))</f>
        <v/>
      </c>
      <c r="Q116" s="22" t="str">
        <f aca="false">IF(OR(OR(A116="",B116=""),P116=""),"",IFERROR(P116/(IF(N(H116)&gt;0,H116,IF(N(G116)&gt;0,G116,IF(COUNTIFS($B$12:$B$211,B116,$G$12:$G$211,"&gt;0")+COUNTIFS($B$12:$B$211,B116,$H$12:$H$211,"&gt;0")&gt;0,"",INDEX($B$5:$B$7,MATCH(B116,$A$5:$A$7,0)))))),""))</f>
        <v/>
      </c>
      <c r="R116" s="23" t="str">
        <f aca="false">IF(OR(A116="",B116=""),"",IF(OR(Q116="",COUNTIFS($B$12:$B$211,B116,$Q$12:$Q$211,"&gt;=0")&lt;2),"No Data Yet",IFERROR(IF(Q116/AVERAGEIFS($Q$12:$Q$211,$B$12:$B$211,B116)&gt;=1.2,"Good",IF(Q116/AVERAGEIFS($Q$12:$Q$211,$B$12:$B$211,B116)&gt;=0.8,"Average","Below Standard")),"Average")))</f>
        <v/>
      </c>
      <c r="S116" s="24"/>
      <c r="T116" s="24"/>
      <c r="U116" s="20"/>
      <c r="V116" s="23" t="str">
        <f aca="false">IF(OR(A116="",B116=""),"","https://www.alphanodus.com/contact?utm_source="&amp;IF(B116="X","twitter",LOWER(B116))&amp;"&amp;utm_medium=social&amp;utm_campaign="&amp;IF(D116="","general",LOWER(SUBSTITUTE(SUBSTITUTE(D116," / ","-")," ","-")))&amp;"&amp;utm_content="&amp;LOWER(LEFT(B116,2))&amp;"-"&amp;TEXT(A116,"yymmdd"))</f>
        <v/>
      </c>
    </row>
    <row r="117" customFormat="false" ht="15" hidden="false" customHeight="false" outlineLevel="0" collapsed="false">
      <c r="A117" s="25"/>
      <c r="B117" s="20"/>
      <c r="C117" s="24"/>
      <c r="D117" s="20"/>
      <c r="E117" s="20"/>
      <c r="F117" s="20"/>
      <c r="G117" s="19"/>
      <c r="H117" s="19"/>
      <c r="I117" s="19"/>
      <c r="J117" s="19"/>
      <c r="K117" s="19"/>
      <c r="L117" s="19"/>
      <c r="M117" s="19"/>
      <c r="N117" s="19"/>
      <c r="O117" s="20"/>
      <c r="P117" s="21" t="str">
        <f aca="false">IF(OR(A117="",B117=""),"",IF(COUNT(I117:M117)=0,"",SUM(I117:M117)))</f>
        <v/>
      </c>
      <c r="Q117" s="22" t="str">
        <f aca="false">IF(OR(OR(A117="",B117=""),P117=""),"",IFERROR(P117/(IF(N(H117)&gt;0,H117,IF(N(G117)&gt;0,G117,IF(COUNTIFS($B$12:$B$211,B117,$G$12:$G$211,"&gt;0")+COUNTIFS($B$12:$B$211,B117,$H$12:$H$211,"&gt;0")&gt;0,"",INDEX($B$5:$B$7,MATCH(B117,$A$5:$A$7,0)))))),""))</f>
        <v/>
      </c>
      <c r="R117" s="23" t="str">
        <f aca="false">IF(OR(A117="",B117=""),"",IF(OR(Q117="",COUNTIFS($B$12:$B$211,B117,$Q$12:$Q$211,"&gt;=0")&lt;2),"No Data Yet",IFERROR(IF(Q117/AVERAGEIFS($Q$12:$Q$211,$B$12:$B$211,B117)&gt;=1.2,"Good",IF(Q117/AVERAGEIFS($Q$12:$Q$211,$B$12:$B$211,B117)&gt;=0.8,"Average","Below Standard")),"Average")))</f>
        <v/>
      </c>
      <c r="S117" s="24"/>
      <c r="T117" s="24"/>
      <c r="U117" s="20"/>
      <c r="V117" s="23" t="str">
        <f aca="false">IF(OR(A117="",B117=""),"","https://www.alphanodus.com/contact?utm_source="&amp;IF(B117="X","twitter",LOWER(B117))&amp;"&amp;utm_medium=social&amp;utm_campaign="&amp;IF(D117="","general",LOWER(SUBSTITUTE(SUBSTITUTE(D117," / ","-")," ","-")))&amp;"&amp;utm_content="&amp;LOWER(LEFT(B117,2))&amp;"-"&amp;TEXT(A117,"yymmdd"))</f>
        <v/>
      </c>
    </row>
    <row r="118" customFormat="false" ht="15" hidden="false" customHeight="false" outlineLevel="0" collapsed="false">
      <c r="A118" s="25"/>
      <c r="B118" s="20"/>
      <c r="C118" s="24"/>
      <c r="D118" s="20"/>
      <c r="E118" s="20"/>
      <c r="F118" s="20"/>
      <c r="G118" s="19"/>
      <c r="H118" s="19"/>
      <c r="I118" s="19"/>
      <c r="J118" s="19"/>
      <c r="K118" s="19"/>
      <c r="L118" s="19"/>
      <c r="M118" s="19"/>
      <c r="N118" s="19"/>
      <c r="O118" s="20"/>
      <c r="P118" s="21" t="str">
        <f aca="false">IF(OR(A118="",B118=""),"",IF(COUNT(I118:M118)=0,"",SUM(I118:M118)))</f>
        <v/>
      </c>
      <c r="Q118" s="22" t="str">
        <f aca="false">IF(OR(OR(A118="",B118=""),P118=""),"",IFERROR(P118/(IF(N(H118)&gt;0,H118,IF(N(G118)&gt;0,G118,IF(COUNTIFS($B$12:$B$211,B118,$G$12:$G$211,"&gt;0")+COUNTIFS($B$12:$B$211,B118,$H$12:$H$211,"&gt;0")&gt;0,"",INDEX($B$5:$B$7,MATCH(B118,$A$5:$A$7,0)))))),""))</f>
        <v/>
      </c>
      <c r="R118" s="23" t="str">
        <f aca="false">IF(OR(A118="",B118=""),"",IF(OR(Q118="",COUNTIFS($B$12:$B$211,B118,$Q$12:$Q$211,"&gt;=0")&lt;2),"No Data Yet",IFERROR(IF(Q118/AVERAGEIFS($Q$12:$Q$211,$B$12:$B$211,B118)&gt;=1.2,"Good",IF(Q118/AVERAGEIFS($Q$12:$Q$211,$B$12:$B$211,B118)&gt;=0.8,"Average","Below Standard")),"Average")))</f>
        <v/>
      </c>
      <c r="S118" s="24"/>
      <c r="T118" s="24"/>
      <c r="U118" s="20"/>
      <c r="V118" s="23" t="str">
        <f aca="false">IF(OR(A118="",B118=""),"","https://www.alphanodus.com/contact?utm_source="&amp;IF(B118="X","twitter",LOWER(B118))&amp;"&amp;utm_medium=social&amp;utm_campaign="&amp;IF(D118="","general",LOWER(SUBSTITUTE(SUBSTITUTE(D118," / ","-")," ","-")))&amp;"&amp;utm_content="&amp;LOWER(LEFT(B118,2))&amp;"-"&amp;TEXT(A118,"yymmdd"))</f>
        <v/>
      </c>
    </row>
    <row r="119" customFormat="false" ht="15" hidden="false" customHeight="false" outlineLevel="0" collapsed="false">
      <c r="A119" s="25"/>
      <c r="B119" s="20"/>
      <c r="C119" s="24"/>
      <c r="D119" s="20"/>
      <c r="E119" s="20"/>
      <c r="F119" s="20"/>
      <c r="G119" s="19"/>
      <c r="H119" s="19"/>
      <c r="I119" s="19"/>
      <c r="J119" s="19"/>
      <c r="K119" s="19"/>
      <c r="L119" s="19"/>
      <c r="M119" s="19"/>
      <c r="N119" s="19"/>
      <c r="O119" s="20"/>
      <c r="P119" s="21" t="str">
        <f aca="false">IF(OR(A119="",B119=""),"",IF(COUNT(I119:M119)=0,"",SUM(I119:M119)))</f>
        <v/>
      </c>
      <c r="Q119" s="22" t="str">
        <f aca="false">IF(OR(OR(A119="",B119=""),P119=""),"",IFERROR(P119/(IF(N(H119)&gt;0,H119,IF(N(G119)&gt;0,G119,IF(COUNTIFS($B$12:$B$211,B119,$G$12:$G$211,"&gt;0")+COUNTIFS($B$12:$B$211,B119,$H$12:$H$211,"&gt;0")&gt;0,"",INDEX($B$5:$B$7,MATCH(B119,$A$5:$A$7,0)))))),""))</f>
        <v/>
      </c>
      <c r="R119" s="23" t="str">
        <f aca="false">IF(OR(A119="",B119=""),"",IF(OR(Q119="",COUNTIFS($B$12:$B$211,B119,$Q$12:$Q$211,"&gt;=0")&lt;2),"No Data Yet",IFERROR(IF(Q119/AVERAGEIFS($Q$12:$Q$211,$B$12:$B$211,B119)&gt;=1.2,"Good",IF(Q119/AVERAGEIFS($Q$12:$Q$211,$B$12:$B$211,B119)&gt;=0.8,"Average","Below Standard")),"Average")))</f>
        <v/>
      </c>
      <c r="S119" s="24"/>
      <c r="T119" s="24"/>
      <c r="U119" s="20"/>
      <c r="V119" s="23" t="str">
        <f aca="false">IF(OR(A119="",B119=""),"","https://www.alphanodus.com/contact?utm_source="&amp;IF(B119="X","twitter",LOWER(B119))&amp;"&amp;utm_medium=social&amp;utm_campaign="&amp;IF(D119="","general",LOWER(SUBSTITUTE(SUBSTITUTE(D119," / ","-")," ","-")))&amp;"&amp;utm_content="&amp;LOWER(LEFT(B119,2))&amp;"-"&amp;TEXT(A119,"yymmdd"))</f>
        <v/>
      </c>
    </row>
    <row r="120" customFormat="false" ht="15" hidden="false" customHeight="false" outlineLevel="0" collapsed="false">
      <c r="A120" s="25"/>
      <c r="B120" s="20"/>
      <c r="C120" s="24"/>
      <c r="D120" s="20"/>
      <c r="E120" s="20"/>
      <c r="F120" s="20"/>
      <c r="G120" s="19"/>
      <c r="H120" s="19"/>
      <c r="I120" s="19"/>
      <c r="J120" s="19"/>
      <c r="K120" s="19"/>
      <c r="L120" s="19"/>
      <c r="M120" s="19"/>
      <c r="N120" s="19"/>
      <c r="O120" s="20"/>
      <c r="P120" s="21" t="str">
        <f aca="false">IF(OR(A120="",B120=""),"",IF(COUNT(I120:M120)=0,"",SUM(I120:M120)))</f>
        <v/>
      </c>
      <c r="Q120" s="22" t="str">
        <f aca="false">IF(OR(OR(A120="",B120=""),P120=""),"",IFERROR(P120/(IF(N(H120)&gt;0,H120,IF(N(G120)&gt;0,G120,IF(COUNTIFS($B$12:$B$211,B120,$G$12:$G$211,"&gt;0")+COUNTIFS($B$12:$B$211,B120,$H$12:$H$211,"&gt;0")&gt;0,"",INDEX($B$5:$B$7,MATCH(B120,$A$5:$A$7,0)))))),""))</f>
        <v/>
      </c>
      <c r="R120" s="23" t="str">
        <f aca="false">IF(OR(A120="",B120=""),"",IF(OR(Q120="",COUNTIFS($B$12:$B$211,B120,$Q$12:$Q$211,"&gt;=0")&lt;2),"No Data Yet",IFERROR(IF(Q120/AVERAGEIFS($Q$12:$Q$211,$B$12:$B$211,B120)&gt;=1.2,"Good",IF(Q120/AVERAGEIFS($Q$12:$Q$211,$B$12:$B$211,B120)&gt;=0.8,"Average","Below Standard")),"Average")))</f>
        <v/>
      </c>
      <c r="S120" s="24"/>
      <c r="T120" s="24"/>
      <c r="U120" s="20"/>
      <c r="V120" s="23" t="str">
        <f aca="false">IF(OR(A120="",B120=""),"","https://www.alphanodus.com/contact?utm_source="&amp;IF(B120="X","twitter",LOWER(B120))&amp;"&amp;utm_medium=social&amp;utm_campaign="&amp;IF(D120="","general",LOWER(SUBSTITUTE(SUBSTITUTE(D120," / ","-")," ","-")))&amp;"&amp;utm_content="&amp;LOWER(LEFT(B120,2))&amp;"-"&amp;TEXT(A120,"yymmdd"))</f>
        <v/>
      </c>
    </row>
    <row r="121" customFormat="false" ht="15" hidden="false" customHeight="false" outlineLevel="0" collapsed="false">
      <c r="A121" s="25"/>
      <c r="B121" s="20"/>
      <c r="C121" s="24"/>
      <c r="D121" s="20"/>
      <c r="E121" s="20"/>
      <c r="F121" s="20"/>
      <c r="G121" s="19"/>
      <c r="H121" s="19"/>
      <c r="I121" s="19"/>
      <c r="J121" s="19"/>
      <c r="K121" s="19"/>
      <c r="L121" s="19"/>
      <c r="M121" s="19"/>
      <c r="N121" s="19"/>
      <c r="O121" s="20"/>
      <c r="P121" s="21" t="str">
        <f aca="false">IF(OR(A121="",B121=""),"",IF(COUNT(I121:M121)=0,"",SUM(I121:M121)))</f>
        <v/>
      </c>
      <c r="Q121" s="22" t="str">
        <f aca="false">IF(OR(OR(A121="",B121=""),P121=""),"",IFERROR(P121/(IF(N(H121)&gt;0,H121,IF(N(G121)&gt;0,G121,IF(COUNTIFS($B$12:$B$211,B121,$G$12:$G$211,"&gt;0")+COUNTIFS($B$12:$B$211,B121,$H$12:$H$211,"&gt;0")&gt;0,"",INDEX($B$5:$B$7,MATCH(B121,$A$5:$A$7,0)))))),""))</f>
        <v/>
      </c>
      <c r="R121" s="23" t="str">
        <f aca="false">IF(OR(A121="",B121=""),"",IF(OR(Q121="",COUNTIFS($B$12:$B$211,B121,$Q$12:$Q$211,"&gt;=0")&lt;2),"No Data Yet",IFERROR(IF(Q121/AVERAGEIFS($Q$12:$Q$211,$B$12:$B$211,B121)&gt;=1.2,"Good",IF(Q121/AVERAGEIFS($Q$12:$Q$211,$B$12:$B$211,B121)&gt;=0.8,"Average","Below Standard")),"Average")))</f>
        <v/>
      </c>
      <c r="S121" s="24"/>
      <c r="T121" s="24"/>
      <c r="U121" s="20"/>
      <c r="V121" s="23" t="str">
        <f aca="false">IF(OR(A121="",B121=""),"","https://www.alphanodus.com/contact?utm_source="&amp;IF(B121="X","twitter",LOWER(B121))&amp;"&amp;utm_medium=social&amp;utm_campaign="&amp;IF(D121="","general",LOWER(SUBSTITUTE(SUBSTITUTE(D121," / ","-")," ","-")))&amp;"&amp;utm_content="&amp;LOWER(LEFT(B121,2))&amp;"-"&amp;TEXT(A121,"yymmdd"))</f>
        <v/>
      </c>
    </row>
    <row r="122" customFormat="false" ht="15" hidden="false" customHeight="false" outlineLevel="0" collapsed="false">
      <c r="A122" s="25"/>
      <c r="B122" s="20"/>
      <c r="C122" s="24"/>
      <c r="D122" s="20"/>
      <c r="E122" s="20"/>
      <c r="F122" s="20"/>
      <c r="G122" s="19"/>
      <c r="H122" s="19"/>
      <c r="I122" s="19"/>
      <c r="J122" s="19"/>
      <c r="K122" s="19"/>
      <c r="L122" s="19"/>
      <c r="M122" s="19"/>
      <c r="N122" s="19"/>
      <c r="O122" s="20"/>
      <c r="P122" s="21" t="str">
        <f aca="false">IF(OR(A122="",B122=""),"",IF(COUNT(I122:M122)=0,"",SUM(I122:M122)))</f>
        <v/>
      </c>
      <c r="Q122" s="22" t="str">
        <f aca="false">IF(OR(OR(A122="",B122=""),P122=""),"",IFERROR(P122/(IF(N(H122)&gt;0,H122,IF(N(G122)&gt;0,G122,IF(COUNTIFS($B$12:$B$211,B122,$G$12:$G$211,"&gt;0")+COUNTIFS($B$12:$B$211,B122,$H$12:$H$211,"&gt;0")&gt;0,"",INDEX($B$5:$B$7,MATCH(B122,$A$5:$A$7,0)))))),""))</f>
        <v/>
      </c>
      <c r="R122" s="23" t="str">
        <f aca="false">IF(OR(A122="",B122=""),"",IF(OR(Q122="",COUNTIFS($B$12:$B$211,B122,$Q$12:$Q$211,"&gt;=0")&lt;2),"No Data Yet",IFERROR(IF(Q122/AVERAGEIFS($Q$12:$Q$211,$B$12:$B$211,B122)&gt;=1.2,"Good",IF(Q122/AVERAGEIFS($Q$12:$Q$211,$B$12:$B$211,B122)&gt;=0.8,"Average","Below Standard")),"Average")))</f>
        <v/>
      </c>
      <c r="S122" s="24"/>
      <c r="T122" s="24"/>
      <c r="U122" s="20"/>
      <c r="V122" s="23" t="str">
        <f aca="false">IF(OR(A122="",B122=""),"","https://www.alphanodus.com/contact?utm_source="&amp;IF(B122="X","twitter",LOWER(B122))&amp;"&amp;utm_medium=social&amp;utm_campaign="&amp;IF(D122="","general",LOWER(SUBSTITUTE(SUBSTITUTE(D122," / ","-")," ","-")))&amp;"&amp;utm_content="&amp;LOWER(LEFT(B122,2))&amp;"-"&amp;TEXT(A122,"yymmdd"))</f>
        <v/>
      </c>
    </row>
    <row r="123" customFormat="false" ht="15" hidden="false" customHeight="false" outlineLevel="0" collapsed="false">
      <c r="A123" s="25"/>
      <c r="B123" s="20"/>
      <c r="C123" s="24"/>
      <c r="D123" s="20"/>
      <c r="E123" s="20"/>
      <c r="F123" s="20"/>
      <c r="G123" s="19"/>
      <c r="H123" s="19"/>
      <c r="I123" s="19"/>
      <c r="J123" s="19"/>
      <c r="K123" s="19"/>
      <c r="L123" s="19"/>
      <c r="M123" s="19"/>
      <c r="N123" s="19"/>
      <c r="O123" s="20"/>
      <c r="P123" s="21" t="str">
        <f aca="false">IF(OR(A123="",B123=""),"",IF(COUNT(I123:M123)=0,"",SUM(I123:M123)))</f>
        <v/>
      </c>
      <c r="Q123" s="22" t="str">
        <f aca="false">IF(OR(OR(A123="",B123=""),P123=""),"",IFERROR(P123/(IF(N(H123)&gt;0,H123,IF(N(G123)&gt;0,G123,IF(COUNTIFS($B$12:$B$211,B123,$G$12:$G$211,"&gt;0")+COUNTIFS($B$12:$B$211,B123,$H$12:$H$211,"&gt;0")&gt;0,"",INDEX($B$5:$B$7,MATCH(B123,$A$5:$A$7,0)))))),""))</f>
        <v/>
      </c>
      <c r="R123" s="23" t="str">
        <f aca="false">IF(OR(A123="",B123=""),"",IF(OR(Q123="",COUNTIFS($B$12:$B$211,B123,$Q$12:$Q$211,"&gt;=0")&lt;2),"No Data Yet",IFERROR(IF(Q123/AVERAGEIFS($Q$12:$Q$211,$B$12:$B$211,B123)&gt;=1.2,"Good",IF(Q123/AVERAGEIFS($Q$12:$Q$211,$B$12:$B$211,B123)&gt;=0.8,"Average","Below Standard")),"Average")))</f>
        <v/>
      </c>
      <c r="S123" s="24"/>
      <c r="T123" s="24"/>
      <c r="U123" s="20"/>
      <c r="V123" s="23" t="str">
        <f aca="false">IF(OR(A123="",B123=""),"","https://www.alphanodus.com/contact?utm_source="&amp;IF(B123="X","twitter",LOWER(B123))&amp;"&amp;utm_medium=social&amp;utm_campaign="&amp;IF(D123="","general",LOWER(SUBSTITUTE(SUBSTITUTE(D123," / ","-")," ","-")))&amp;"&amp;utm_content="&amp;LOWER(LEFT(B123,2))&amp;"-"&amp;TEXT(A123,"yymmdd"))</f>
        <v/>
      </c>
    </row>
    <row r="124" customFormat="false" ht="15" hidden="false" customHeight="false" outlineLevel="0" collapsed="false">
      <c r="A124" s="25"/>
      <c r="B124" s="20"/>
      <c r="C124" s="24"/>
      <c r="D124" s="20"/>
      <c r="E124" s="20"/>
      <c r="F124" s="20"/>
      <c r="G124" s="19"/>
      <c r="H124" s="19"/>
      <c r="I124" s="19"/>
      <c r="J124" s="19"/>
      <c r="K124" s="19"/>
      <c r="L124" s="19"/>
      <c r="M124" s="19"/>
      <c r="N124" s="19"/>
      <c r="O124" s="20"/>
      <c r="P124" s="21" t="str">
        <f aca="false">IF(OR(A124="",B124=""),"",IF(COUNT(I124:M124)=0,"",SUM(I124:M124)))</f>
        <v/>
      </c>
      <c r="Q124" s="22" t="str">
        <f aca="false">IF(OR(OR(A124="",B124=""),P124=""),"",IFERROR(P124/(IF(N(H124)&gt;0,H124,IF(N(G124)&gt;0,G124,IF(COUNTIFS($B$12:$B$211,B124,$G$12:$G$211,"&gt;0")+COUNTIFS($B$12:$B$211,B124,$H$12:$H$211,"&gt;0")&gt;0,"",INDEX($B$5:$B$7,MATCH(B124,$A$5:$A$7,0)))))),""))</f>
        <v/>
      </c>
      <c r="R124" s="23" t="str">
        <f aca="false">IF(OR(A124="",B124=""),"",IF(OR(Q124="",COUNTIFS($B$12:$B$211,B124,$Q$12:$Q$211,"&gt;=0")&lt;2),"No Data Yet",IFERROR(IF(Q124/AVERAGEIFS($Q$12:$Q$211,$B$12:$B$211,B124)&gt;=1.2,"Good",IF(Q124/AVERAGEIFS($Q$12:$Q$211,$B$12:$B$211,B124)&gt;=0.8,"Average","Below Standard")),"Average")))</f>
        <v/>
      </c>
      <c r="S124" s="24"/>
      <c r="T124" s="24"/>
      <c r="U124" s="20"/>
      <c r="V124" s="23" t="str">
        <f aca="false">IF(OR(A124="",B124=""),"","https://www.alphanodus.com/contact?utm_source="&amp;IF(B124="X","twitter",LOWER(B124))&amp;"&amp;utm_medium=social&amp;utm_campaign="&amp;IF(D124="","general",LOWER(SUBSTITUTE(SUBSTITUTE(D124," / ","-")," ","-")))&amp;"&amp;utm_content="&amp;LOWER(LEFT(B124,2))&amp;"-"&amp;TEXT(A124,"yymmdd"))</f>
        <v/>
      </c>
    </row>
    <row r="125" customFormat="false" ht="15" hidden="false" customHeight="false" outlineLevel="0" collapsed="false">
      <c r="A125" s="25"/>
      <c r="B125" s="20"/>
      <c r="C125" s="24"/>
      <c r="D125" s="20"/>
      <c r="E125" s="20"/>
      <c r="F125" s="20"/>
      <c r="G125" s="19"/>
      <c r="H125" s="19"/>
      <c r="I125" s="19"/>
      <c r="J125" s="19"/>
      <c r="K125" s="19"/>
      <c r="L125" s="19"/>
      <c r="M125" s="19"/>
      <c r="N125" s="19"/>
      <c r="O125" s="20"/>
      <c r="P125" s="21" t="str">
        <f aca="false">IF(OR(A125="",B125=""),"",IF(COUNT(I125:M125)=0,"",SUM(I125:M125)))</f>
        <v/>
      </c>
      <c r="Q125" s="22" t="str">
        <f aca="false">IF(OR(OR(A125="",B125=""),P125=""),"",IFERROR(P125/(IF(N(H125)&gt;0,H125,IF(N(G125)&gt;0,G125,IF(COUNTIFS($B$12:$B$211,B125,$G$12:$G$211,"&gt;0")+COUNTIFS($B$12:$B$211,B125,$H$12:$H$211,"&gt;0")&gt;0,"",INDEX($B$5:$B$7,MATCH(B125,$A$5:$A$7,0)))))),""))</f>
        <v/>
      </c>
      <c r="R125" s="23" t="str">
        <f aca="false">IF(OR(A125="",B125=""),"",IF(OR(Q125="",COUNTIFS($B$12:$B$211,B125,$Q$12:$Q$211,"&gt;=0")&lt;2),"No Data Yet",IFERROR(IF(Q125/AVERAGEIFS($Q$12:$Q$211,$B$12:$B$211,B125)&gt;=1.2,"Good",IF(Q125/AVERAGEIFS($Q$12:$Q$211,$B$12:$B$211,B125)&gt;=0.8,"Average","Below Standard")),"Average")))</f>
        <v/>
      </c>
      <c r="S125" s="24"/>
      <c r="T125" s="24"/>
      <c r="U125" s="20"/>
      <c r="V125" s="23" t="str">
        <f aca="false">IF(OR(A125="",B125=""),"","https://www.alphanodus.com/contact?utm_source="&amp;IF(B125="X","twitter",LOWER(B125))&amp;"&amp;utm_medium=social&amp;utm_campaign="&amp;IF(D125="","general",LOWER(SUBSTITUTE(SUBSTITUTE(D125," / ","-")," ","-")))&amp;"&amp;utm_content="&amp;LOWER(LEFT(B125,2))&amp;"-"&amp;TEXT(A125,"yymmdd"))</f>
        <v/>
      </c>
    </row>
    <row r="126" customFormat="false" ht="15" hidden="false" customHeight="false" outlineLevel="0" collapsed="false">
      <c r="A126" s="25"/>
      <c r="B126" s="20"/>
      <c r="C126" s="24"/>
      <c r="D126" s="20"/>
      <c r="E126" s="20"/>
      <c r="F126" s="20"/>
      <c r="G126" s="19"/>
      <c r="H126" s="19"/>
      <c r="I126" s="19"/>
      <c r="J126" s="19"/>
      <c r="K126" s="19"/>
      <c r="L126" s="19"/>
      <c r="M126" s="19"/>
      <c r="N126" s="19"/>
      <c r="O126" s="20"/>
      <c r="P126" s="21" t="str">
        <f aca="false">IF(OR(A126="",B126=""),"",IF(COUNT(I126:M126)=0,"",SUM(I126:M126)))</f>
        <v/>
      </c>
      <c r="Q126" s="22" t="str">
        <f aca="false">IF(OR(OR(A126="",B126=""),P126=""),"",IFERROR(P126/(IF(N(H126)&gt;0,H126,IF(N(G126)&gt;0,G126,IF(COUNTIFS($B$12:$B$211,B126,$G$12:$G$211,"&gt;0")+COUNTIFS($B$12:$B$211,B126,$H$12:$H$211,"&gt;0")&gt;0,"",INDEX($B$5:$B$7,MATCH(B126,$A$5:$A$7,0)))))),""))</f>
        <v/>
      </c>
      <c r="R126" s="23" t="str">
        <f aca="false">IF(OR(A126="",B126=""),"",IF(OR(Q126="",COUNTIFS($B$12:$B$211,B126,$Q$12:$Q$211,"&gt;=0")&lt;2),"No Data Yet",IFERROR(IF(Q126/AVERAGEIFS($Q$12:$Q$211,$B$12:$B$211,B126)&gt;=1.2,"Good",IF(Q126/AVERAGEIFS($Q$12:$Q$211,$B$12:$B$211,B126)&gt;=0.8,"Average","Below Standard")),"Average")))</f>
        <v/>
      </c>
      <c r="S126" s="24"/>
      <c r="T126" s="24"/>
      <c r="U126" s="20"/>
      <c r="V126" s="23" t="str">
        <f aca="false">IF(OR(A126="",B126=""),"","https://www.alphanodus.com/contact?utm_source="&amp;IF(B126="X","twitter",LOWER(B126))&amp;"&amp;utm_medium=social&amp;utm_campaign="&amp;IF(D126="","general",LOWER(SUBSTITUTE(SUBSTITUTE(D126," / ","-")," ","-")))&amp;"&amp;utm_content="&amp;LOWER(LEFT(B126,2))&amp;"-"&amp;TEXT(A126,"yymmdd"))</f>
        <v/>
      </c>
    </row>
    <row r="127" customFormat="false" ht="15" hidden="false" customHeight="false" outlineLevel="0" collapsed="false">
      <c r="A127" s="25"/>
      <c r="B127" s="20"/>
      <c r="C127" s="24"/>
      <c r="D127" s="20"/>
      <c r="E127" s="20"/>
      <c r="F127" s="20"/>
      <c r="G127" s="19"/>
      <c r="H127" s="19"/>
      <c r="I127" s="19"/>
      <c r="J127" s="19"/>
      <c r="K127" s="19"/>
      <c r="L127" s="19"/>
      <c r="M127" s="19"/>
      <c r="N127" s="19"/>
      <c r="O127" s="20"/>
      <c r="P127" s="21" t="str">
        <f aca="false">IF(OR(A127="",B127=""),"",IF(COUNT(I127:M127)=0,"",SUM(I127:M127)))</f>
        <v/>
      </c>
      <c r="Q127" s="22" t="str">
        <f aca="false">IF(OR(OR(A127="",B127=""),P127=""),"",IFERROR(P127/(IF(N(H127)&gt;0,H127,IF(N(G127)&gt;0,G127,IF(COUNTIFS($B$12:$B$211,B127,$G$12:$G$211,"&gt;0")+COUNTIFS($B$12:$B$211,B127,$H$12:$H$211,"&gt;0")&gt;0,"",INDEX($B$5:$B$7,MATCH(B127,$A$5:$A$7,0)))))),""))</f>
        <v/>
      </c>
      <c r="R127" s="23" t="str">
        <f aca="false">IF(OR(A127="",B127=""),"",IF(OR(Q127="",COUNTIFS($B$12:$B$211,B127,$Q$12:$Q$211,"&gt;=0")&lt;2),"No Data Yet",IFERROR(IF(Q127/AVERAGEIFS($Q$12:$Q$211,$B$12:$B$211,B127)&gt;=1.2,"Good",IF(Q127/AVERAGEIFS($Q$12:$Q$211,$B$12:$B$211,B127)&gt;=0.8,"Average","Below Standard")),"Average")))</f>
        <v/>
      </c>
      <c r="S127" s="24"/>
      <c r="T127" s="24"/>
      <c r="U127" s="20"/>
      <c r="V127" s="23" t="str">
        <f aca="false">IF(OR(A127="",B127=""),"","https://www.alphanodus.com/contact?utm_source="&amp;IF(B127="X","twitter",LOWER(B127))&amp;"&amp;utm_medium=social&amp;utm_campaign="&amp;IF(D127="","general",LOWER(SUBSTITUTE(SUBSTITUTE(D127," / ","-")," ","-")))&amp;"&amp;utm_content="&amp;LOWER(LEFT(B127,2))&amp;"-"&amp;TEXT(A127,"yymmdd"))</f>
        <v/>
      </c>
    </row>
    <row r="128" customFormat="false" ht="15" hidden="false" customHeight="false" outlineLevel="0" collapsed="false">
      <c r="A128" s="25"/>
      <c r="B128" s="20"/>
      <c r="C128" s="24"/>
      <c r="D128" s="20"/>
      <c r="E128" s="20"/>
      <c r="F128" s="20"/>
      <c r="G128" s="19"/>
      <c r="H128" s="19"/>
      <c r="I128" s="19"/>
      <c r="J128" s="19"/>
      <c r="K128" s="19"/>
      <c r="L128" s="19"/>
      <c r="M128" s="19"/>
      <c r="N128" s="19"/>
      <c r="O128" s="20"/>
      <c r="P128" s="21" t="str">
        <f aca="false">IF(OR(A128="",B128=""),"",IF(COUNT(I128:M128)=0,"",SUM(I128:M128)))</f>
        <v/>
      </c>
      <c r="Q128" s="22" t="str">
        <f aca="false">IF(OR(OR(A128="",B128=""),P128=""),"",IFERROR(P128/(IF(N(H128)&gt;0,H128,IF(N(G128)&gt;0,G128,IF(COUNTIFS($B$12:$B$211,B128,$G$12:$G$211,"&gt;0")+COUNTIFS($B$12:$B$211,B128,$H$12:$H$211,"&gt;0")&gt;0,"",INDEX($B$5:$B$7,MATCH(B128,$A$5:$A$7,0)))))),""))</f>
        <v/>
      </c>
      <c r="R128" s="23" t="str">
        <f aca="false">IF(OR(A128="",B128=""),"",IF(OR(Q128="",COUNTIFS($B$12:$B$211,B128,$Q$12:$Q$211,"&gt;=0")&lt;2),"No Data Yet",IFERROR(IF(Q128/AVERAGEIFS($Q$12:$Q$211,$B$12:$B$211,B128)&gt;=1.2,"Good",IF(Q128/AVERAGEIFS($Q$12:$Q$211,$B$12:$B$211,B128)&gt;=0.8,"Average","Below Standard")),"Average")))</f>
        <v/>
      </c>
      <c r="S128" s="24"/>
      <c r="T128" s="24"/>
      <c r="U128" s="20"/>
      <c r="V128" s="23" t="str">
        <f aca="false">IF(OR(A128="",B128=""),"","https://www.alphanodus.com/contact?utm_source="&amp;IF(B128="X","twitter",LOWER(B128))&amp;"&amp;utm_medium=social&amp;utm_campaign="&amp;IF(D128="","general",LOWER(SUBSTITUTE(SUBSTITUTE(D128," / ","-")," ","-")))&amp;"&amp;utm_content="&amp;LOWER(LEFT(B128,2))&amp;"-"&amp;TEXT(A128,"yymmdd"))</f>
        <v/>
      </c>
    </row>
    <row r="129" customFormat="false" ht="15" hidden="false" customHeight="false" outlineLevel="0" collapsed="false">
      <c r="A129" s="25"/>
      <c r="B129" s="20"/>
      <c r="C129" s="24"/>
      <c r="D129" s="20"/>
      <c r="E129" s="20"/>
      <c r="F129" s="20"/>
      <c r="G129" s="19"/>
      <c r="H129" s="19"/>
      <c r="I129" s="19"/>
      <c r="J129" s="19"/>
      <c r="K129" s="19"/>
      <c r="L129" s="19"/>
      <c r="M129" s="19"/>
      <c r="N129" s="19"/>
      <c r="O129" s="20"/>
      <c r="P129" s="21" t="str">
        <f aca="false">IF(OR(A129="",B129=""),"",IF(COUNT(I129:M129)=0,"",SUM(I129:M129)))</f>
        <v/>
      </c>
      <c r="Q129" s="22" t="str">
        <f aca="false">IF(OR(OR(A129="",B129=""),P129=""),"",IFERROR(P129/(IF(N(H129)&gt;0,H129,IF(N(G129)&gt;0,G129,IF(COUNTIFS($B$12:$B$211,B129,$G$12:$G$211,"&gt;0")+COUNTIFS($B$12:$B$211,B129,$H$12:$H$211,"&gt;0")&gt;0,"",INDEX($B$5:$B$7,MATCH(B129,$A$5:$A$7,0)))))),""))</f>
        <v/>
      </c>
      <c r="R129" s="23" t="str">
        <f aca="false">IF(OR(A129="",B129=""),"",IF(OR(Q129="",COUNTIFS($B$12:$B$211,B129,$Q$12:$Q$211,"&gt;=0")&lt;2),"No Data Yet",IFERROR(IF(Q129/AVERAGEIFS($Q$12:$Q$211,$B$12:$B$211,B129)&gt;=1.2,"Good",IF(Q129/AVERAGEIFS($Q$12:$Q$211,$B$12:$B$211,B129)&gt;=0.8,"Average","Below Standard")),"Average")))</f>
        <v/>
      </c>
      <c r="S129" s="24"/>
      <c r="T129" s="24"/>
      <c r="U129" s="20"/>
      <c r="V129" s="23" t="str">
        <f aca="false">IF(OR(A129="",B129=""),"","https://www.alphanodus.com/contact?utm_source="&amp;IF(B129="X","twitter",LOWER(B129))&amp;"&amp;utm_medium=social&amp;utm_campaign="&amp;IF(D129="","general",LOWER(SUBSTITUTE(SUBSTITUTE(D129," / ","-")," ","-")))&amp;"&amp;utm_content="&amp;LOWER(LEFT(B129,2))&amp;"-"&amp;TEXT(A129,"yymmdd"))</f>
        <v/>
      </c>
    </row>
    <row r="130" customFormat="false" ht="15" hidden="false" customHeight="false" outlineLevel="0" collapsed="false">
      <c r="A130" s="25"/>
      <c r="B130" s="20"/>
      <c r="C130" s="24"/>
      <c r="D130" s="20"/>
      <c r="E130" s="20"/>
      <c r="F130" s="20"/>
      <c r="G130" s="19"/>
      <c r="H130" s="19"/>
      <c r="I130" s="19"/>
      <c r="J130" s="19"/>
      <c r="K130" s="19"/>
      <c r="L130" s="19"/>
      <c r="M130" s="19"/>
      <c r="N130" s="19"/>
      <c r="O130" s="20"/>
      <c r="P130" s="21" t="str">
        <f aca="false">IF(OR(A130="",B130=""),"",IF(COUNT(I130:M130)=0,"",SUM(I130:M130)))</f>
        <v/>
      </c>
      <c r="Q130" s="22" t="str">
        <f aca="false">IF(OR(OR(A130="",B130=""),P130=""),"",IFERROR(P130/(IF(N(H130)&gt;0,H130,IF(N(G130)&gt;0,G130,IF(COUNTIFS($B$12:$B$211,B130,$G$12:$G$211,"&gt;0")+COUNTIFS($B$12:$B$211,B130,$H$12:$H$211,"&gt;0")&gt;0,"",INDEX($B$5:$B$7,MATCH(B130,$A$5:$A$7,0)))))),""))</f>
        <v/>
      </c>
      <c r="R130" s="23" t="str">
        <f aca="false">IF(OR(A130="",B130=""),"",IF(OR(Q130="",COUNTIFS($B$12:$B$211,B130,$Q$12:$Q$211,"&gt;=0")&lt;2),"No Data Yet",IFERROR(IF(Q130/AVERAGEIFS($Q$12:$Q$211,$B$12:$B$211,B130)&gt;=1.2,"Good",IF(Q130/AVERAGEIFS($Q$12:$Q$211,$B$12:$B$211,B130)&gt;=0.8,"Average","Below Standard")),"Average")))</f>
        <v/>
      </c>
      <c r="S130" s="24"/>
      <c r="T130" s="24"/>
      <c r="U130" s="20"/>
      <c r="V130" s="23" t="str">
        <f aca="false">IF(OR(A130="",B130=""),"","https://www.alphanodus.com/contact?utm_source="&amp;IF(B130="X","twitter",LOWER(B130))&amp;"&amp;utm_medium=social&amp;utm_campaign="&amp;IF(D130="","general",LOWER(SUBSTITUTE(SUBSTITUTE(D130," / ","-")," ","-")))&amp;"&amp;utm_content="&amp;LOWER(LEFT(B130,2))&amp;"-"&amp;TEXT(A130,"yymmdd"))</f>
        <v/>
      </c>
    </row>
    <row r="131" customFormat="false" ht="15" hidden="false" customHeight="false" outlineLevel="0" collapsed="false">
      <c r="A131" s="25"/>
      <c r="B131" s="20"/>
      <c r="C131" s="24"/>
      <c r="D131" s="20"/>
      <c r="E131" s="20"/>
      <c r="F131" s="20"/>
      <c r="G131" s="19"/>
      <c r="H131" s="19"/>
      <c r="I131" s="19"/>
      <c r="J131" s="19"/>
      <c r="K131" s="19"/>
      <c r="L131" s="19"/>
      <c r="M131" s="19"/>
      <c r="N131" s="19"/>
      <c r="O131" s="20"/>
      <c r="P131" s="21" t="str">
        <f aca="false">IF(OR(A131="",B131=""),"",IF(COUNT(I131:M131)=0,"",SUM(I131:M131)))</f>
        <v/>
      </c>
      <c r="Q131" s="22" t="str">
        <f aca="false">IF(OR(OR(A131="",B131=""),P131=""),"",IFERROR(P131/(IF(N(H131)&gt;0,H131,IF(N(G131)&gt;0,G131,IF(COUNTIFS($B$12:$B$211,B131,$G$12:$G$211,"&gt;0")+COUNTIFS($B$12:$B$211,B131,$H$12:$H$211,"&gt;0")&gt;0,"",INDEX($B$5:$B$7,MATCH(B131,$A$5:$A$7,0)))))),""))</f>
        <v/>
      </c>
      <c r="R131" s="23" t="str">
        <f aca="false">IF(OR(A131="",B131=""),"",IF(OR(Q131="",COUNTIFS($B$12:$B$211,B131,$Q$12:$Q$211,"&gt;=0")&lt;2),"No Data Yet",IFERROR(IF(Q131/AVERAGEIFS($Q$12:$Q$211,$B$12:$B$211,B131)&gt;=1.2,"Good",IF(Q131/AVERAGEIFS($Q$12:$Q$211,$B$12:$B$211,B131)&gt;=0.8,"Average","Below Standard")),"Average")))</f>
        <v/>
      </c>
      <c r="S131" s="24"/>
      <c r="T131" s="24"/>
      <c r="U131" s="20"/>
      <c r="V131" s="23" t="str">
        <f aca="false">IF(OR(A131="",B131=""),"","https://www.alphanodus.com/contact?utm_source="&amp;IF(B131="X","twitter",LOWER(B131))&amp;"&amp;utm_medium=social&amp;utm_campaign="&amp;IF(D131="","general",LOWER(SUBSTITUTE(SUBSTITUTE(D131," / ","-")," ","-")))&amp;"&amp;utm_content="&amp;LOWER(LEFT(B131,2))&amp;"-"&amp;TEXT(A131,"yymmdd"))</f>
        <v/>
      </c>
    </row>
    <row r="132" customFormat="false" ht="15" hidden="false" customHeight="false" outlineLevel="0" collapsed="false">
      <c r="A132" s="25"/>
      <c r="B132" s="20"/>
      <c r="C132" s="24"/>
      <c r="D132" s="20"/>
      <c r="E132" s="20"/>
      <c r="F132" s="20"/>
      <c r="G132" s="19"/>
      <c r="H132" s="19"/>
      <c r="I132" s="19"/>
      <c r="J132" s="19"/>
      <c r="K132" s="19"/>
      <c r="L132" s="19"/>
      <c r="M132" s="19"/>
      <c r="N132" s="19"/>
      <c r="O132" s="20"/>
      <c r="P132" s="21" t="str">
        <f aca="false">IF(OR(A132="",B132=""),"",IF(COUNT(I132:M132)=0,"",SUM(I132:M132)))</f>
        <v/>
      </c>
      <c r="Q132" s="22" t="str">
        <f aca="false">IF(OR(OR(A132="",B132=""),P132=""),"",IFERROR(P132/(IF(N(H132)&gt;0,H132,IF(N(G132)&gt;0,G132,IF(COUNTIFS($B$12:$B$211,B132,$G$12:$G$211,"&gt;0")+COUNTIFS($B$12:$B$211,B132,$H$12:$H$211,"&gt;0")&gt;0,"",INDEX($B$5:$B$7,MATCH(B132,$A$5:$A$7,0)))))),""))</f>
        <v/>
      </c>
      <c r="R132" s="23" t="str">
        <f aca="false">IF(OR(A132="",B132=""),"",IF(OR(Q132="",COUNTIFS($B$12:$B$211,B132,$Q$12:$Q$211,"&gt;=0")&lt;2),"No Data Yet",IFERROR(IF(Q132/AVERAGEIFS($Q$12:$Q$211,$B$12:$B$211,B132)&gt;=1.2,"Good",IF(Q132/AVERAGEIFS($Q$12:$Q$211,$B$12:$B$211,B132)&gt;=0.8,"Average","Below Standard")),"Average")))</f>
        <v/>
      </c>
      <c r="S132" s="24"/>
      <c r="T132" s="24"/>
      <c r="U132" s="20"/>
      <c r="V132" s="23" t="str">
        <f aca="false">IF(OR(A132="",B132=""),"","https://www.alphanodus.com/contact?utm_source="&amp;IF(B132="X","twitter",LOWER(B132))&amp;"&amp;utm_medium=social&amp;utm_campaign="&amp;IF(D132="","general",LOWER(SUBSTITUTE(SUBSTITUTE(D132," / ","-")," ","-")))&amp;"&amp;utm_content="&amp;LOWER(LEFT(B132,2))&amp;"-"&amp;TEXT(A132,"yymmdd"))</f>
        <v/>
      </c>
    </row>
    <row r="133" customFormat="false" ht="15" hidden="false" customHeight="false" outlineLevel="0" collapsed="false">
      <c r="A133" s="25"/>
      <c r="B133" s="20"/>
      <c r="C133" s="24"/>
      <c r="D133" s="20"/>
      <c r="E133" s="20"/>
      <c r="F133" s="20"/>
      <c r="G133" s="19"/>
      <c r="H133" s="19"/>
      <c r="I133" s="19"/>
      <c r="J133" s="19"/>
      <c r="K133" s="19"/>
      <c r="L133" s="19"/>
      <c r="M133" s="19"/>
      <c r="N133" s="19"/>
      <c r="O133" s="20"/>
      <c r="P133" s="21" t="str">
        <f aca="false">IF(OR(A133="",B133=""),"",IF(COUNT(I133:M133)=0,"",SUM(I133:M133)))</f>
        <v/>
      </c>
      <c r="Q133" s="22" t="str">
        <f aca="false">IF(OR(OR(A133="",B133=""),P133=""),"",IFERROR(P133/(IF(N(H133)&gt;0,H133,IF(N(G133)&gt;0,G133,IF(COUNTIFS($B$12:$B$211,B133,$G$12:$G$211,"&gt;0")+COUNTIFS($B$12:$B$211,B133,$H$12:$H$211,"&gt;0")&gt;0,"",INDEX($B$5:$B$7,MATCH(B133,$A$5:$A$7,0)))))),""))</f>
        <v/>
      </c>
      <c r="R133" s="23" t="str">
        <f aca="false">IF(OR(A133="",B133=""),"",IF(OR(Q133="",COUNTIFS($B$12:$B$211,B133,$Q$12:$Q$211,"&gt;=0")&lt;2),"No Data Yet",IFERROR(IF(Q133/AVERAGEIFS($Q$12:$Q$211,$B$12:$B$211,B133)&gt;=1.2,"Good",IF(Q133/AVERAGEIFS($Q$12:$Q$211,$B$12:$B$211,B133)&gt;=0.8,"Average","Below Standard")),"Average")))</f>
        <v/>
      </c>
      <c r="S133" s="24"/>
      <c r="T133" s="24"/>
      <c r="U133" s="20"/>
      <c r="V133" s="23" t="str">
        <f aca="false">IF(OR(A133="",B133=""),"","https://www.alphanodus.com/contact?utm_source="&amp;IF(B133="X","twitter",LOWER(B133))&amp;"&amp;utm_medium=social&amp;utm_campaign="&amp;IF(D133="","general",LOWER(SUBSTITUTE(SUBSTITUTE(D133," / ","-")," ","-")))&amp;"&amp;utm_content="&amp;LOWER(LEFT(B133,2))&amp;"-"&amp;TEXT(A133,"yymmdd"))</f>
        <v/>
      </c>
    </row>
    <row r="134" customFormat="false" ht="15" hidden="false" customHeight="false" outlineLevel="0" collapsed="false">
      <c r="A134" s="25"/>
      <c r="B134" s="20"/>
      <c r="C134" s="24"/>
      <c r="D134" s="20"/>
      <c r="E134" s="20"/>
      <c r="F134" s="20"/>
      <c r="G134" s="19"/>
      <c r="H134" s="19"/>
      <c r="I134" s="19"/>
      <c r="J134" s="19"/>
      <c r="K134" s="19"/>
      <c r="L134" s="19"/>
      <c r="M134" s="19"/>
      <c r="N134" s="19"/>
      <c r="O134" s="20"/>
      <c r="P134" s="21" t="str">
        <f aca="false">IF(OR(A134="",B134=""),"",IF(COUNT(I134:M134)=0,"",SUM(I134:M134)))</f>
        <v/>
      </c>
      <c r="Q134" s="22" t="str">
        <f aca="false">IF(OR(OR(A134="",B134=""),P134=""),"",IFERROR(P134/(IF(N(H134)&gt;0,H134,IF(N(G134)&gt;0,G134,IF(COUNTIFS($B$12:$B$211,B134,$G$12:$G$211,"&gt;0")+COUNTIFS($B$12:$B$211,B134,$H$12:$H$211,"&gt;0")&gt;0,"",INDEX($B$5:$B$7,MATCH(B134,$A$5:$A$7,0)))))),""))</f>
        <v/>
      </c>
      <c r="R134" s="23" t="str">
        <f aca="false">IF(OR(A134="",B134=""),"",IF(OR(Q134="",COUNTIFS($B$12:$B$211,B134,$Q$12:$Q$211,"&gt;=0")&lt;2),"No Data Yet",IFERROR(IF(Q134/AVERAGEIFS($Q$12:$Q$211,$B$12:$B$211,B134)&gt;=1.2,"Good",IF(Q134/AVERAGEIFS($Q$12:$Q$211,$B$12:$B$211,B134)&gt;=0.8,"Average","Below Standard")),"Average")))</f>
        <v/>
      </c>
      <c r="S134" s="24"/>
      <c r="T134" s="24"/>
      <c r="U134" s="20"/>
      <c r="V134" s="23" t="str">
        <f aca="false">IF(OR(A134="",B134=""),"","https://www.alphanodus.com/contact?utm_source="&amp;IF(B134="X","twitter",LOWER(B134))&amp;"&amp;utm_medium=social&amp;utm_campaign="&amp;IF(D134="","general",LOWER(SUBSTITUTE(SUBSTITUTE(D134," / ","-")," ","-")))&amp;"&amp;utm_content="&amp;LOWER(LEFT(B134,2))&amp;"-"&amp;TEXT(A134,"yymmdd"))</f>
        <v/>
      </c>
    </row>
    <row r="135" customFormat="false" ht="15" hidden="false" customHeight="false" outlineLevel="0" collapsed="false">
      <c r="A135" s="25"/>
      <c r="B135" s="20"/>
      <c r="C135" s="24"/>
      <c r="D135" s="20"/>
      <c r="E135" s="20"/>
      <c r="F135" s="20"/>
      <c r="G135" s="19"/>
      <c r="H135" s="19"/>
      <c r="I135" s="19"/>
      <c r="J135" s="19"/>
      <c r="K135" s="19"/>
      <c r="L135" s="19"/>
      <c r="M135" s="19"/>
      <c r="N135" s="19"/>
      <c r="O135" s="20"/>
      <c r="P135" s="21" t="str">
        <f aca="false">IF(OR(A135="",B135=""),"",IF(COUNT(I135:M135)=0,"",SUM(I135:M135)))</f>
        <v/>
      </c>
      <c r="Q135" s="22" t="str">
        <f aca="false">IF(OR(OR(A135="",B135=""),P135=""),"",IFERROR(P135/(IF(N(H135)&gt;0,H135,IF(N(G135)&gt;0,G135,IF(COUNTIFS($B$12:$B$211,B135,$G$12:$G$211,"&gt;0")+COUNTIFS($B$12:$B$211,B135,$H$12:$H$211,"&gt;0")&gt;0,"",INDEX($B$5:$B$7,MATCH(B135,$A$5:$A$7,0)))))),""))</f>
        <v/>
      </c>
      <c r="R135" s="23" t="str">
        <f aca="false">IF(OR(A135="",B135=""),"",IF(OR(Q135="",COUNTIFS($B$12:$B$211,B135,$Q$12:$Q$211,"&gt;=0")&lt;2),"No Data Yet",IFERROR(IF(Q135/AVERAGEIFS($Q$12:$Q$211,$B$12:$B$211,B135)&gt;=1.2,"Good",IF(Q135/AVERAGEIFS($Q$12:$Q$211,$B$12:$B$211,B135)&gt;=0.8,"Average","Below Standard")),"Average")))</f>
        <v/>
      </c>
      <c r="S135" s="24"/>
      <c r="T135" s="24"/>
      <c r="U135" s="20"/>
      <c r="V135" s="23" t="str">
        <f aca="false">IF(OR(A135="",B135=""),"","https://www.alphanodus.com/contact?utm_source="&amp;IF(B135="X","twitter",LOWER(B135))&amp;"&amp;utm_medium=social&amp;utm_campaign="&amp;IF(D135="","general",LOWER(SUBSTITUTE(SUBSTITUTE(D135," / ","-")," ","-")))&amp;"&amp;utm_content="&amp;LOWER(LEFT(B135,2))&amp;"-"&amp;TEXT(A135,"yymmdd"))</f>
        <v/>
      </c>
    </row>
    <row r="136" customFormat="false" ht="15" hidden="false" customHeight="false" outlineLevel="0" collapsed="false">
      <c r="A136" s="25"/>
      <c r="B136" s="20"/>
      <c r="C136" s="24"/>
      <c r="D136" s="20"/>
      <c r="E136" s="20"/>
      <c r="F136" s="20"/>
      <c r="G136" s="19"/>
      <c r="H136" s="19"/>
      <c r="I136" s="19"/>
      <c r="J136" s="19"/>
      <c r="K136" s="19"/>
      <c r="L136" s="19"/>
      <c r="M136" s="19"/>
      <c r="N136" s="19"/>
      <c r="O136" s="20"/>
      <c r="P136" s="21" t="str">
        <f aca="false">IF(OR(A136="",B136=""),"",IF(COUNT(I136:M136)=0,"",SUM(I136:M136)))</f>
        <v/>
      </c>
      <c r="Q136" s="22" t="str">
        <f aca="false">IF(OR(OR(A136="",B136=""),P136=""),"",IFERROR(P136/(IF(N(H136)&gt;0,H136,IF(N(G136)&gt;0,G136,IF(COUNTIFS($B$12:$B$211,B136,$G$12:$G$211,"&gt;0")+COUNTIFS($B$12:$B$211,B136,$H$12:$H$211,"&gt;0")&gt;0,"",INDEX($B$5:$B$7,MATCH(B136,$A$5:$A$7,0)))))),""))</f>
        <v/>
      </c>
      <c r="R136" s="23" t="str">
        <f aca="false">IF(OR(A136="",B136=""),"",IF(OR(Q136="",COUNTIFS($B$12:$B$211,B136,$Q$12:$Q$211,"&gt;=0")&lt;2),"No Data Yet",IFERROR(IF(Q136/AVERAGEIFS($Q$12:$Q$211,$B$12:$B$211,B136)&gt;=1.2,"Good",IF(Q136/AVERAGEIFS($Q$12:$Q$211,$B$12:$B$211,B136)&gt;=0.8,"Average","Below Standard")),"Average")))</f>
        <v/>
      </c>
      <c r="S136" s="24"/>
      <c r="T136" s="24"/>
      <c r="U136" s="20"/>
      <c r="V136" s="23" t="str">
        <f aca="false">IF(OR(A136="",B136=""),"","https://www.alphanodus.com/contact?utm_source="&amp;IF(B136="X","twitter",LOWER(B136))&amp;"&amp;utm_medium=social&amp;utm_campaign="&amp;IF(D136="","general",LOWER(SUBSTITUTE(SUBSTITUTE(D136," / ","-")," ","-")))&amp;"&amp;utm_content="&amp;LOWER(LEFT(B136,2))&amp;"-"&amp;TEXT(A136,"yymmdd"))</f>
        <v/>
      </c>
    </row>
    <row r="137" customFormat="false" ht="15" hidden="false" customHeight="false" outlineLevel="0" collapsed="false">
      <c r="A137" s="25"/>
      <c r="B137" s="20"/>
      <c r="C137" s="24"/>
      <c r="D137" s="20"/>
      <c r="E137" s="20"/>
      <c r="F137" s="20"/>
      <c r="G137" s="19"/>
      <c r="H137" s="19"/>
      <c r="I137" s="19"/>
      <c r="J137" s="19"/>
      <c r="K137" s="19"/>
      <c r="L137" s="19"/>
      <c r="M137" s="19"/>
      <c r="N137" s="19"/>
      <c r="O137" s="20"/>
      <c r="P137" s="21" t="str">
        <f aca="false">IF(OR(A137="",B137=""),"",IF(COUNT(I137:M137)=0,"",SUM(I137:M137)))</f>
        <v/>
      </c>
      <c r="Q137" s="22" t="str">
        <f aca="false">IF(OR(OR(A137="",B137=""),P137=""),"",IFERROR(P137/(IF(N(H137)&gt;0,H137,IF(N(G137)&gt;0,G137,IF(COUNTIFS($B$12:$B$211,B137,$G$12:$G$211,"&gt;0")+COUNTIFS($B$12:$B$211,B137,$H$12:$H$211,"&gt;0")&gt;0,"",INDEX($B$5:$B$7,MATCH(B137,$A$5:$A$7,0)))))),""))</f>
        <v/>
      </c>
      <c r="R137" s="23" t="str">
        <f aca="false">IF(OR(A137="",B137=""),"",IF(OR(Q137="",COUNTIFS($B$12:$B$211,B137,$Q$12:$Q$211,"&gt;=0")&lt;2),"No Data Yet",IFERROR(IF(Q137/AVERAGEIFS($Q$12:$Q$211,$B$12:$B$211,B137)&gt;=1.2,"Good",IF(Q137/AVERAGEIFS($Q$12:$Q$211,$B$12:$B$211,B137)&gt;=0.8,"Average","Below Standard")),"Average")))</f>
        <v/>
      </c>
      <c r="S137" s="24"/>
      <c r="T137" s="24"/>
      <c r="U137" s="20"/>
      <c r="V137" s="23" t="str">
        <f aca="false">IF(OR(A137="",B137=""),"","https://www.alphanodus.com/contact?utm_source="&amp;IF(B137="X","twitter",LOWER(B137))&amp;"&amp;utm_medium=social&amp;utm_campaign="&amp;IF(D137="","general",LOWER(SUBSTITUTE(SUBSTITUTE(D137," / ","-")," ","-")))&amp;"&amp;utm_content="&amp;LOWER(LEFT(B137,2))&amp;"-"&amp;TEXT(A137,"yymmdd"))</f>
        <v/>
      </c>
    </row>
    <row r="138" customFormat="false" ht="15" hidden="false" customHeight="false" outlineLevel="0" collapsed="false">
      <c r="A138" s="25"/>
      <c r="B138" s="20"/>
      <c r="C138" s="24"/>
      <c r="D138" s="20"/>
      <c r="E138" s="20"/>
      <c r="F138" s="20"/>
      <c r="G138" s="19"/>
      <c r="H138" s="19"/>
      <c r="I138" s="19"/>
      <c r="J138" s="19"/>
      <c r="K138" s="19"/>
      <c r="L138" s="19"/>
      <c r="M138" s="19"/>
      <c r="N138" s="19"/>
      <c r="O138" s="20"/>
      <c r="P138" s="21" t="str">
        <f aca="false">IF(OR(A138="",B138=""),"",IF(COUNT(I138:M138)=0,"",SUM(I138:M138)))</f>
        <v/>
      </c>
      <c r="Q138" s="22" t="str">
        <f aca="false">IF(OR(OR(A138="",B138=""),P138=""),"",IFERROR(P138/(IF(N(H138)&gt;0,H138,IF(N(G138)&gt;0,G138,IF(COUNTIFS($B$12:$B$211,B138,$G$12:$G$211,"&gt;0")+COUNTIFS($B$12:$B$211,B138,$H$12:$H$211,"&gt;0")&gt;0,"",INDEX($B$5:$B$7,MATCH(B138,$A$5:$A$7,0)))))),""))</f>
        <v/>
      </c>
      <c r="R138" s="23" t="str">
        <f aca="false">IF(OR(A138="",B138=""),"",IF(OR(Q138="",COUNTIFS($B$12:$B$211,B138,$Q$12:$Q$211,"&gt;=0")&lt;2),"No Data Yet",IFERROR(IF(Q138/AVERAGEIFS($Q$12:$Q$211,$B$12:$B$211,B138)&gt;=1.2,"Good",IF(Q138/AVERAGEIFS($Q$12:$Q$211,$B$12:$B$211,B138)&gt;=0.8,"Average","Below Standard")),"Average")))</f>
        <v/>
      </c>
      <c r="S138" s="24"/>
      <c r="T138" s="24"/>
      <c r="U138" s="20"/>
      <c r="V138" s="23" t="str">
        <f aca="false">IF(OR(A138="",B138=""),"","https://www.alphanodus.com/contact?utm_source="&amp;IF(B138="X","twitter",LOWER(B138))&amp;"&amp;utm_medium=social&amp;utm_campaign="&amp;IF(D138="","general",LOWER(SUBSTITUTE(SUBSTITUTE(D138," / ","-")," ","-")))&amp;"&amp;utm_content="&amp;LOWER(LEFT(B138,2))&amp;"-"&amp;TEXT(A138,"yymmdd"))</f>
        <v/>
      </c>
    </row>
    <row r="139" customFormat="false" ht="15" hidden="false" customHeight="false" outlineLevel="0" collapsed="false">
      <c r="A139" s="25"/>
      <c r="B139" s="20"/>
      <c r="C139" s="24"/>
      <c r="D139" s="20"/>
      <c r="E139" s="20"/>
      <c r="F139" s="20"/>
      <c r="G139" s="19"/>
      <c r="H139" s="19"/>
      <c r="I139" s="19"/>
      <c r="J139" s="19"/>
      <c r="K139" s="19"/>
      <c r="L139" s="19"/>
      <c r="M139" s="19"/>
      <c r="N139" s="19"/>
      <c r="O139" s="20"/>
      <c r="P139" s="21" t="str">
        <f aca="false">IF(OR(A139="",B139=""),"",IF(COUNT(I139:M139)=0,"",SUM(I139:M139)))</f>
        <v/>
      </c>
      <c r="Q139" s="22" t="str">
        <f aca="false">IF(OR(OR(A139="",B139=""),P139=""),"",IFERROR(P139/(IF(N(H139)&gt;0,H139,IF(N(G139)&gt;0,G139,IF(COUNTIFS($B$12:$B$211,B139,$G$12:$G$211,"&gt;0")+COUNTIFS($B$12:$B$211,B139,$H$12:$H$211,"&gt;0")&gt;0,"",INDEX($B$5:$B$7,MATCH(B139,$A$5:$A$7,0)))))),""))</f>
        <v/>
      </c>
      <c r="R139" s="23" t="str">
        <f aca="false">IF(OR(A139="",B139=""),"",IF(OR(Q139="",COUNTIFS($B$12:$B$211,B139,$Q$12:$Q$211,"&gt;=0")&lt;2),"No Data Yet",IFERROR(IF(Q139/AVERAGEIFS($Q$12:$Q$211,$B$12:$B$211,B139)&gt;=1.2,"Good",IF(Q139/AVERAGEIFS($Q$12:$Q$211,$B$12:$B$211,B139)&gt;=0.8,"Average","Below Standard")),"Average")))</f>
        <v/>
      </c>
      <c r="S139" s="24"/>
      <c r="T139" s="24"/>
      <c r="U139" s="20"/>
      <c r="V139" s="23" t="str">
        <f aca="false">IF(OR(A139="",B139=""),"","https://www.alphanodus.com/contact?utm_source="&amp;IF(B139="X","twitter",LOWER(B139))&amp;"&amp;utm_medium=social&amp;utm_campaign="&amp;IF(D139="","general",LOWER(SUBSTITUTE(SUBSTITUTE(D139," / ","-")," ","-")))&amp;"&amp;utm_content="&amp;LOWER(LEFT(B139,2))&amp;"-"&amp;TEXT(A139,"yymmdd"))</f>
        <v/>
      </c>
    </row>
    <row r="140" customFormat="false" ht="15" hidden="false" customHeight="false" outlineLevel="0" collapsed="false">
      <c r="A140" s="25"/>
      <c r="B140" s="20"/>
      <c r="C140" s="24"/>
      <c r="D140" s="20"/>
      <c r="E140" s="20"/>
      <c r="F140" s="20"/>
      <c r="G140" s="19"/>
      <c r="H140" s="19"/>
      <c r="I140" s="19"/>
      <c r="J140" s="19"/>
      <c r="K140" s="19"/>
      <c r="L140" s="19"/>
      <c r="M140" s="19"/>
      <c r="N140" s="19"/>
      <c r="O140" s="20"/>
      <c r="P140" s="21" t="str">
        <f aca="false">IF(OR(A140="",B140=""),"",IF(COUNT(I140:M140)=0,"",SUM(I140:M140)))</f>
        <v/>
      </c>
      <c r="Q140" s="22" t="str">
        <f aca="false">IF(OR(OR(A140="",B140=""),P140=""),"",IFERROR(P140/(IF(N(H140)&gt;0,H140,IF(N(G140)&gt;0,G140,IF(COUNTIFS($B$12:$B$211,B140,$G$12:$G$211,"&gt;0")+COUNTIFS($B$12:$B$211,B140,$H$12:$H$211,"&gt;0")&gt;0,"",INDEX($B$5:$B$7,MATCH(B140,$A$5:$A$7,0)))))),""))</f>
        <v/>
      </c>
      <c r="R140" s="23" t="str">
        <f aca="false">IF(OR(A140="",B140=""),"",IF(OR(Q140="",COUNTIFS($B$12:$B$211,B140,$Q$12:$Q$211,"&gt;=0")&lt;2),"No Data Yet",IFERROR(IF(Q140/AVERAGEIFS($Q$12:$Q$211,$B$12:$B$211,B140)&gt;=1.2,"Good",IF(Q140/AVERAGEIFS($Q$12:$Q$211,$B$12:$B$211,B140)&gt;=0.8,"Average","Below Standard")),"Average")))</f>
        <v/>
      </c>
      <c r="S140" s="24"/>
      <c r="T140" s="24"/>
      <c r="U140" s="20"/>
      <c r="V140" s="23" t="str">
        <f aca="false">IF(OR(A140="",B140=""),"","https://www.alphanodus.com/contact?utm_source="&amp;IF(B140="X","twitter",LOWER(B140))&amp;"&amp;utm_medium=social&amp;utm_campaign="&amp;IF(D140="","general",LOWER(SUBSTITUTE(SUBSTITUTE(D140," / ","-")," ","-")))&amp;"&amp;utm_content="&amp;LOWER(LEFT(B140,2))&amp;"-"&amp;TEXT(A140,"yymmdd"))</f>
        <v/>
      </c>
    </row>
    <row r="141" customFormat="false" ht="15" hidden="false" customHeight="false" outlineLevel="0" collapsed="false">
      <c r="A141" s="25"/>
      <c r="B141" s="20"/>
      <c r="C141" s="24"/>
      <c r="D141" s="20"/>
      <c r="E141" s="20"/>
      <c r="F141" s="20"/>
      <c r="G141" s="19"/>
      <c r="H141" s="19"/>
      <c r="I141" s="19"/>
      <c r="J141" s="19"/>
      <c r="K141" s="19"/>
      <c r="L141" s="19"/>
      <c r="M141" s="19"/>
      <c r="N141" s="19"/>
      <c r="O141" s="20"/>
      <c r="P141" s="21" t="str">
        <f aca="false">IF(OR(A141="",B141=""),"",IF(COUNT(I141:M141)=0,"",SUM(I141:M141)))</f>
        <v/>
      </c>
      <c r="Q141" s="22" t="str">
        <f aca="false">IF(OR(OR(A141="",B141=""),P141=""),"",IFERROR(P141/(IF(N(H141)&gt;0,H141,IF(N(G141)&gt;0,G141,IF(COUNTIFS($B$12:$B$211,B141,$G$12:$G$211,"&gt;0")+COUNTIFS($B$12:$B$211,B141,$H$12:$H$211,"&gt;0")&gt;0,"",INDEX($B$5:$B$7,MATCH(B141,$A$5:$A$7,0)))))),""))</f>
        <v/>
      </c>
      <c r="R141" s="23" t="str">
        <f aca="false">IF(OR(A141="",B141=""),"",IF(OR(Q141="",COUNTIFS($B$12:$B$211,B141,$Q$12:$Q$211,"&gt;=0")&lt;2),"No Data Yet",IFERROR(IF(Q141/AVERAGEIFS($Q$12:$Q$211,$B$12:$B$211,B141)&gt;=1.2,"Good",IF(Q141/AVERAGEIFS($Q$12:$Q$211,$B$12:$B$211,B141)&gt;=0.8,"Average","Below Standard")),"Average")))</f>
        <v/>
      </c>
      <c r="S141" s="24"/>
      <c r="T141" s="24"/>
      <c r="U141" s="20"/>
      <c r="V141" s="23" t="str">
        <f aca="false">IF(OR(A141="",B141=""),"","https://www.alphanodus.com/contact?utm_source="&amp;IF(B141="X","twitter",LOWER(B141))&amp;"&amp;utm_medium=social&amp;utm_campaign="&amp;IF(D141="","general",LOWER(SUBSTITUTE(SUBSTITUTE(D141," / ","-")," ","-")))&amp;"&amp;utm_content="&amp;LOWER(LEFT(B141,2))&amp;"-"&amp;TEXT(A141,"yymmdd"))</f>
        <v/>
      </c>
    </row>
    <row r="142" customFormat="false" ht="15" hidden="false" customHeight="false" outlineLevel="0" collapsed="false">
      <c r="A142" s="25"/>
      <c r="B142" s="20"/>
      <c r="C142" s="24"/>
      <c r="D142" s="20"/>
      <c r="E142" s="20"/>
      <c r="F142" s="20"/>
      <c r="G142" s="19"/>
      <c r="H142" s="19"/>
      <c r="I142" s="19"/>
      <c r="J142" s="19"/>
      <c r="K142" s="19"/>
      <c r="L142" s="19"/>
      <c r="M142" s="19"/>
      <c r="N142" s="19"/>
      <c r="O142" s="20"/>
      <c r="P142" s="21" t="str">
        <f aca="false">IF(OR(A142="",B142=""),"",IF(COUNT(I142:M142)=0,"",SUM(I142:M142)))</f>
        <v/>
      </c>
      <c r="Q142" s="22" t="str">
        <f aca="false">IF(OR(OR(A142="",B142=""),P142=""),"",IFERROR(P142/(IF(N(H142)&gt;0,H142,IF(N(G142)&gt;0,G142,IF(COUNTIFS($B$12:$B$211,B142,$G$12:$G$211,"&gt;0")+COUNTIFS($B$12:$B$211,B142,$H$12:$H$211,"&gt;0")&gt;0,"",INDEX($B$5:$B$7,MATCH(B142,$A$5:$A$7,0)))))),""))</f>
        <v/>
      </c>
      <c r="R142" s="23" t="str">
        <f aca="false">IF(OR(A142="",B142=""),"",IF(OR(Q142="",COUNTIFS($B$12:$B$211,B142,$Q$12:$Q$211,"&gt;=0")&lt;2),"No Data Yet",IFERROR(IF(Q142/AVERAGEIFS($Q$12:$Q$211,$B$12:$B$211,B142)&gt;=1.2,"Good",IF(Q142/AVERAGEIFS($Q$12:$Q$211,$B$12:$B$211,B142)&gt;=0.8,"Average","Below Standard")),"Average")))</f>
        <v/>
      </c>
      <c r="S142" s="24"/>
      <c r="T142" s="24"/>
      <c r="U142" s="20"/>
      <c r="V142" s="23" t="str">
        <f aca="false">IF(OR(A142="",B142=""),"","https://www.alphanodus.com/contact?utm_source="&amp;IF(B142="X","twitter",LOWER(B142))&amp;"&amp;utm_medium=social&amp;utm_campaign="&amp;IF(D142="","general",LOWER(SUBSTITUTE(SUBSTITUTE(D142," / ","-")," ","-")))&amp;"&amp;utm_content="&amp;LOWER(LEFT(B142,2))&amp;"-"&amp;TEXT(A142,"yymmdd"))</f>
        <v/>
      </c>
    </row>
    <row r="143" customFormat="false" ht="15" hidden="false" customHeight="false" outlineLevel="0" collapsed="false">
      <c r="A143" s="25"/>
      <c r="B143" s="20"/>
      <c r="C143" s="24"/>
      <c r="D143" s="20"/>
      <c r="E143" s="20"/>
      <c r="F143" s="20"/>
      <c r="G143" s="19"/>
      <c r="H143" s="19"/>
      <c r="I143" s="19"/>
      <c r="J143" s="19"/>
      <c r="K143" s="19"/>
      <c r="L143" s="19"/>
      <c r="M143" s="19"/>
      <c r="N143" s="19"/>
      <c r="O143" s="20"/>
      <c r="P143" s="21" t="str">
        <f aca="false">IF(OR(A143="",B143=""),"",IF(COUNT(I143:M143)=0,"",SUM(I143:M143)))</f>
        <v/>
      </c>
      <c r="Q143" s="22" t="str">
        <f aca="false">IF(OR(OR(A143="",B143=""),P143=""),"",IFERROR(P143/(IF(N(H143)&gt;0,H143,IF(N(G143)&gt;0,G143,IF(COUNTIFS($B$12:$B$211,B143,$G$12:$G$211,"&gt;0")+COUNTIFS($B$12:$B$211,B143,$H$12:$H$211,"&gt;0")&gt;0,"",INDEX($B$5:$B$7,MATCH(B143,$A$5:$A$7,0)))))),""))</f>
        <v/>
      </c>
      <c r="R143" s="23" t="str">
        <f aca="false">IF(OR(A143="",B143=""),"",IF(OR(Q143="",COUNTIFS($B$12:$B$211,B143,$Q$12:$Q$211,"&gt;=0")&lt;2),"No Data Yet",IFERROR(IF(Q143/AVERAGEIFS($Q$12:$Q$211,$B$12:$B$211,B143)&gt;=1.2,"Good",IF(Q143/AVERAGEIFS($Q$12:$Q$211,$B$12:$B$211,B143)&gt;=0.8,"Average","Below Standard")),"Average")))</f>
        <v/>
      </c>
      <c r="S143" s="24"/>
      <c r="T143" s="24"/>
      <c r="U143" s="20"/>
      <c r="V143" s="23" t="str">
        <f aca="false">IF(OR(A143="",B143=""),"","https://www.alphanodus.com/contact?utm_source="&amp;IF(B143="X","twitter",LOWER(B143))&amp;"&amp;utm_medium=social&amp;utm_campaign="&amp;IF(D143="","general",LOWER(SUBSTITUTE(SUBSTITUTE(D143," / ","-")," ","-")))&amp;"&amp;utm_content="&amp;LOWER(LEFT(B143,2))&amp;"-"&amp;TEXT(A143,"yymmdd"))</f>
        <v/>
      </c>
    </row>
    <row r="144" customFormat="false" ht="15" hidden="false" customHeight="false" outlineLevel="0" collapsed="false">
      <c r="A144" s="25"/>
      <c r="B144" s="20"/>
      <c r="C144" s="24"/>
      <c r="D144" s="20"/>
      <c r="E144" s="20"/>
      <c r="F144" s="20"/>
      <c r="G144" s="19"/>
      <c r="H144" s="19"/>
      <c r="I144" s="19"/>
      <c r="J144" s="19"/>
      <c r="K144" s="19"/>
      <c r="L144" s="19"/>
      <c r="M144" s="19"/>
      <c r="N144" s="19"/>
      <c r="O144" s="20"/>
      <c r="P144" s="21" t="str">
        <f aca="false">IF(OR(A144="",B144=""),"",IF(COUNT(I144:M144)=0,"",SUM(I144:M144)))</f>
        <v/>
      </c>
      <c r="Q144" s="22" t="str">
        <f aca="false">IF(OR(OR(A144="",B144=""),P144=""),"",IFERROR(P144/(IF(N(H144)&gt;0,H144,IF(N(G144)&gt;0,G144,IF(COUNTIFS($B$12:$B$211,B144,$G$12:$G$211,"&gt;0")+COUNTIFS($B$12:$B$211,B144,$H$12:$H$211,"&gt;0")&gt;0,"",INDEX($B$5:$B$7,MATCH(B144,$A$5:$A$7,0)))))),""))</f>
        <v/>
      </c>
      <c r="R144" s="23" t="str">
        <f aca="false">IF(OR(A144="",B144=""),"",IF(OR(Q144="",COUNTIFS($B$12:$B$211,B144,$Q$12:$Q$211,"&gt;=0")&lt;2),"No Data Yet",IFERROR(IF(Q144/AVERAGEIFS($Q$12:$Q$211,$B$12:$B$211,B144)&gt;=1.2,"Good",IF(Q144/AVERAGEIFS($Q$12:$Q$211,$B$12:$B$211,B144)&gt;=0.8,"Average","Below Standard")),"Average")))</f>
        <v/>
      </c>
      <c r="S144" s="24"/>
      <c r="T144" s="24"/>
      <c r="U144" s="20"/>
      <c r="V144" s="23" t="str">
        <f aca="false">IF(OR(A144="",B144=""),"","https://www.alphanodus.com/contact?utm_source="&amp;IF(B144="X","twitter",LOWER(B144))&amp;"&amp;utm_medium=social&amp;utm_campaign="&amp;IF(D144="","general",LOWER(SUBSTITUTE(SUBSTITUTE(D144," / ","-")," ","-")))&amp;"&amp;utm_content="&amp;LOWER(LEFT(B144,2))&amp;"-"&amp;TEXT(A144,"yymmdd"))</f>
        <v/>
      </c>
    </row>
    <row r="145" customFormat="false" ht="15" hidden="false" customHeight="false" outlineLevel="0" collapsed="false">
      <c r="A145" s="25"/>
      <c r="B145" s="20"/>
      <c r="C145" s="24"/>
      <c r="D145" s="20"/>
      <c r="E145" s="20"/>
      <c r="F145" s="20"/>
      <c r="G145" s="19"/>
      <c r="H145" s="19"/>
      <c r="I145" s="19"/>
      <c r="J145" s="19"/>
      <c r="K145" s="19"/>
      <c r="L145" s="19"/>
      <c r="M145" s="19"/>
      <c r="N145" s="19"/>
      <c r="O145" s="20"/>
      <c r="P145" s="21" t="str">
        <f aca="false">IF(OR(A145="",B145=""),"",IF(COUNT(I145:M145)=0,"",SUM(I145:M145)))</f>
        <v/>
      </c>
      <c r="Q145" s="22" t="str">
        <f aca="false">IF(OR(OR(A145="",B145=""),P145=""),"",IFERROR(P145/(IF(N(H145)&gt;0,H145,IF(N(G145)&gt;0,G145,IF(COUNTIFS($B$12:$B$211,B145,$G$12:$G$211,"&gt;0")+COUNTIFS($B$12:$B$211,B145,$H$12:$H$211,"&gt;0")&gt;0,"",INDEX($B$5:$B$7,MATCH(B145,$A$5:$A$7,0)))))),""))</f>
        <v/>
      </c>
      <c r="R145" s="23" t="str">
        <f aca="false">IF(OR(A145="",B145=""),"",IF(OR(Q145="",COUNTIFS($B$12:$B$211,B145,$Q$12:$Q$211,"&gt;=0")&lt;2),"No Data Yet",IFERROR(IF(Q145/AVERAGEIFS($Q$12:$Q$211,$B$12:$B$211,B145)&gt;=1.2,"Good",IF(Q145/AVERAGEIFS($Q$12:$Q$211,$B$12:$B$211,B145)&gt;=0.8,"Average","Below Standard")),"Average")))</f>
        <v/>
      </c>
      <c r="S145" s="24"/>
      <c r="T145" s="24"/>
      <c r="U145" s="20"/>
      <c r="V145" s="23" t="str">
        <f aca="false">IF(OR(A145="",B145=""),"","https://www.alphanodus.com/contact?utm_source="&amp;IF(B145="X","twitter",LOWER(B145))&amp;"&amp;utm_medium=social&amp;utm_campaign="&amp;IF(D145="","general",LOWER(SUBSTITUTE(SUBSTITUTE(D145," / ","-")," ","-")))&amp;"&amp;utm_content="&amp;LOWER(LEFT(B145,2))&amp;"-"&amp;TEXT(A145,"yymmdd"))</f>
        <v/>
      </c>
    </row>
    <row r="146" customFormat="false" ht="15" hidden="false" customHeight="false" outlineLevel="0" collapsed="false">
      <c r="A146" s="25"/>
      <c r="B146" s="20"/>
      <c r="C146" s="24"/>
      <c r="D146" s="20"/>
      <c r="E146" s="20"/>
      <c r="F146" s="20"/>
      <c r="G146" s="19"/>
      <c r="H146" s="19"/>
      <c r="I146" s="19"/>
      <c r="J146" s="19"/>
      <c r="K146" s="19"/>
      <c r="L146" s="19"/>
      <c r="M146" s="19"/>
      <c r="N146" s="19"/>
      <c r="O146" s="20"/>
      <c r="P146" s="21" t="str">
        <f aca="false">IF(OR(A146="",B146=""),"",IF(COUNT(I146:M146)=0,"",SUM(I146:M146)))</f>
        <v/>
      </c>
      <c r="Q146" s="22" t="str">
        <f aca="false">IF(OR(OR(A146="",B146=""),P146=""),"",IFERROR(P146/(IF(N(H146)&gt;0,H146,IF(N(G146)&gt;0,G146,IF(COUNTIFS($B$12:$B$211,B146,$G$12:$G$211,"&gt;0")+COUNTIFS($B$12:$B$211,B146,$H$12:$H$211,"&gt;0")&gt;0,"",INDEX($B$5:$B$7,MATCH(B146,$A$5:$A$7,0)))))),""))</f>
        <v/>
      </c>
      <c r="R146" s="23" t="str">
        <f aca="false">IF(OR(A146="",B146=""),"",IF(OR(Q146="",COUNTIFS($B$12:$B$211,B146,$Q$12:$Q$211,"&gt;=0")&lt;2),"No Data Yet",IFERROR(IF(Q146/AVERAGEIFS($Q$12:$Q$211,$B$12:$B$211,B146)&gt;=1.2,"Good",IF(Q146/AVERAGEIFS($Q$12:$Q$211,$B$12:$B$211,B146)&gt;=0.8,"Average","Below Standard")),"Average")))</f>
        <v/>
      </c>
      <c r="S146" s="24"/>
      <c r="T146" s="24"/>
      <c r="U146" s="20"/>
      <c r="V146" s="23" t="str">
        <f aca="false">IF(OR(A146="",B146=""),"","https://www.alphanodus.com/contact?utm_source="&amp;IF(B146="X","twitter",LOWER(B146))&amp;"&amp;utm_medium=social&amp;utm_campaign="&amp;IF(D146="","general",LOWER(SUBSTITUTE(SUBSTITUTE(D146," / ","-")," ","-")))&amp;"&amp;utm_content="&amp;LOWER(LEFT(B146,2))&amp;"-"&amp;TEXT(A146,"yymmdd"))</f>
        <v/>
      </c>
    </row>
    <row r="147" customFormat="false" ht="15" hidden="false" customHeight="false" outlineLevel="0" collapsed="false">
      <c r="A147" s="25"/>
      <c r="B147" s="20"/>
      <c r="C147" s="24"/>
      <c r="D147" s="20"/>
      <c r="E147" s="20"/>
      <c r="F147" s="20"/>
      <c r="G147" s="19"/>
      <c r="H147" s="19"/>
      <c r="I147" s="19"/>
      <c r="J147" s="19"/>
      <c r="K147" s="19"/>
      <c r="L147" s="19"/>
      <c r="M147" s="19"/>
      <c r="N147" s="19"/>
      <c r="O147" s="20"/>
      <c r="P147" s="21" t="str">
        <f aca="false">IF(OR(A147="",B147=""),"",IF(COUNT(I147:M147)=0,"",SUM(I147:M147)))</f>
        <v/>
      </c>
      <c r="Q147" s="22" t="str">
        <f aca="false">IF(OR(OR(A147="",B147=""),P147=""),"",IFERROR(P147/(IF(N(H147)&gt;0,H147,IF(N(G147)&gt;0,G147,IF(COUNTIFS($B$12:$B$211,B147,$G$12:$G$211,"&gt;0")+COUNTIFS($B$12:$B$211,B147,$H$12:$H$211,"&gt;0")&gt;0,"",INDEX($B$5:$B$7,MATCH(B147,$A$5:$A$7,0)))))),""))</f>
        <v/>
      </c>
      <c r="R147" s="23" t="str">
        <f aca="false">IF(OR(A147="",B147=""),"",IF(OR(Q147="",COUNTIFS($B$12:$B$211,B147,$Q$12:$Q$211,"&gt;=0")&lt;2),"No Data Yet",IFERROR(IF(Q147/AVERAGEIFS($Q$12:$Q$211,$B$12:$B$211,B147)&gt;=1.2,"Good",IF(Q147/AVERAGEIFS($Q$12:$Q$211,$B$12:$B$211,B147)&gt;=0.8,"Average","Below Standard")),"Average")))</f>
        <v/>
      </c>
      <c r="S147" s="24"/>
      <c r="T147" s="24"/>
      <c r="U147" s="20"/>
      <c r="V147" s="23" t="str">
        <f aca="false">IF(OR(A147="",B147=""),"","https://www.alphanodus.com/contact?utm_source="&amp;IF(B147="X","twitter",LOWER(B147))&amp;"&amp;utm_medium=social&amp;utm_campaign="&amp;IF(D147="","general",LOWER(SUBSTITUTE(SUBSTITUTE(D147," / ","-")," ","-")))&amp;"&amp;utm_content="&amp;LOWER(LEFT(B147,2))&amp;"-"&amp;TEXT(A147,"yymmdd"))</f>
        <v/>
      </c>
    </row>
    <row r="148" customFormat="false" ht="15" hidden="false" customHeight="false" outlineLevel="0" collapsed="false">
      <c r="A148" s="25"/>
      <c r="B148" s="20"/>
      <c r="C148" s="24"/>
      <c r="D148" s="20"/>
      <c r="E148" s="20"/>
      <c r="F148" s="20"/>
      <c r="G148" s="19"/>
      <c r="H148" s="19"/>
      <c r="I148" s="19"/>
      <c r="J148" s="19"/>
      <c r="K148" s="19"/>
      <c r="L148" s="19"/>
      <c r="M148" s="19"/>
      <c r="N148" s="19"/>
      <c r="O148" s="20"/>
      <c r="P148" s="21" t="str">
        <f aca="false">IF(OR(A148="",B148=""),"",IF(COUNT(I148:M148)=0,"",SUM(I148:M148)))</f>
        <v/>
      </c>
      <c r="Q148" s="22" t="str">
        <f aca="false">IF(OR(OR(A148="",B148=""),P148=""),"",IFERROR(P148/(IF(N(H148)&gt;0,H148,IF(N(G148)&gt;0,G148,IF(COUNTIFS($B$12:$B$211,B148,$G$12:$G$211,"&gt;0")+COUNTIFS($B$12:$B$211,B148,$H$12:$H$211,"&gt;0")&gt;0,"",INDEX($B$5:$B$7,MATCH(B148,$A$5:$A$7,0)))))),""))</f>
        <v/>
      </c>
      <c r="R148" s="23" t="str">
        <f aca="false">IF(OR(A148="",B148=""),"",IF(OR(Q148="",COUNTIFS($B$12:$B$211,B148,$Q$12:$Q$211,"&gt;=0")&lt;2),"No Data Yet",IFERROR(IF(Q148/AVERAGEIFS($Q$12:$Q$211,$B$12:$B$211,B148)&gt;=1.2,"Good",IF(Q148/AVERAGEIFS($Q$12:$Q$211,$B$12:$B$211,B148)&gt;=0.8,"Average","Below Standard")),"Average")))</f>
        <v/>
      </c>
      <c r="S148" s="24"/>
      <c r="T148" s="24"/>
      <c r="U148" s="20"/>
      <c r="V148" s="23" t="str">
        <f aca="false">IF(OR(A148="",B148=""),"","https://www.alphanodus.com/contact?utm_source="&amp;IF(B148="X","twitter",LOWER(B148))&amp;"&amp;utm_medium=social&amp;utm_campaign="&amp;IF(D148="","general",LOWER(SUBSTITUTE(SUBSTITUTE(D148," / ","-")," ","-")))&amp;"&amp;utm_content="&amp;LOWER(LEFT(B148,2))&amp;"-"&amp;TEXT(A148,"yymmdd"))</f>
        <v/>
      </c>
    </row>
    <row r="149" customFormat="false" ht="15" hidden="false" customHeight="false" outlineLevel="0" collapsed="false">
      <c r="A149" s="25"/>
      <c r="B149" s="20"/>
      <c r="C149" s="24"/>
      <c r="D149" s="20"/>
      <c r="E149" s="20"/>
      <c r="F149" s="20"/>
      <c r="G149" s="19"/>
      <c r="H149" s="19"/>
      <c r="I149" s="19"/>
      <c r="J149" s="19"/>
      <c r="K149" s="19"/>
      <c r="L149" s="19"/>
      <c r="M149" s="19"/>
      <c r="N149" s="19"/>
      <c r="O149" s="20"/>
      <c r="P149" s="21" t="str">
        <f aca="false">IF(OR(A149="",B149=""),"",IF(COUNT(I149:M149)=0,"",SUM(I149:M149)))</f>
        <v/>
      </c>
      <c r="Q149" s="22" t="str">
        <f aca="false">IF(OR(OR(A149="",B149=""),P149=""),"",IFERROR(P149/(IF(N(H149)&gt;0,H149,IF(N(G149)&gt;0,G149,IF(COUNTIFS($B$12:$B$211,B149,$G$12:$G$211,"&gt;0")+COUNTIFS($B$12:$B$211,B149,$H$12:$H$211,"&gt;0")&gt;0,"",INDEX($B$5:$B$7,MATCH(B149,$A$5:$A$7,0)))))),""))</f>
        <v/>
      </c>
      <c r="R149" s="23" t="str">
        <f aca="false">IF(OR(A149="",B149=""),"",IF(OR(Q149="",COUNTIFS($B$12:$B$211,B149,$Q$12:$Q$211,"&gt;=0")&lt;2),"No Data Yet",IFERROR(IF(Q149/AVERAGEIFS($Q$12:$Q$211,$B$12:$B$211,B149)&gt;=1.2,"Good",IF(Q149/AVERAGEIFS($Q$12:$Q$211,$B$12:$B$211,B149)&gt;=0.8,"Average","Below Standard")),"Average")))</f>
        <v/>
      </c>
      <c r="S149" s="24"/>
      <c r="T149" s="24"/>
      <c r="U149" s="20"/>
      <c r="V149" s="23" t="str">
        <f aca="false">IF(OR(A149="",B149=""),"","https://www.alphanodus.com/contact?utm_source="&amp;IF(B149="X","twitter",LOWER(B149))&amp;"&amp;utm_medium=social&amp;utm_campaign="&amp;IF(D149="","general",LOWER(SUBSTITUTE(SUBSTITUTE(D149," / ","-")," ","-")))&amp;"&amp;utm_content="&amp;LOWER(LEFT(B149,2))&amp;"-"&amp;TEXT(A149,"yymmdd"))</f>
        <v/>
      </c>
    </row>
    <row r="150" customFormat="false" ht="15" hidden="false" customHeight="false" outlineLevel="0" collapsed="false">
      <c r="A150" s="25"/>
      <c r="B150" s="20"/>
      <c r="C150" s="24"/>
      <c r="D150" s="20"/>
      <c r="E150" s="20"/>
      <c r="F150" s="20"/>
      <c r="G150" s="19"/>
      <c r="H150" s="19"/>
      <c r="I150" s="19"/>
      <c r="J150" s="19"/>
      <c r="K150" s="19"/>
      <c r="L150" s="19"/>
      <c r="M150" s="19"/>
      <c r="N150" s="19"/>
      <c r="O150" s="20"/>
      <c r="P150" s="21" t="str">
        <f aca="false">IF(OR(A150="",B150=""),"",IF(COUNT(I150:M150)=0,"",SUM(I150:M150)))</f>
        <v/>
      </c>
      <c r="Q150" s="22" t="str">
        <f aca="false">IF(OR(OR(A150="",B150=""),P150=""),"",IFERROR(P150/(IF(N(H150)&gt;0,H150,IF(N(G150)&gt;0,G150,IF(COUNTIFS($B$12:$B$211,B150,$G$12:$G$211,"&gt;0")+COUNTIFS($B$12:$B$211,B150,$H$12:$H$211,"&gt;0")&gt;0,"",INDEX($B$5:$B$7,MATCH(B150,$A$5:$A$7,0)))))),""))</f>
        <v/>
      </c>
      <c r="R150" s="23" t="str">
        <f aca="false">IF(OR(A150="",B150=""),"",IF(OR(Q150="",COUNTIFS($B$12:$B$211,B150,$Q$12:$Q$211,"&gt;=0")&lt;2),"No Data Yet",IFERROR(IF(Q150/AVERAGEIFS($Q$12:$Q$211,$B$12:$B$211,B150)&gt;=1.2,"Good",IF(Q150/AVERAGEIFS($Q$12:$Q$211,$B$12:$B$211,B150)&gt;=0.8,"Average","Below Standard")),"Average")))</f>
        <v/>
      </c>
      <c r="S150" s="24"/>
      <c r="T150" s="24"/>
      <c r="U150" s="20"/>
      <c r="V150" s="23" t="str">
        <f aca="false">IF(OR(A150="",B150=""),"","https://www.alphanodus.com/contact?utm_source="&amp;IF(B150="X","twitter",LOWER(B150))&amp;"&amp;utm_medium=social&amp;utm_campaign="&amp;IF(D150="","general",LOWER(SUBSTITUTE(SUBSTITUTE(D150," / ","-")," ","-")))&amp;"&amp;utm_content="&amp;LOWER(LEFT(B150,2))&amp;"-"&amp;TEXT(A150,"yymmdd"))</f>
        <v/>
      </c>
    </row>
    <row r="151" customFormat="false" ht="15" hidden="false" customHeight="false" outlineLevel="0" collapsed="false">
      <c r="A151" s="25"/>
      <c r="B151" s="20"/>
      <c r="C151" s="24"/>
      <c r="D151" s="20"/>
      <c r="E151" s="20"/>
      <c r="F151" s="20"/>
      <c r="G151" s="19"/>
      <c r="H151" s="19"/>
      <c r="I151" s="19"/>
      <c r="J151" s="19"/>
      <c r="K151" s="19"/>
      <c r="L151" s="19"/>
      <c r="M151" s="19"/>
      <c r="N151" s="19"/>
      <c r="O151" s="20"/>
      <c r="P151" s="21" t="str">
        <f aca="false">IF(OR(A151="",B151=""),"",IF(COUNT(I151:M151)=0,"",SUM(I151:M151)))</f>
        <v/>
      </c>
      <c r="Q151" s="22" t="str">
        <f aca="false">IF(OR(OR(A151="",B151=""),P151=""),"",IFERROR(P151/(IF(N(H151)&gt;0,H151,IF(N(G151)&gt;0,G151,IF(COUNTIFS($B$12:$B$211,B151,$G$12:$G$211,"&gt;0")+COUNTIFS($B$12:$B$211,B151,$H$12:$H$211,"&gt;0")&gt;0,"",INDEX($B$5:$B$7,MATCH(B151,$A$5:$A$7,0)))))),""))</f>
        <v/>
      </c>
      <c r="R151" s="23" t="str">
        <f aca="false">IF(OR(A151="",B151=""),"",IF(OR(Q151="",COUNTIFS($B$12:$B$211,B151,$Q$12:$Q$211,"&gt;=0")&lt;2),"No Data Yet",IFERROR(IF(Q151/AVERAGEIFS($Q$12:$Q$211,$B$12:$B$211,B151)&gt;=1.2,"Good",IF(Q151/AVERAGEIFS($Q$12:$Q$211,$B$12:$B$211,B151)&gt;=0.8,"Average","Below Standard")),"Average")))</f>
        <v/>
      </c>
      <c r="S151" s="24"/>
      <c r="T151" s="24"/>
      <c r="U151" s="20"/>
      <c r="V151" s="23" t="str">
        <f aca="false">IF(OR(A151="",B151=""),"","https://www.alphanodus.com/contact?utm_source="&amp;IF(B151="X","twitter",LOWER(B151))&amp;"&amp;utm_medium=social&amp;utm_campaign="&amp;IF(D151="","general",LOWER(SUBSTITUTE(SUBSTITUTE(D151," / ","-")," ","-")))&amp;"&amp;utm_content="&amp;LOWER(LEFT(B151,2))&amp;"-"&amp;TEXT(A151,"yymmdd"))</f>
        <v/>
      </c>
    </row>
    <row r="152" customFormat="false" ht="15" hidden="false" customHeight="false" outlineLevel="0" collapsed="false">
      <c r="A152" s="25"/>
      <c r="B152" s="20"/>
      <c r="C152" s="24"/>
      <c r="D152" s="20"/>
      <c r="E152" s="20"/>
      <c r="F152" s="20"/>
      <c r="G152" s="19"/>
      <c r="H152" s="19"/>
      <c r="I152" s="19"/>
      <c r="J152" s="19"/>
      <c r="K152" s="19"/>
      <c r="L152" s="19"/>
      <c r="M152" s="19"/>
      <c r="N152" s="19"/>
      <c r="O152" s="20"/>
      <c r="P152" s="21" t="str">
        <f aca="false">IF(OR(A152="",B152=""),"",IF(COUNT(I152:M152)=0,"",SUM(I152:M152)))</f>
        <v/>
      </c>
      <c r="Q152" s="22" t="str">
        <f aca="false">IF(OR(OR(A152="",B152=""),P152=""),"",IFERROR(P152/(IF(N(H152)&gt;0,H152,IF(N(G152)&gt;0,G152,IF(COUNTIFS($B$12:$B$211,B152,$G$12:$G$211,"&gt;0")+COUNTIFS($B$12:$B$211,B152,$H$12:$H$211,"&gt;0")&gt;0,"",INDEX($B$5:$B$7,MATCH(B152,$A$5:$A$7,0)))))),""))</f>
        <v/>
      </c>
      <c r="R152" s="23" t="str">
        <f aca="false">IF(OR(A152="",B152=""),"",IF(OR(Q152="",COUNTIFS($B$12:$B$211,B152,$Q$12:$Q$211,"&gt;=0")&lt;2),"No Data Yet",IFERROR(IF(Q152/AVERAGEIFS($Q$12:$Q$211,$B$12:$B$211,B152)&gt;=1.2,"Good",IF(Q152/AVERAGEIFS($Q$12:$Q$211,$B$12:$B$211,B152)&gt;=0.8,"Average","Below Standard")),"Average")))</f>
        <v/>
      </c>
      <c r="S152" s="24"/>
      <c r="T152" s="24"/>
      <c r="U152" s="20"/>
      <c r="V152" s="23" t="str">
        <f aca="false">IF(OR(A152="",B152=""),"","https://www.alphanodus.com/contact?utm_source="&amp;IF(B152="X","twitter",LOWER(B152))&amp;"&amp;utm_medium=social&amp;utm_campaign="&amp;IF(D152="","general",LOWER(SUBSTITUTE(SUBSTITUTE(D152," / ","-")," ","-")))&amp;"&amp;utm_content="&amp;LOWER(LEFT(B152,2))&amp;"-"&amp;TEXT(A152,"yymmdd"))</f>
        <v/>
      </c>
    </row>
    <row r="153" customFormat="false" ht="15" hidden="false" customHeight="false" outlineLevel="0" collapsed="false">
      <c r="A153" s="25"/>
      <c r="B153" s="20"/>
      <c r="C153" s="24"/>
      <c r="D153" s="20"/>
      <c r="E153" s="20"/>
      <c r="F153" s="20"/>
      <c r="G153" s="19"/>
      <c r="H153" s="19"/>
      <c r="I153" s="19"/>
      <c r="J153" s="19"/>
      <c r="K153" s="19"/>
      <c r="L153" s="19"/>
      <c r="M153" s="19"/>
      <c r="N153" s="19"/>
      <c r="O153" s="20"/>
      <c r="P153" s="21" t="str">
        <f aca="false">IF(OR(A153="",B153=""),"",IF(COUNT(I153:M153)=0,"",SUM(I153:M153)))</f>
        <v/>
      </c>
      <c r="Q153" s="22" t="str">
        <f aca="false">IF(OR(OR(A153="",B153=""),P153=""),"",IFERROR(P153/(IF(N(H153)&gt;0,H153,IF(N(G153)&gt;0,G153,IF(COUNTIFS($B$12:$B$211,B153,$G$12:$G$211,"&gt;0")+COUNTIFS($B$12:$B$211,B153,$H$12:$H$211,"&gt;0")&gt;0,"",INDEX($B$5:$B$7,MATCH(B153,$A$5:$A$7,0)))))),""))</f>
        <v/>
      </c>
      <c r="R153" s="23" t="str">
        <f aca="false">IF(OR(A153="",B153=""),"",IF(OR(Q153="",COUNTIFS($B$12:$B$211,B153,$Q$12:$Q$211,"&gt;=0")&lt;2),"No Data Yet",IFERROR(IF(Q153/AVERAGEIFS($Q$12:$Q$211,$B$12:$B$211,B153)&gt;=1.2,"Good",IF(Q153/AVERAGEIFS($Q$12:$Q$211,$B$12:$B$211,B153)&gt;=0.8,"Average","Below Standard")),"Average")))</f>
        <v/>
      </c>
      <c r="S153" s="24"/>
      <c r="T153" s="24"/>
      <c r="U153" s="20"/>
      <c r="V153" s="23" t="str">
        <f aca="false">IF(OR(A153="",B153=""),"","https://www.alphanodus.com/contact?utm_source="&amp;IF(B153="X","twitter",LOWER(B153))&amp;"&amp;utm_medium=social&amp;utm_campaign="&amp;IF(D153="","general",LOWER(SUBSTITUTE(SUBSTITUTE(D153," / ","-")," ","-")))&amp;"&amp;utm_content="&amp;LOWER(LEFT(B153,2))&amp;"-"&amp;TEXT(A153,"yymmdd"))</f>
        <v/>
      </c>
    </row>
    <row r="154" customFormat="false" ht="15" hidden="false" customHeight="false" outlineLevel="0" collapsed="false">
      <c r="A154" s="25"/>
      <c r="B154" s="20"/>
      <c r="C154" s="24"/>
      <c r="D154" s="20"/>
      <c r="E154" s="20"/>
      <c r="F154" s="20"/>
      <c r="G154" s="19"/>
      <c r="H154" s="19"/>
      <c r="I154" s="19"/>
      <c r="J154" s="19"/>
      <c r="K154" s="19"/>
      <c r="L154" s="19"/>
      <c r="M154" s="19"/>
      <c r="N154" s="19"/>
      <c r="O154" s="20"/>
      <c r="P154" s="21" t="str">
        <f aca="false">IF(OR(A154="",B154=""),"",IF(COUNT(I154:M154)=0,"",SUM(I154:M154)))</f>
        <v/>
      </c>
      <c r="Q154" s="22" t="str">
        <f aca="false">IF(OR(OR(A154="",B154=""),P154=""),"",IFERROR(P154/(IF(N(H154)&gt;0,H154,IF(N(G154)&gt;0,G154,IF(COUNTIFS($B$12:$B$211,B154,$G$12:$G$211,"&gt;0")+COUNTIFS($B$12:$B$211,B154,$H$12:$H$211,"&gt;0")&gt;0,"",INDEX($B$5:$B$7,MATCH(B154,$A$5:$A$7,0)))))),""))</f>
        <v/>
      </c>
      <c r="R154" s="23" t="str">
        <f aca="false">IF(OR(A154="",B154=""),"",IF(OR(Q154="",COUNTIFS($B$12:$B$211,B154,$Q$12:$Q$211,"&gt;=0")&lt;2),"No Data Yet",IFERROR(IF(Q154/AVERAGEIFS($Q$12:$Q$211,$B$12:$B$211,B154)&gt;=1.2,"Good",IF(Q154/AVERAGEIFS($Q$12:$Q$211,$B$12:$B$211,B154)&gt;=0.8,"Average","Below Standard")),"Average")))</f>
        <v/>
      </c>
      <c r="S154" s="24"/>
      <c r="T154" s="24"/>
      <c r="U154" s="20"/>
      <c r="V154" s="23" t="str">
        <f aca="false">IF(OR(A154="",B154=""),"","https://www.alphanodus.com/contact?utm_source="&amp;IF(B154="X","twitter",LOWER(B154))&amp;"&amp;utm_medium=social&amp;utm_campaign="&amp;IF(D154="","general",LOWER(SUBSTITUTE(SUBSTITUTE(D154," / ","-")," ","-")))&amp;"&amp;utm_content="&amp;LOWER(LEFT(B154,2))&amp;"-"&amp;TEXT(A154,"yymmdd"))</f>
        <v/>
      </c>
    </row>
    <row r="155" customFormat="false" ht="15" hidden="false" customHeight="false" outlineLevel="0" collapsed="false">
      <c r="A155" s="25"/>
      <c r="B155" s="20"/>
      <c r="C155" s="24"/>
      <c r="D155" s="20"/>
      <c r="E155" s="20"/>
      <c r="F155" s="20"/>
      <c r="G155" s="19"/>
      <c r="H155" s="19"/>
      <c r="I155" s="19"/>
      <c r="J155" s="19"/>
      <c r="K155" s="19"/>
      <c r="L155" s="19"/>
      <c r="M155" s="19"/>
      <c r="N155" s="19"/>
      <c r="O155" s="20"/>
      <c r="P155" s="21" t="str">
        <f aca="false">IF(OR(A155="",B155=""),"",IF(COUNT(I155:M155)=0,"",SUM(I155:M155)))</f>
        <v/>
      </c>
      <c r="Q155" s="22" t="str">
        <f aca="false">IF(OR(OR(A155="",B155=""),P155=""),"",IFERROR(P155/(IF(N(H155)&gt;0,H155,IF(N(G155)&gt;0,G155,IF(COUNTIFS($B$12:$B$211,B155,$G$12:$G$211,"&gt;0")+COUNTIFS($B$12:$B$211,B155,$H$12:$H$211,"&gt;0")&gt;0,"",INDEX($B$5:$B$7,MATCH(B155,$A$5:$A$7,0)))))),""))</f>
        <v/>
      </c>
      <c r="R155" s="23" t="str">
        <f aca="false">IF(OR(A155="",B155=""),"",IF(OR(Q155="",COUNTIFS($B$12:$B$211,B155,$Q$12:$Q$211,"&gt;=0")&lt;2),"No Data Yet",IFERROR(IF(Q155/AVERAGEIFS($Q$12:$Q$211,$B$12:$B$211,B155)&gt;=1.2,"Good",IF(Q155/AVERAGEIFS($Q$12:$Q$211,$B$12:$B$211,B155)&gt;=0.8,"Average","Below Standard")),"Average")))</f>
        <v/>
      </c>
      <c r="S155" s="24"/>
      <c r="T155" s="24"/>
      <c r="U155" s="20"/>
      <c r="V155" s="23" t="str">
        <f aca="false">IF(OR(A155="",B155=""),"","https://www.alphanodus.com/contact?utm_source="&amp;IF(B155="X","twitter",LOWER(B155))&amp;"&amp;utm_medium=social&amp;utm_campaign="&amp;IF(D155="","general",LOWER(SUBSTITUTE(SUBSTITUTE(D155," / ","-")," ","-")))&amp;"&amp;utm_content="&amp;LOWER(LEFT(B155,2))&amp;"-"&amp;TEXT(A155,"yymmdd"))</f>
        <v/>
      </c>
    </row>
    <row r="156" customFormat="false" ht="15" hidden="false" customHeight="false" outlineLevel="0" collapsed="false">
      <c r="A156" s="25"/>
      <c r="B156" s="20"/>
      <c r="C156" s="24"/>
      <c r="D156" s="20"/>
      <c r="E156" s="20"/>
      <c r="F156" s="20"/>
      <c r="G156" s="19"/>
      <c r="H156" s="19"/>
      <c r="I156" s="19"/>
      <c r="J156" s="19"/>
      <c r="K156" s="19"/>
      <c r="L156" s="19"/>
      <c r="M156" s="19"/>
      <c r="N156" s="19"/>
      <c r="O156" s="20"/>
      <c r="P156" s="21" t="str">
        <f aca="false">IF(OR(A156="",B156=""),"",IF(COUNT(I156:M156)=0,"",SUM(I156:M156)))</f>
        <v/>
      </c>
      <c r="Q156" s="22" t="str">
        <f aca="false">IF(OR(OR(A156="",B156=""),P156=""),"",IFERROR(P156/(IF(N(H156)&gt;0,H156,IF(N(G156)&gt;0,G156,IF(COUNTIFS($B$12:$B$211,B156,$G$12:$G$211,"&gt;0")+COUNTIFS($B$12:$B$211,B156,$H$12:$H$211,"&gt;0")&gt;0,"",INDEX($B$5:$B$7,MATCH(B156,$A$5:$A$7,0)))))),""))</f>
        <v/>
      </c>
      <c r="R156" s="23" t="str">
        <f aca="false">IF(OR(A156="",B156=""),"",IF(OR(Q156="",COUNTIFS($B$12:$B$211,B156,$Q$12:$Q$211,"&gt;=0")&lt;2),"No Data Yet",IFERROR(IF(Q156/AVERAGEIFS($Q$12:$Q$211,$B$12:$B$211,B156)&gt;=1.2,"Good",IF(Q156/AVERAGEIFS($Q$12:$Q$211,$B$12:$B$211,B156)&gt;=0.8,"Average","Below Standard")),"Average")))</f>
        <v/>
      </c>
      <c r="S156" s="24"/>
      <c r="T156" s="24"/>
      <c r="U156" s="20"/>
      <c r="V156" s="23" t="str">
        <f aca="false">IF(OR(A156="",B156=""),"","https://www.alphanodus.com/contact?utm_source="&amp;IF(B156="X","twitter",LOWER(B156))&amp;"&amp;utm_medium=social&amp;utm_campaign="&amp;IF(D156="","general",LOWER(SUBSTITUTE(SUBSTITUTE(D156," / ","-")," ","-")))&amp;"&amp;utm_content="&amp;LOWER(LEFT(B156,2))&amp;"-"&amp;TEXT(A156,"yymmdd"))</f>
        <v/>
      </c>
    </row>
    <row r="157" customFormat="false" ht="15" hidden="false" customHeight="false" outlineLevel="0" collapsed="false">
      <c r="A157" s="25"/>
      <c r="B157" s="20"/>
      <c r="C157" s="24"/>
      <c r="D157" s="20"/>
      <c r="E157" s="20"/>
      <c r="F157" s="20"/>
      <c r="G157" s="19"/>
      <c r="H157" s="19"/>
      <c r="I157" s="19"/>
      <c r="J157" s="19"/>
      <c r="K157" s="19"/>
      <c r="L157" s="19"/>
      <c r="M157" s="19"/>
      <c r="N157" s="19"/>
      <c r="O157" s="20"/>
      <c r="P157" s="21" t="str">
        <f aca="false">IF(OR(A157="",B157=""),"",IF(COUNT(I157:M157)=0,"",SUM(I157:M157)))</f>
        <v/>
      </c>
      <c r="Q157" s="22" t="str">
        <f aca="false">IF(OR(OR(A157="",B157=""),P157=""),"",IFERROR(P157/(IF(N(H157)&gt;0,H157,IF(N(G157)&gt;0,G157,IF(COUNTIFS($B$12:$B$211,B157,$G$12:$G$211,"&gt;0")+COUNTIFS($B$12:$B$211,B157,$H$12:$H$211,"&gt;0")&gt;0,"",INDEX($B$5:$B$7,MATCH(B157,$A$5:$A$7,0)))))),""))</f>
        <v/>
      </c>
      <c r="R157" s="23" t="str">
        <f aca="false">IF(OR(A157="",B157=""),"",IF(OR(Q157="",COUNTIFS($B$12:$B$211,B157,$Q$12:$Q$211,"&gt;=0")&lt;2),"No Data Yet",IFERROR(IF(Q157/AVERAGEIFS($Q$12:$Q$211,$B$12:$B$211,B157)&gt;=1.2,"Good",IF(Q157/AVERAGEIFS($Q$12:$Q$211,$B$12:$B$211,B157)&gt;=0.8,"Average","Below Standard")),"Average")))</f>
        <v/>
      </c>
      <c r="S157" s="24"/>
      <c r="T157" s="24"/>
      <c r="U157" s="20"/>
      <c r="V157" s="23" t="str">
        <f aca="false">IF(OR(A157="",B157=""),"","https://www.alphanodus.com/contact?utm_source="&amp;IF(B157="X","twitter",LOWER(B157))&amp;"&amp;utm_medium=social&amp;utm_campaign="&amp;IF(D157="","general",LOWER(SUBSTITUTE(SUBSTITUTE(D157," / ","-")," ","-")))&amp;"&amp;utm_content="&amp;LOWER(LEFT(B157,2))&amp;"-"&amp;TEXT(A157,"yymmdd"))</f>
        <v/>
      </c>
    </row>
    <row r="158" customFormat="false" ht="15" hidden="false" customHeight="false" outlineLevel="0" collapsed="false">
      <c r="A158" s="25"/>
      <c r="B158" s="20"/>
      <c r="C158" s="24"/>
      <c r="D158" s="20"/>
      <c r="E158" s="20"/>
      <c r="F158" s="20"/>
      <c r="G158" s="19"/>
      <c r="H158" s="19"/>
      <c r="I158" s="19"/>
      <c r="J158" s="19"/>
      <c r="K158" s="19"/>
      <c r="L158" s="19"/>
      <c r="M158" s="19"/>
      <c r="N158" s="19"/>
      <c r="O158" s="20"/>
      <c r="P158" s="21" t="str">
        <f aca="false">IF(OR(A158="",B158=""),"",IF(COUNT(I158:M158)=0,"",SUM(I158:M158)))</f>
        <v/>
      </c>
      <c r="Q158" s="22" t="str">
        <f aca="false">IF(OR(OR(A158="",B158=""),P158=""),"",IFERROR(P158/(IF(N(H158)&gt;0,H158,IF(N(G158)&gt;0,G158,IF(COUNTIFS($B$12:$B$211,B158,$G$12:$G$211,"&gt;0")+COUNTIFS($B$12:$B$211,B158,$H$12:$H$211,"&gt;0")&gt;0,"",INDEX($B$5:$B$7,MATCH(B158,$A$5:$A$7,0)))))),""))</f>
        <v/>
      </c>
      <c r="R158" s="23" t="str">
        <f aca="false">IF(OR(A158="",B158=""),"",IF(OR(Q158="",COUNTIFS($B$12:$B$211,B158,$Q$12:$Q$211,"&gt;=0")&lt;2),"No Data Yet",IFERROR(IF(Q158/AVERAGEIFS($Q$12:$Q$211,$B$12:$B$211,B158)&gt;=1.2,"Good",IF(Q158/AVERAGEIFS($Q$12:$Q$211,$B$12:$B$211,B158)&gt;=0.8,"Average","Below Standard")),"Average")))</f>
        <v/>
      </c>
      <c r="S158" s="24"/>
      <c r="T158" s="24"/>
      <c r="U158" s="20"/>
      <c r="V158" s="23" t="str">
        <f aca="false">IF(OR(A158="",B158=""),"","https://www.alphanodus.com/contact?utm_source="&amp;IF(B158="X","twitter",LOWER(B158))&amp;"&amp;utm_medium=social&amp;utm_campaign="&amp;IF(D158="","general",LOWER(SUBSTITUTE(SUBSTITUTE(D158," / ","-")," ","-")))&amp;"&amp;utm_content="&amp;LOWER(LEFT(B158,2))&amp;"-"&amp;TEXT(A158,"yymmdd"))</f>
        <v/>
      </c>
    </row>
    <row r="159" customFormat="false" ht="15" hidden="false" customHeight="false" outlineLevel="0" collapsed="false">
      <c r="A159" s="25"/>
      <c r="B159" s="20"/>
      <c r="C159" s="24"/>
      <c r="D159" s="20"/>
      <c r="E159" s="20"/>
      <c r="F159" s="20"/>
      <c r="G159" s="19"/>
      <c r="H159" s="19"/>
      <c r="I159" s="19"/>
      <c r="J159" s="19"/>
      <c r="K159" s="19"/>
      <c r="L159" s="19"/>
      <c r="M159" s="19"/>
      <c r="N159" s="19"/>
      <c r="O159" s="20"/>
      <c r="P159" s="21" t="str">
        <f aca="false">IF(OR(A159="",B159=""),"",IF(COUNT(I159:M159)=0,"",SUM(I159:M159)))</f>
        <v/>
      </c>
      <c r="Q159" s="22" t="str">
        <f aca="false">IF(OR(OR(A159="",B159=""),P159=""),"",IFERROR(P159/(IF(N(H159)&gt;0,H159,IF(N(G159)&gt;0,G159,IF(COUNTIFS($B$12:$B$211,B159,$G$12:$G$211,"&gt;0")+COUNTIFS($B$12:$B$211,B159,$H$12:$H$211,"&gt;0")&gt;0,"",INDEX($B$5:$B$7,MATCH(B159,$A$5:$A$7,0)))))),""))</f>
        <v/>
      </c>
      <c r="R159" s="23" t="str">
        <f aca="false">IF(OR(A159="",B159=""),"",IF(OR(Q159="",COUNTIFS($B$12:$B$211,B159,$Q$12:$Q$211,"&gt;=0")&lt;2),"No Data Yet",IFERROR(IF(Q159/AVERAGEIFS($Q$12:$Q$211,$B$12:$B$211,B159)&gt;=1.2,"Good",IF(Q159/AVERAGEIFS($Q$12:$Q$211,$B$12:$B$211,B159)&gt;=0.8,"Average","Below Standard")),"Average")))</f>
        <v/>
      </c>
      <c r="S159" s="24"/>
      <c r="T159" s="24"/>
      <c r="U159" s="20"/>
      <c r="V159" s="23" t="str">
        <f aca="false">IF(OR(A159="",B159=""),"","https://www.alphanodus.com/contact?utm_source="&amp;IF(B159="X","twitter",LOWER(B159))&amp;"&amp;utm_medium=social&amp;utm_campaign="&amp;IF(D159="","general",LOWER(SUBSTITUTE(SUBSTITUTE(D159," / ","-")," ","-")))&amp;"&amp;utm_content="&amp;LOWER(LEFT(B159,2))&amp;"-"&amp;TEXT(A159,"yymmdd"))</f>
        <v/>
      </c>
    </row>
    <row r="160" customFormat="false" ht="15" hidden="false" customHeight="false" outlineLevel="0" collapsed="false">
      <c r="A160" s="25"/>
      <c r="B160" s="20"/>
      <c r="C160" s="24"/>
      <c r="D160" s="20"/>
      <c r="E160" s="20"/>
      <c r="F160" s="20"/>
      <c r="G160" s="19"/>
      <c r="H160" s="19"/>
      <c r="I160" s="19"/>
      <c r="J160" s="19"/>
      <c r="K160" s="19"/>
      <c r="L160" s="19"/>
      <c r="M160" s="19"/>
      <c r="N160" s="19"/>
      <c r="O160" s="20"/>
      <c r="P160" s="21" t="str">
        <f aca="false">IF(OR(A160="",B160=""),"",IF(COUNT(I160:M160)=0,"",SUM(I160:M160)))</f>
        <v/>
      </c>
      <c r="Q160" s="22" t="str">
        <f aca="false">IF(OR(OR(A160="",B160=""),P160=""),"",IFERROR(P160/(IF(N(H160)&gt;0,H160,IF(N(G160)&gt;0,G160,IF(COUNTIFS($B$12:$B$211,B160,$G$12:$G$211,"&gt;0")+COUNTIFS($B$12:$B$211,B160,$H$12:$H$211,"&gt;0")&gt;0,"",INDEX($B$5:$B$7,MATCH(B160,$A$5:$A$7,0)))))),""))</f>
        <v/>
      </c>
      <c r="R160" s="23" t="str">
        <f aca="false">IF(OR(A160="",B160=""),"",IF(OR(Q160="",COUNTIFS($B$12:$B$211,B160,$Q$12:$Q$211,"&gt;=0")&lt;2),"No Data Yet",IFERROR(IF(Q160/AVERAGEIFS($Q$12:$Q$211,$B$12:$B$211,B160)&gt;=1.2,"Good",IF(Q160/AVERAGEIFS($Q$12:$Q$211,$B$12:$B$211,B160)&gt;=0.8,"Average","Below Standard")),"Average")))</f>
        <v/>
      </c>
      <c r="S160" s="24"/>
      <c r="T160" s="24"/>
      <c r="U160" s="20"/>
      <c r="V160" s="23" t="str">
        <f aca="false">IF(OR(A160="",B160=""),"","https://www.alphanodus.com/contact?utm_source="&amp;IF(B160="X","twitter",LOWER(B160))&amp;"&amp;utm_medium=social&amp;utm_campaign="&amp;IF(D160="","general",LOWER(SUBSTITUTE(SUBSTITUTE(D160," / ","-")," ","-")))&amp;"&amp;utm_content="&amp;LOWER(LEFT(B160,2))&amp;"-"&amp;TEXT(A160,"yymmdd"))</f>
        <v/>
      </c>
    </row>
    <row r="161" customFormat="false" ht="15" hidden="false" customHeight="false" outlineLevel="0" collapsed="false">
      <c r="A161" s="25"/>
      <c r="B161" s="20"/>
      <c r="C161" s="24"/>
      <c r="D161" s="20"/>
      <c r="E161" s="20"/>
      <c r="F161" s="20"/>
      <c r="G161" s="19"/>
      <c r="H161" s="19"/>
      <c r="I161" s="19"/>
      <c r="J161" s="19"/>
      <c r="K161" s="19"/>
      <c r="L161" s="19"/>
      <c r="M161" s="19"/>
      <c r="N161" s="19"/>
      <c r="O161" s="20"/>
      <c r="P161" s="21" t="str">
        <f aca="false">IF(OR(A161="",B161=""),"",IF(COUNT(I161:M161)=0,"",SUM(I161:M161)))</f>
        <v/>
      </c>
      <c r="Q161" s="22" t="str">
        <f aca="false">IF(OR(OR(A161="",B161=""),P161=""),"",IFERROR(P161/(IF(N(H161)&gt;0,H161,IF(N(G161)&gt;0,G161,IF(COUNTIFS($B$12:$B$211,B161,$G$12:$G$211,"&gt;0")+COUNTIFS($B$12:$B$211,B161,$H$12:$H$211,"&gt;0")&gt;0,"",INDEX($B$5:$B$7,MATCH(B161,$A$5:$A$7,0)))))),""))</f>
        <v/>
      </c>
      <c r="R161" s="23" t="str">
        <f aca="false">IF(OR(A161="",B161=""),"",IF(OR(Q161="",COUNTIFS($B$12:$B$211,B161,$Q$12:$Q$211,"&gt;=0")&lt;2),"No Data Yet",IFERROR(IF(Q161/AVERAGEIFS($Q$12:$Q$211,$B$12:$B$211,B161)&gt;=1.2,"Good",IF(Q161/AVERAGEIFS($Q$12:$Q$211,$B$12:$B$211,B161)&gt;=0.8,"Average","Below Standard")),"Average")))</f>
        <v/>
      </c>
      <c r="S161" s="24"/>
      <c r="T161" s="24"/>
      <c r="U161" s="20"/>
      <c r="V161" s="23" t="str">
        <f aca="false">IF(OR(A161="",B161=""),"","https://www.alphanodus.com/contact?utm_source="&amp;IF(B161="X","twitter",LOWER(B161))&amp;"&amp;utm_medium=social&amp;utm_campaign="&amp;IF(D161="","general",LOWER(SUBSTITUTE(SUBSTITUTE(D161," / ","-")," ","-")))&amp;"&amp;utm_content="&amp;LOWER(LEFT(B161,2))&amp;"-"&amp;TEXT(A161,"yymmdd"))</f>
        <v/>
      </c>
    </row>
    <row r="162" customFormat="false" ht="15" hidden="false" customHeight="false" outlineLevel="0" collapsed="false">
      <c r="A162" s="25"/>
      <c r="B162" s="20"/>
      <c r="C162" s="24"/>
      <c r="D162" s="20"/>
      <c r="E162" s="20"/>
      <c r="F162" s="20"/>
      <c r="G162" s="19"/>
      <c r="H162" s="19"/>
      <c r="I162" s="19"/>
      <c r="J162" s="19"/>
      <c r="K162" s="19"/>
      <c r="L162" s="19"/>
      <c r="M162" s="19"/>
      <c r="N162" s="19"/>
      <c r="O162" s="20"/>
      <c r="P162" s="21" t="str">
        <f aca="false">IF(OR(A162="",B162=""),"",IF(COUNT(I162:M162)=0,"",SUM(I162:M162)))</f>
        <v/>
      </c>
      <c r="Q162" s="22" t="str">
        <f aca="false">IF(OR(OR(A162="",B162=""),P162=""),"",IFERROR(P162/(IF(N(H162)&gt;0,H162,IF(N(G162)&gt;0,G162,IF(COUNTIFS($B$12:$B$211,B162,$G$12:$G$211,"&gt;0")+COUNTIFS($B$12:$B$211,B162,$H$12:$H$211,"&gt;0")&gt;0,"",INDEX($B$5:$B$7,MATCH(B162,$A$5:$A$7,0)))))),""))</f>
        <v/>
      </c>
      <c r="R162" s="23" t="str">
        <f aca="false">IF(OR(A162="",B162=""),"",IF(OR(Q162="",COUNTIFS($B$12:$B$211,B162,$Q$12:$Q$211,"&gt;=0")&lt;2),"No Data Yet",IFERROR(IF(Q162/AVERAGEIFS($Q$12:$Q$211,$B$12:$B$211,B162)&gt;=1.2,"Good",IF(Q162/AVERAGEIFS($Q$12:$Q$211,$B$12:$B$211,B162)&gt;=0.8,"Average","Below Standard")),"Average")))</f>
        <v/>
      </c>
      <c r="S162" s="24"/>
      <c r="T162" s="24"/>
      <c r="U162" s="20"/>
      <c r="V162" s="23" t="str">
        <f aca="false">IF(OR(A162="",B162=""),"","https://www.alphanodus.com/contact?utm_source="&amp;IF(B162="X","twitter",LOWER(B162))&amp;"&amp;utm_medium=social&amp;utm_campaign="&amp;IF(D162="","general",LOWER(SUBSTITUTE(SUBSTITUTE(D162," / ","-")," ","-")))&amp;"&amp;utm_content="&amp;LOWER(LEFT(B162,2))&amp;"-"&amp;TEXT(A162,"yymmdd"))</f>
        <v/>
      </c>
    </row>
    <row r="163" customFormat="false" ht="15" hidden="false" customHeight="false" outlineLevel="0" collapsed="false">
      <c r="A163" s="25"/>
      <c r="B163" s="20"/>
      <c r="C163" s="24"/>
      <c r="D163" s="20"/>
      <c r="E163" s="20"/>
      <c r="F163" s="20"/>
      <c r="G163" s="19"/>
      <c r="H163" s="19"/>
      <c r="I163" s="19"/>
      <c r="J163" s="19"/>
      <c r="K163" s="19"/>
      <c r="L163" s="19"/>
      <c r="M163" s="19"/>
      <c r="N163" s="19"/>
      <c r="O163" s="20"/>
      <c r="P163" s="21" t="str">
        <f aca="false">IF(OR(A163="",B163=""),"",IF(COUNT(I163:M163)=0,"",SUM(I163:M163)))</f>
        <v/>
      </c>
      <c r="Q163" s="22" t="str">
        <f aca="false">IF(OR(OR(A163="",B163=""),P163=""),"",IFERROR(P163/(IF(N(H163)&gt;0,H163,IF(N(G163)&gt;0,G163,IF(COUNTIFS($B$12:$B$211,B163,$G$12:$G$211,"&gt;0")+COUNTIFS($B$12:$B$211,B163,$H$12:$H$211,"&gt;0")&gt;0,"",INDEX($B$5:$B$7,MATCH(B163,$A$5:$A$7,0)))))),""))</f>
        <v/>
      </c>
      <c r="R163" s="23" t="str">
        <f aca="false">IF(OR(A163="",B163=""),"",IF(OR(Q163="",COUNTIFS($B$12:$B$211,B163,$Q$12:$Q$211,"&gt;=0")&lt;2),"No Data Yet",IFERROR(IF(Q163/AVERAGEIFS($Q$12:$Q$211,$B$12:$B$211,B163)&gt;=1.2,"Good",IF(Q163/AVERAGEIFS($Q$12:$Q$211,$B$12:$B$211,B163)&gt;=0.8,"Average","Below Standard")),"Average")))</f>
        <v/>
      </c>
      <c r="S163" s="24"/>
      <c r="T163" s="24"/>
      <c r="U163" s="20"/>
      <c r="V163" s="23" t="str">
        <f aca="false">IF(OR(A163="",B163=""),"","https://www.alphanodus.com/contact?utm_source="&amp;IF(B163="X","twitter",LOWER(B163))&amp;"&amp;utm_medium=social&amp;utm_campaign="&amp;IF(D163="","general",LOWER(SUBSTITUTE(SUBSTITUTE(D163," / ","-")," ","-")))&amp;"&amp;utm_content="&amp;LOWER(LEFT(B163,2))&amp;"-"&amp;TEXT(A163,"yymmdd"))</f>
        <v/>
      </c>
    </row>
    <row r="164" customFormat="false" ht="15" hidden="false" customHeight="false" outlineLevel="0" collapsed="false">
      <c r="A164" s="25"/>
      <c r="B164" s="20"/>
      <c r="C164" s="24"/>
      <c r="D164" s="20"/>
      <c r="E164" s="20"/>
      <c r="F164" s="20"/>
      <c r="G164" s="19"/>
      <c r="H164" s="19"/>
      <c r="I164" s="19"/>
      <c r="J164" s="19"/>
      <c r="K164" s="19"/>
      <c r="L164" s="19"/>
      <c r="M164" s="19"/>
      <c r="N164" s="19"/>
      <c r="O164" s="20"/>
      <c r="P164" s="21" t="str">
        <f aca="false">IF(OR(A164="",B164=""),"",IF(COUNT(I164:M164)=0,"",SUM(I164:M164)))</f>
        <v/>
      </c>
      <c r="Q164" s="22" t="str">
        <f aca="false">IF(OR(OR(A164="",B164=""),P164=""),"",IFERROR(P164/(IF(N(H164)&gt;0,H164,IF(N(G164)&gt;0,G164,IF(COUNTIFS($B$12:$B$211,B164,$G$12:$G$211,"&gt;0")+COUNTIFS($B$12:$B$211,B164,$H$12:$H$211,"&gt;0")&gt;0,"",INDEX($B$5:$B$7,MATCH(B164,$A$5:$A$7,0)))))),""))</f>
        <v/>
      </c>
      <c r="R164" s="23" t="str">
        <f aca="false">IF(OR(A164="",B164=""),"",IF(OR(Q164="",COUNTIFS($B$12:$B$211,B164,$Q$12:$Q$211,"&gt;=0")&lt;2),"No Data Yet",IFERROR(IF(Q164/AVERAGEIFS($Q$12:$Q$211,$B$12:$B$211,B164)&gt;=1.2,"Good",IF(Q164/AVERAGEIFS($Q$12:$Q$211,$B$12:$B$211,B164)&gt;=0.8,"Average","Below Standard")),"Average")))</f>
        <v/>
      </c>
      <c r="S164" s="24"/>
      <c r="T164" s="24"/>
      <c r="U164" s="20"/>
      <c r="V164" s="23" t="str">
        <f aca="false">IF(OR(A164="",B164=""),"","https://www.alphanodus.com/contact?utm_source="&amp;IF(B164="X","twitter",LOWER(B164))&amp;"&amp;utm_medium=social&amp;utm_campaign="&amp;IF(D164="","general",LOWER(SUBSTITUTE(SUBSTITUTE(D164," / ","-")," ","-")))&amp;"&amp;utm_content="&amp;LOWER(LEFT(B164,2))&amp;"-"&amp;TEXT(A164,"yymmdd"))</f>
        <v/>
      </c>
    </row>
    <row r="165" customFormat="false" ht="15" hidden="false" customHeight="false" outlineLevel="0" collapsed="false">
      <c r="A165" s="25"/>
      <c r="B165" s="20"/>
      <c r="C165" s="24"/>
      <c r="D165" s="20"/>
      <c r="E165" s="20"/>
      <c r="F165" s="20"/>
      <c r="G165" s="19"/>
      <c r="H165" s="19"/>
      <c r="I165" s="19"/>
      <c r="J165" s="19"/>
      <c r="K165" s="19"/>
      <c r="L165" s="19"/>
      <c r="M165" s="19"/>
      <c r="N165" s="19"/>
      <c r="O165" s="20"/>
      <c r="P165" s="21" t="str">
        <f aca="false">IF(OR(A165="",B165=""),"",IF(COUNT(I165:M165)=0,"",SUM(I165:M165)))</f>
        <v/>
      </c>
      <c r="Q165" s="22" t="str">
        <f aca="false">IF(OR(OR(A165="",B165=""),P165=""),"",IFERROR(P165/(IF(N(H165)&gt;0,H165,IF(N(G165)&gt;0,G165,IF(COUNTIFS($B$12:$B$211,B165,$G$12:$G$211,"&gt;0")+COUNTIFS($B$12:$B$211,B165,$H$12:$H$211,"&gt;0")&gt;0,"",INDEX($B$5:$B$7,MATCH(B165,$A$5:$A$7,0)))))),""))</f>
        <v/>
      </c>
      <c r="R165" s="23" t="str">
        <f aca="false">IF(OR(A165="",B165=""),"",IF(OR(Q165="",COUNTIFS($B$12:$B$211,B165,$Q$12:$Q$211,"&gt;=0")&lt;2),"No Data Yet",IFERROR(IF(Q165/AVERAGEIFS($Q$12:$Q$211,$B$12:$B$211,B165)&gt;=1.2,"Good",IF(Q165/AVERAGEIFS($Q$12:$Q$211,$B$12:$B$211,B165)&gt;=0.8,"Average","Below Standard")),"Average")))</f>
        <v/>
      </c>
      <c r="S165" s="24"/>
      <c r="T165" s="24"/>
      <c r="U165" s="20"/>
      <c r="V165" s="23" t="str">
        <f aca="false">IF(OR(A165="",B165=""),"","https://www.alphanodus.com/contact?utm_source="&amp;IF(B165="X","twitter",LOWER(B165))&amp;"&amp;utm_medium=social&amp;utm_campaign="&amp;IF(D165="","general",LOWER(SUBSTITUTE(SUBSTITUTE(D165," / ","-")," ","-")))&amp;"&amp;utm_content="&amp;LOWER(LEFT(B165,2))&amp;"-"&amp;TEXT(A165,"yymmdd"))</f>
        <v/>
      </c>
    </row>
    <row r="166" customFormat="false" ht="15" hidden="false" customHeight="false" outlineLevel="0" collapsed="false">
      <c r="A166" s="25"/>
      <c r="B166" s="20"/>
      <c r="C166" s="24"/>
      <c r="D166" s="20"/>
      <c r="E166" s="20"/>
      <c r="F166" s="20"/>
      <c r="G166" s="19"/>
      <c r="H166" s="19"/>
      <c r="I166" s="19"/>
      <c r="J166" s="19"/>
      <c r="K166" s="19"/>
      <c r="L166" s="19"/>
      <c r="M166" s="19"/>
      <c r="N166" s="19"/>
      <c r="O166" s="20"/>
      <c r="P166" s="21" t="str">
        <f aca="false">IF(OR(A166="",B166=""),"",IF(COUNT(I166:M166)=0,"",SUM(I166:M166)))</f>
        <v/>
      </c>
      <c r="Q166" s="22" t="str">
        <f aca="false">IF(OR(OR(A166="",B166=""),P166=""),"",IFERROR(P166/(IF(N(H166)&gt;0,H166,IF(N(G166)&gt;0,G166,IF(COUNTIFS($B$12:$B$211,B166,$G$12:$G$211,"&gt;0")+COUNTIFS($B$12:$B$211,B166,$H$12:$H$211,"&gt;0")&gt;0,"",INDEX($B$5:$B$7,MATCH(B166,$A$5:$A$7,0)))))),""))</f>
        <v/>
      </c>
      <c r="R166" s="23" t="str">
        <f aca="false">IF(OR(A166="",B166=""),"",IF(OR(Q166="",COUNTIFS($B$12:$B$211,B166,$Q$12:$Q$211,"&gt;=0")&lt;2),"No Data Yet",IFERROR(IF(Q166/AVERAGEIFS($Q$12:$Q$211,$B$12:$B$211,B166)&gt;=1.2,"Good",IF(Q166/AVERAGEIFS($Q$12:$Q$211,$B$12:$B$211,B166)&gt;=0.8,"Average","Below Standard")),"Average")))</f>
        <v/>
      </c>
      <c r="S166" s="24"/>
      <c r="T166" s="24"/>
      <c r="U166" s="20"/>
      <c r="V166" s="23" t="str">
        <f aca="false">IF(OR(A166="",B166=""),"","https://www.alphanodus.com/contact?utm_source="&amp;IF(B166="X","twitter",LOWER(B166))&amp;"&amp;utm_medium=social&amp;utm_campaign="&amp;IF(D166="","general",LOWER(SUBSTITUTE(SUBSTITUTE(D166," / ","-")," ","-")))&amp;"&amp;utm_content="&amp;LOWER(LEFT(B166,2))&amp;"-"&amp;TEXT(A166,"yymmdd"))</f>
        <v/>
      </c>
    </row>
    <row r="167" customFormat="false" ht="15" hidden="false" customHeight="false" outlineLevel="0" collapsed="false">
      <c r="A167" s="25"/>
      <c r="B167" s="20"/>
      <c r="C167" s="24"/>
      <c r="D167" s="20"/>
      <c r="E167" s="20"/>
      <c r="F167" s="20"/>
      <c r="G167" s="19"/>
      <c r="H167" s="19"/>
      <c r="I167" s="19"/>
      <c r="J167" s="19"/>
      <c r="K167" s="19"/>
      <c r="L167" s="19"/>
      <c r="M167" s="19"/>
      <c r="N167" s="19"/>
      <c r="O167" s="20"/>
      <c r="P167" s="21" t="str">
        <f aca="false">IF(OR(A167="",B167=""),"",IF(COUNT(I167:M167)=0,"",SUM(I167:M167)))</f>
        <v/>
      </c>
      <c r="Q167" s="22" t="str">
        <f aca="false">IF(OR(OR(A167="",B167=""),P167=""),"",IFERROR(P167/(IF(N(H167)&gt;0,H167,IF(N(G167)&gt;0,G167,IF(COUNTIFS($B$12:$B$211,B167,$G$12:$G$211,"&gt;0")+COUNTIFS($B$12:$B$211,B167,$H$12:$H$211,"&gt;0")&gt;0,"",INDEX($B$5:$B$7,MATCH(B167,$A$5:$A$7,0)))))),""))</f>
        <v/>
      </c>
      <c r="R167" s="23" t="str">
        <f aca="false">IF(OR(A167="",B167=""),"",IF(OR(Q167="",COUNTIFS($B$12:$B$211,B167,$Q$12:$Q$211,"&gt;=0")&lt;2),"No Data Yet",IFERROR(IF(Q167/AVERAGEIFS($Q$12:$Q$211,$B$12:$B$211,B167)&gt;=1.2,"Good",IF(Q167/AVERAGEIFS($Q$12:$Q$211,$B$12:$B$211,B167)&gt;=0.8,"Average","Below Standard")),"Average")))</f>
        <v/>
      </c>
      <c r="S167" s="24"/>
      <c r="T167" s="24"/>
      <c r="U167" s="20"/>
      <c r="V167" s="23" t="str">
        <f aca="false">IF(OR(A167="",B167=""),"","https://www.alphanodus.com/contact?utm_source="&amp;IF(B167="X","twitter",LOWER(B167))&amp;"&amp;utm_medium=social&amp;utm_campaign="&amp;IF(D167="","general",LOWER(SUBSTITUTE(SUBSTITUTE(D167," / ","-")," ","-")))&amp;"&amp;utm_content="&amp;LOWER(LEFT(B167,2))&amp;"-"&amp;TEXT(A167,"yymmdd"))</f>
        <v/>
      </c>
    </row>
    <row r="168" customFormat="false" ht="15" hidden="false" customHeight="false" outlineLevel="0" collapsed="false">
      <c r="A168" s="25"/>
      <c r="B168" s="20"/>
      <c r="C168" s="24"/>
      <c r="D168" s="20"/>
      <c r="E168" s="20"/>
      <c r="F168" s="20"/>
      <c r="G168" s="19"/>
      <c r="H168" s="19"/>
      <c r="I168" s="19"/>
      <c r="J168" s="19"/>
      <c r="K168" s="19"/>
      <c r="L168" s="19"/>
      <c r="M168" s="19"/>
      <c r="N168" s="19"/>
      <c r="O168" s="20"/>
      <c r="P168" s="21" t="str">
        <f aca="false">IF(OR(A168="",B168=""),"",IF(COUNT(I168:M168)=0,"",SUM(I168:M168)))</f>
        <v/>
      </c>
      <c r="Q168" s="22" t="str">
        <f aca="false">IF(OR(OR(A168="",B168=""),P168=""),"",IFERROR(P168/(IF(N(H168)&gt;0,H168,IF(N(G168)&gt;0,G168,IF(COUNTIFS($B$12:$B$211,B168,$G$12:$G$211,"&gt;0")+COUNTIFS($B$12:$B$211,B168,$H$12:$H$211,"&gt;0")&gt;0,"",INDEX($B$5:$B$7,MATCH(B168,$A$5:$A$7,0)))))),""))</f>
        <v/>
      </c>
      <c r="R168" s="23" t="str">
        <f aca="false">IF(OR(A168="",B168=""),"",IF(OR(Q168="",COUNTIFS($B$12:$B$211,B168,$Q$12:$Q$211,"&gt;=0")&lt;2),"No Data Yet",IFERROR(IF(Q168/AVERAGEIFS($Q$12:$Q$211,$B$12:$B$211,B168)&gt;=1.2,"Good",IF(Q168/AVERAGEIFS($Q$12:$Q$211,$B$12:$B$211,B168)&gt;=0.8,"Average","Below Standard")),"Average")))</f>
        <v/>
      </c>
      <c r="S168" s="24"/>
      <c r="T168" s="24"/>
      <c r="U168" s="20"/>
      <c r="V168" s="23" t="str">
        <f aca="false">IF(OR(A168="",B168=""),"","https://www.alphanodus.com/contact?utm_source="&amp;IF(B168="X","twitter",LOWER(B168))&amp;"&amp;utm_medium=social&amp;utm_campaign="&amp;IF(D168="","general",LOWER(SUBSTITUTE(SUBSTITUTE(D168," / ","-")," ","-")))&amp;"&amp;utm_content="&amp;LOWER(LEFT(B168,2))&amp;"-"&amp;TEXT(A168,"yymmdd"))</f>
        <v/>
      </c>
    </row>
    <row r="169" customFormat="false" ht="15" hidden="false" customHeight="false" outlineLevel="0" collapsed="false">
      <c r="A169" s="25"/>
      <c r="B169" s="20"/>
      <c r="C169" s="24"/>
      <c r="D169" s="20"/>
      <c r="E169" s="20"/>
      <c r="F169" s="20"/>
      <c r="G169" s="19"/>
      <c r="H169" s="19"/>
      <c r="I169" s="19"/>
      <c r="J169" s="19"/>
      <c r="K169" s="19"/>
      <c r="L169" s="19"/>
      <c r="M169" s="19"/>
      <c r="N169" s="19"/>
      <c r="O169" s="20"/>
      <c r="P169" s="21" t="str">
        <f aca="false">IF(OR(A169="",B169=""),"",IF(COUNT(I169:M169)=0,"",SUM(I169:M169)))</f>
        <v/>
      </c>
      <c r="Q169" s="22" t="str">
        <f aca="false">IF(OR(OR(A169="",B169=""),P169=""),"",IFERROR(P169/(IF(N(H169)&gt;0,H169,IF(N(G169)&gt;0,G169,IF(COUNTIFS($B$12:$B$211,B169,$G$12:$G$211,"&gt;0")+COUNTIFS($B$12:$B$211,B169,$H$12:$H$211,"&gt;0")&gt;0,"",INDEX($B$5:$B$7,MATCH(B169,$A$5:$A$7,0)))))),""))</f>
        <v/>
      </c>
      <c r="R169" s="23" t="str">
        <f aca="false">IF(OR(A169="",B169=""),"",IF(OR(Q169="",COUNTIFS($B$12:$B$211,B169,$Q$12:$Q$211,"&gt;=0")&lt;2),"No Data Yet",IFERROR(IF(Q169/AVERAGEIFS($Q$12:$Q$211,$B$12:$B$211,B169)&gt;=1.2,"Good",IF(Q169/AVERAGEIFS($Q$12:$Q$211,$B$12:$B$211,B169)&gt;=0.8,"Average","Below Standard")),"Average")))</f>
        <v/>
      </c>
      <c r="S169" s="24"/>
      <c r="T169" s="24"/>
      <c r="U169" s="20"/>
      <c r="V169" s="23" t="str">
        <f aca="false">IF(OR(A169="",B169=""),"","https://www.alphanodus.com/contact?utm_source="&amp;IF(B169="X","twitter",LOWER(B169))&amp;"&amp;utm_medium=social&amp;utm_campaign="&amp;IF(D169="","general",LOWER(SUBSTITUTE(SUBSTITUTE(D169," / ","-")," ","-")))&amp;"&amp;utm_content="&amp;LOWER(LEFT(B169,2))&amp;"-"&amp;TEXT(A169,"yymmdd"))</f>
        <v/>
      </c>
    </row>
    <row r="170" customFormat="false" ht="15" hidden="false" customHeight="false" outlineLevel="0" collapsed="false">
      <c r="A170" s="25"/>
      <c r="B170" s="20"/>
      <c r="C170" s="24"/>
      <c r="D170" s="20"/>
      <c r="E170" s="20"/>
      <c r="F170" s="20"/>
      <c r="G170" s="19"/>
      <c r="H170" s="19"/>
      <c r="I170" s="19"/>
      <c r="J170" s="19"/>
      <c r="K170" s="19"/>
      <c r="L170" s="19"/>
      <c r="M170" s="19"/>
      <c r="N170" s="19"/>
      <c r="O170" s="20"/>
      <c r="P170" s="21" t="str">
        <f aca="false">IF(OR(A170="",B170=""),"",IF(COUNT(I170:M170)=0,"",SUM(I170:M170)))</f>
        <v/>
      </c>
      <c r="Q170" s="22" t="str">
        <f aca="false">IF(OR(OR(A170="",B170=""),P170=""),"",IFERROR(P170/(IF(N(H170)&gt;0,H170,IF(N(G170)&gt;0,G170,IF(COUNTIFS($B$12:$B$211,B170,$G$12:$G$211,"&gt;0")+COUNTIFS($B$12:$B$211,B170,$H$12:$H$211,"&gt;0")&gt;0,"",INDEX($B$5:$B$7,MATCH(B170,$A$5:$A$7,0)))))),""))</f>
        <v/>
      </c>
      <c r="R170" s="23" t="str">
        <f aca="false">IF(OR(A170="",B170=""),"",IF(OR(Q170="",COUNTIFS($B$12:$B$211,B170,$Q$12:$Q$211,"&gt;=0")&lt;2),"No Data Yet",IFERROR(IF(Q170/AVERAGEIFS($Q$12:$Q$211,$B$12:$B$211,B170)&gt;=1.2,"Good",IF(Q170/AVERAGEIFS($Q$12:$Q$211,$B$12:$B$211,B170)&gt;=0.8,"Average","Below Standard")),"Average")))</f>
        <v/>
      </c>
      <c r="S170" s="24"/>
      <c r="T170" s="24"/>
      <c r="U170" s="20"/>
      <c r="V170" s="23" t="str">
        <f aca="false">IF(OR(A170="",B170=""),"","https://www.alphanodus.com/contact?utm_source="&amp;IF(B170="X","twitter",LOWER(B170))&amp;"&amp;utm_medium=social&amp;utm_campaign="&amp;IF(D170="","general",LOWER(SUBSTITUTE(SUBSTITUTE(D170," / ","-")," ","-")))&amp;"&amp;utm_content="&amp;LOWER(LEFT(B170,2))&amp;"-"&amp;TEXT(A170,"yymmdd"))</f>
        <v/>
      </c>
    </row>
    <row r="171" customFormat="false" ht="15" hidden="false" customHeight="false" outlineLevel="0" collapsed="false">
      <c r="A171" s="25"/>
      <c r="B171" s="20"/>
      <c r="C171" s="24"/>
      <c r="D171" s="20"/>
      <c r="E171" s="20"/>
      <c r="F171" s="20"/>
      <c r="G171" s="19"/>
      <c r="H171" s="19"/>
      <c r="I171" s="19"/>
      <c r="J171" s="19"/>
      <c r="K171" s="19"/>
      <c r="L171" s="19"/>
      <c r="M171" s="19"/>
      <c r="N171" s="19"/>
      <c r="O171" s="20"/>
      <c r="P171" s="21" t="str">
        <f aca="false">IF(OR(A171="",B171=""),"",IF(COUNT(I171:M171)=0,"",SUM(I171:M171)))</f>
        <v/>
      </c>
      <c r="Q171" s="22" t="str">
        <f aca="false">IF(OR(OR(A171="",B171=""),P171=""),"",IFERROR(P171/(IF(N(H171)&gt;0,H171,IF(N(G171)&gt;0,G171,IF(COUNTIFS($B$12:$B$211,B171,$G$12:$G$211,"&gt;0")+COUNTIFS($B$12:$B$211,B171,$H$12:$H$211,"&gt;0")&gt;0,"",INDEX($B$5:$B$7,MATCH(B171,$A$5:$A$7,0)))))),""))</f>
        <v/>
      </c>
      <c r="R171" s="23" t="str">
        <f aca="false">IF(OR(A171="",B171=""),"",IF(OR(Q171="",COUNTIFS($B$12:$B$211,B171,$Q$12:$Q$211,"&gt;=0")&lt;2),"No Data Yet",IFERROR(IF(Q171/AVERAGEIFS($Q$12:$Q$211,$B$12:$B$211,B171)&gt;=1.2,"Good",IF(Q171/AVERAGEIFS($Q$12:$Q$211,$B$12:$B$211,B171)&gt;=0.8,"Average","Below Standard")),"Average")))</f>
        <v/>
      </c>
      <c r="S171" s="24"/>
      <c r="T171" s="24"/>
      <c r="U171" s="20"/>
      <c r="V171" s="23" t="str">
        <f aca="false">IF(OR(A171="",B171=""),"","https://www.alphanodus.com/contact?utm_source="&amp;IF(B171="X","twitter",LOWER(B171))&amp;"&amp;utm_medium=social&amp;utm_campaign="&amp;IF(D171="","general",LOWER(SUBSTITUTE(SUBSTITUTE(D171," / ","-")," ","-")))&amp;"&amp;utm_content="&amp;LOWER(LEFT(B171,2))&amp;"-"&amp;TEXT(A171,"yymmdd"))</f>
        <v/>
      </c>
    </row>
    <row r="172" customFormat="false" ht="15" hidden="false" customHeight="false" outlineLevel="0" collapsed="false">
      <c r="A172" s="25"/>
      <c r="B172" s="20"/>
      <c r="C172" s="24"/>
      <c r="D172" s="20"/>
      <c r="E172" s="20"/>
      <c r="F172" s="20"/>
      <c r="G172" s="19"/>
      <c r="H172" s="19"/>
      <c r="I172" s="19"/>
      <c r="J172" s="19"/>
      <c r="K172" s="19"/>
      <c r="L172" s="19"/>
      <c r="M172" s="19"/>
      <c r="N172" s="19"/>
      <c r="O172" s="20"/>
      <c r="P172" s="21" t="str">
        <f aca="false">IF(OR(A172="",B172=""),"",IF(COUNT(I172:M172)=0,"",SUM(I172:M172)))</f>
        <v/>
      </c>
      <c r="Q172" s="22" t="str">
        <f aca="false">IF(OR(OR(A172="",B172=""),P172=""),"",IFERROR(P172/(IF(N(H172)&gt;0,H172,IF(N(G172)&gt;0,G172,IF(COUNTIFS($B$12:$B$211,B172,$G$12:$G$211,"&gt;0")+COUNTIFS($B$12:$B$211,B172,$H$12:$H$211,"&gt;0")&gt;0,"",INDEX($B$5:$B$7,MATCH(B172,$A$5:$A$7,0)))))),""))</f>
        <v/>
      </c>
      <c r="R172" s="23" t="str">
        <f aca="false">IF(OR(A172="",B172=""),"",IF(OR(Q172="",COUNTIFS($B$12:$B$211,B172,$Q$12:$Q$211,"&gt;=0")&lt;2),"No Data Yet",IFERROR(IF(Q172/AVERAGEIFS($Q$12:$Q$211,$B$12:$B$211,B172)&gt;=1.2,"Good",IF(Q172/AVERAGEIFS($Q$12:$Q$211,$B$12:$B$211,B172)&gt;=0.8,"Average","Below Standard")),"Average")))</f>
        <v/>
      </c>
      <c r="S172" s="24"/>
      <c r="T172" s="24"/>
      <c r="U172" s="20"/>
      <c r="V172" s="23" t="str">
        <f aca="false">IF(OR(A172="",B172=""),"","https://www.alphanodus.com/contact?utm_source="&amp;IF(B172="X","twitter",LOWER(B172))&amp;"&amp;utm_medium=social&amp;utm_campaign="&amp;IF(D172="","general",LOWER(SUBSTITUTE(SUBSTITUTE(D172," / ","-")," ","-")))&amp;"&amp;utm_content="&amp;LOWER(LEFT(B172,2))&amp;"-"&amp;TEXT(A172,"yymmdd"))</f>
        <v/>
      </c>
    </row>
    <row r="173" customFormat="false" ht="15" hidden="false" customHeight="false" outlineLevel="0" collapsed="false">
      <c r="A173" s="25"/>
      <c r="B173" s="20"/>
      <c r="C173" s="24"/>
      <c r="D173" s="20"/>
      <c r="E173" s="20"/>
      <c r="F173" s="20"/>
      <c r="G173" s="19"/>
      <c r="H173" s="19"/>
      <c r="I173" s="19"/>
      <c r="J173" s="19"/>
      <c r="K173" s="19"/>
      <c r="L173" s="19"/>
      <c r="M173" s="19"/>
      <c r="N173" s="19"/>
      <c r="O173" s="20"/>
      <c r="P173" s="21" t="str">
        <f aca="false">IF(OR(A173="",B173=""),"",IF(COUNT(I173:M173)=0,"",SUM(I173:M173)))</f>
        <v/>
      </c>
      <c r="Q173" s="22" t="str">
        <f aca="false">IF(OR(OR(A173="",B173=""),P173=""),"",IFERROR(P173/(IF(N(H173)&gt;0,H173,IF(N(G173)&gt;0,G173,IF(COUNTIFS($B$12:$B$211,B173,$G$12:$G$211,"&gt;0")+COUNTIFS($B$12:$B$211,B173,$H$12:$H$211,"&gt;0")&gt;0,"",INDEX($B$5:$B$7,MATCH(B173,$A$5:$A$7,0)))))),""))</f>
        <v/>
      </c>
      <c r="R173" s="23" t="str">
        <f aca="false">IF(OR(A173="",B173=""),"",IF(OR(Q173="",COUNTIFS($B$12:$B$211,B173,$Q$12:$Q$211,"&gt;=0")&lt;2),"No Data Yet",IFERROR(IF(Q173/AVERAGEIFS($Q$12:$Q$211,$B$12:$B$211,B173)&gt;=1.2,"Good",IF(Q173/AVERAGEIFS($Q$12:$Q$211,$B$12:$B$211,B173)&gt;=0.8,"Average","Below Standard")),"Average")))</f>
        <v/>
      </c>
      <c r="S173" s="24"/>
      <c r="T173" s="24"/>
      <c r="U173" s="20"/>
      <c r="V173" s="23" t="str">
        <f aca="false">IF(OR(A173="",B173=""),"","https://www.alphanodus.com/contact?utm_source="&amp;IF(B173="X","twitter",LOWER(B173))&amp;"&amp;utm_medium=social&amp;utm_campaign="&amp;IF(D173="","general",LOWER(SUBSTITUTE(SUBSTITUTE(D173," / ","-")," ","-")))&amp;"&amp;utm_content="&amp;LOWER(LEFT(B173,2))&amp;"-"&amp;TEXT(A173,"yymmdd"))</f>
        <v/>
      </c>
    </row>
    <row r="174" customFormat="false" ht="15" hidden="false" customHeight="false" outlineLevel="0" collapsed="false">
      <c r="A174" s="25"/>
      <c r="B174" s="20"/>
      <c r="C174" s="24"/>
      <c r="D174" s="20"/>
      <c r="E174" s="20"/>
      <c r="F174" s="20"/>
      <c r="G174" s="19"/>
      <c r="H174" s="19"/>
      <c r="I174" s="19"/>
      <c r="J174" s="19"/>
      <c r="K174" s="19"/>
      <c r="L174" s="19"/>
      <c r="M174" s="19"/>
      <c r="N174" s="19"/>
      <c r="O174" s="20"/>
      <c r="P174" s="21" t="str">
        <f aca="false">IF(OR(A174="",B174=""),"",IF(COUNT(I174:M174)=0,"",SUM(I174:M174)))</f>
        <v/>
      </c>
      <c r="Q174" s="22" t="str">
        <f aca="false">IF(OR(OR(A174="",B174=""),P174=""),"",IFERROR(P174/(IF(N(H174)&gt;0,H174,IF(N(G174)&gt;0,G174,IF(COUNTIFS($B$12:$B$211,B174,$G$12:$G$211,"&gt;0")+COUNTIFS($B$12:$B$211,B174,$H$12:$H$211,"&gt;0")&gt;0,"",INDEX($B$5:$B$7,MATCH(B174,$A$5:$A$7,0)))))),""))</f>
        <v/>
      </c>
      <c r="R174" s="23" t="str">
        <f aca="false">IF(OR(A174="",B174=""),"",IF(OR(Q174="",COUNTIFS($B$12:$B$211,B174,$Q$12:$Q$211,"&gt;=0")&lt;2),"No Data Yet",IFERROR(IF(Q174/AVERAGEIFS($Q$12:$Q$211,$B$12:$B$211,B174)&gt;=1.2,"Good",IF(Q174/AVERAGEIFS($Q$12:$Q$211,$B$12:$B$211,B174)&gt;=0.8,"Average","Below Standard")),"Average")))</f>
        <v/>
      </c>
      <c r="S174" s="24"/>
      <c r="T174" s="24"/>
      <c r="U174" s="20"/>
      <c r="V174" s="23" t="str">
        <f aca="false">IF(OR(A174="",B174=""),"","https://www.alphanodus.com/contact?utm_source="&amp;IF(B174="X","twitter",LOWER(B174))&amp;"&amp;utm_medium=social&amp;utm_campaign="&amp;IF(D174="","general",LOWER(SUBSTITUTE(SUBSTITUTE(D174," / ","-")," ","-")))&amp;"&amp;utm_content="&amp;LOWER(LEFT(B174,2))&amp;"-"&amp;TEXT(A174,"yymmdd"))</f>
        <v/>
      </c>
    </row>
    <row r="175" customFormat="false" ht="15" hidden="false" customHeight="false" outlineLevel="0" collapsed="false">
      <c r="A175" s="25"/>
      <c r="B175" s="20"/>
      <c r="C175" s="24"/>
      <c r="D175" s="20"/>
      <c r="E175" s="20"/>
      <c r="F175" s="20"/>
      <c r="G175" s="19"/>
      <c r="H175" s="19"/>
      <c r="I175" s="19"/>
      <c r="J175" s="19"/>
      <c r="K175" s="19"/>
      <c r="L175" s="19"/>
      <c r="M175" s="19"/>
      <c r="N175" s="19"/>
      <c r="O175" s="20"/>
      <c r="P175" s="21" t="str">
        <f aca="false">IF(OR(A175="",B175=""),"",IF(COUNT(I175:M175)=0,"",SUM(I175:M175)))</f>
        <v/>
      </c>
      <c r="Q175" s="22" t="str">
        <f aca="false">IF(OR(OR(A175="",B175=""),P175=""),"",IFERROR(P175/(IF(N(H175)&gt;0,H175,IF(N(G175)&gt;0,G175,IF(COUNTIFS($B$12:$B$211,B175,$G$12:$G$211,"&gt;0")+COUNTIFS($B$12:$B$211,B175,$H$12:$H$211,"&gt;0")&gt;0,"",INDEX($B$5:$B$7,MATCH(B175,$A$5:$A$7,0)))))),""))</f>
        <v/>
      </c>
      <c r="R175" s="23" t="str">
        <f aca="false">IF(OR(A175="",B175=""),"",IF(OR(Q175="",COUNTIFS($B$12:$B$211,B175,$Q$12:$Q$211,"&gt;=0")&lt;2),"No Data Yet",IFERROR(IF(Q175/AVERAGEIFS($Q$12:$Q$211,$B$12:$B$211,B175)&gt;=1.2,"Good",IF(Q175/AVERAGEIFS($Q$12:$Q$211,$B$12:$B$211,B175)&gt;=0.8,"Average","Below Standard")),"Average")))</f>
        <v/>
      </c>
      <c r="S175" s="24"/>
      <c r="T175" s="24"/>
      <c r="U175" s="20"/>
      <c r="V175" s="23" t="str">
        <f aca="false">IF(OR(A175="",B175=""),"","https://www.alphanodus.com/contact?utm_source="&amp;IF(B175="X","twitter",LOWER(B175))&amp;"&amp;utm_medium=social&amp;utm_campaign="&amp;IF(D175="","general",LOWER(SUBSTITUTE(SUBSTITUTE(D175," / ","-")," ","-")))&amp;"&amp;utm_content="&amp;LOWER(LEFT(B175,2))&amp;"-"&amp;TEXT(A175,"yymmdd"))</f>
        <v/>
      </c>
    </row>
    <row r="176" customFormat="false" ht="15" hidden="false" customHeight="false" outlineLevel="0" collapsed="false">
      <c r="A176" s="25"/>
      <c r="B176" s="20"/>
      <c r="C176" s="24"/>
      <c r="D176" s="20"/>
      <c r="E176" s="20"/>
      <c r="F176" s="20"/>
      <c r="G176" s="19"/>
      <c r="H176" s="19"/>
      <c r="I176" s="19"/>
      <c r="J176" s="19"/>
      <c r="K176" s="19"/>
      <c r="L176" s="19"/>
      <c r="M176" s="19"/>
      <c r="N176" s="19"/>
      <c r="O176" s="20"/>
      <c r="P176" s="21" t="str">
        <f aca="false">IF(OR(A176="",B176=""),"",IF(COUNT(I176:M176)=0,"",SUM(I176:M176)))</f>
        <v/>
      </c>
      <c r="Q176" s="22" t="str">
        <f aca="false">IF(OR(OR(A176="",B176=""),P176=""),"",IFERROR(P176/(IF(N(H176)&gt;0,H176,IF(N(G176)&gt;0,G176,IF(COUNTIFS($B$12:$B$211,B176,$G$12:$G$211,"&gt;0")+COUNTIFS($B$12:$B$211,B176,$H$12:$H$211,"&gt;0")&gt;0,"",INDEX($B$5:$B$7,MATCH(B176,$A$5:$A$7,0)))))),""))</f>
        <v/>
      </c>
      <c r="R176" s="23" t="str">
        <f aca="false">IF(OR(A176="",B176=""),"",IF(OR(Q176="",COUNTIFS($B$12:$B$211,B176,$Q$12:$Q$211,"&gt;=0")&lt;2),"No Data Yet",IFERROR(IF(Q176/AVERAGEIFS($Q$12:$Q$211,$B$12:$B$211,B176)&gt;=1.2,"Good",IF(Q176/AVERAGEIFS($Q$12:$Q$211,$B$12:$B$211,B176)&gt;=0.8,"Average","Below Standard")),"Average")))</f>
        <v/>
      </c>
      <c r="S176" s="24"/>
      <c r="T176" s="24"/>
      <c r="U176" s="20"/>
      <c r="V176" s="23" t="str">
        <f aca="false">IF(OR(A176="",B176=""),"","https://www.alphanodus.com/contact?utm_source="&amp;IF(B176="X","twitter",LOWER(B176))&amp;"&amp;utm_medium=social&amp;utm_campaign="&amp;IF(D176="","general",LOWER(SUBSTITUTE(SUBSTITUTE(D176," / ","-")," ","-")))&amp;"&amp;utm_content="&amp;LOWER(LEFT(B176,2))&amp;"-"&amp;TEXT(A176,"yymmdd"))</f>
        <v/>
      </c>
    </row>
    <row r="177" customFormat="false" ht="15" hidden="false" customHeight="false" outlineLevel="0" collapsed="false">
      <c r="A177" s="25"/>
      <c r="B177" s="20"/>
      <c r="C177" s="24"/>
      <c r="D177" s="20"/>
      <c r="E177" s="20"/>
      <c r="F177" s="20"/>
      <c r="G177" s="19"/>
      <c r="H177" s="19"/>
      <c r="I177" s="19"/>
      <c r="J177" s="19"/>
      <c r="K177" s="19"/>
      <c r="L177" s="19"/>
      <c r="M177" s="19"/>
      <c r="N177" s="19"/>
      <c r="O177" s="20"/>
      <c r="P177" s="21" t="str">
        <f aca="false">IF(OR(A177="",B177=""),"",IF(COUNT(I177:M177)=0,"",SUM(I177:M177)))</f>
        <v/>
      </c>
      <c r="Q177" s="22" t="str">
        <f aca="false">IF(OR(OR(A177="",B177=""),P177=""),"",IFERROR(P177/(IF(N(H177)&gt;0,H177,IF(N(G177)&gt;0,G177,IF(COUNTIFS($B$12:$B$211,B177,$G$12:$G$211,"&gt;0")+COUNTIFS($B$12:$B$211,B177,$H$12:$H$211,"&gt;0")&gt;0,"",INDEX($B$5:$B$7,MATCH(B177,$A$5:$A$7,0)))))),""))</f>
        <v/>
      </c>
      <c r="R177" s="23" t="str">
        <f aca="false">IF(OR(A177="",B177=""),"",IF(OR(Q177="",COUNTIFS($B$12:$B$211,B177,$Q$12:$Q$211,"&gt;=0")&lt;2),"No Data Yet",IFERROR(IF(Q177/AVERAGEIFS($Q$12:$Q$211,$B$12:$B$211,B177)&gt;=1.2,"Good",IF(Q177/AVERAGEIFS($Q$12:$Q$211,$B$12:$B$211,B177)&gt;=0.8,"Average","Below Standard")),"Average")))</f>
        <v/>
      </c>
      <c r="S177" s="24"/>
      <c r="T177" s="24"/>
      <c r="U177" s="20"/>
      <c r="V177" s="23" t="str">
        <f aca="false">IF(OR(A177="",B177=""),"","https://www.alphanodus.com/contact?utm_source="&amp;IF(B177="X","twitter",LOWER(B177))&amp;"&amp;utm_medium=social&amp;utm_campaign="&amp;IF(D177="","general",LOWER(SUBSTITUTE(SUBSTITUTE(D177," / ","-")," ","-")))&amp;"&amp;utm_content="&amp;LOWER(LEFT(B177,2))&amp;"-"&amp;TEXT(A177,"yymmdd"))</f>
        <v/>
      </c>
    </row>
    <row r="178" customFormat="false" ht="15" hidden="false" customHeight="false" outlineLevel="0" collapsed="false">
      <c r="A178" s="25"/>
      <c r="B178" s="20"/>
      <c r="C178" s="24"/>
      <c r="D178" s="20"/>
      <c r="E178" s="20"/>
      <c r="F178" s="20"/>
      <c r="G178" s="19"/>
      <c r="H178" s="19"/>
      <c r="I178" s="19"/>
      <c r="J178" s="19"/>
      <c r="K178" s="19"/>
      <c r="L178" s="19"/>
      <c r="M178" s="19"/>
      <c r="N178" s="19"/>
      <c r="O178" s="20"/>
      <c r="P178" s="21" t="str">
        <f aca="false">IF(OR(A178="",B178=""),"",IF(COUNT(I178:M178)=0,"",SUM(I178:M178)))</f>
        <v/>
      </c>
      <c r="Q178" s="22" t="str">
        <f aca="false">IF(OR(OR(A178="",B178=""),P178=""),"",IFERROR(P178/(IF(N(H178)&gt;0,H178,IF(N(G178)&gt;0,G178,IF(COUNTIFS($B$12:$B$211,B178,$G$12:$G$211,"&gt;0")+COUNTIFS($B$12:$B$211,B178,$H$12:$H$211,"&gt;0")&gt;0,"",INDEX($B$5:$B$7,MATCH(B178,$A$5:$A$7,0)))))),""))</f>
        <v/>
      </c>
      <c r="R178" s="23" t="str">
        <f aca="false">IF(OR(A178="",B178=""),"",IF(OR(Q178="",COUNTIFS($B$12:$B$211,B178,$Q$12:$Q$211,"&gt;=0")&lt;2),"No Data Yet",IFERROR(IF(Q178/AVERAGEIFS($Q$12:$Q$211,$B$12:$B$211,B178)&gt;=1.2,"Good",IF(Q178/AVERAGEIFS($Q$12:$Q$211,$B$12:$B$211,B178)&gt;=0.8,"Average","Below Standard")),"Average")))</f>
        <v/>
      </c>
      <c r="S178" s="24"/>
      <c r="T178" s="24"/>
      <c r="U178" s="20"/>
      <c r="V178" s="23" t="str">
        <f aca="false">IF(OR(A178="",B178=""),"","https://www.alphanodus.com/contact?utm_source="&amp;IF(B178="X","twitter",LOWER(B178))&amp;"&amp;utm_medium=social&amp;utm_campaign="&amp;IF(D178="","general",LOWER(SUBSTITUTE(SUBSTITUTE(D178," / ","-")," ","-")))&amp;"&amp;utm_content="&amp;LOWER(LEFT(B178,2))&amp;"-"&amp;TEXT(A178,"yymmdd"))</f>
        <v/>
      </c>
    </row>
    <row r="179" customFormat="false" ht="15" hidden="false" customHeight="false" outlineLevel="0" collapsed="false">
      <c r="A179" s="25"/>
      <c r="B179" s="20"/>
      <c r="C179" s="24"/>
      <c r="D179" s="20"/>
      <c r="E179" s="20"/>
      <c r="F179" s="20"/>
      <c r="G179" s="19"/>
      <c r="H179" s="19"/>
      <c r="I179" s="19"/>
      <c r="J179" s="19"/>
      <c r="K179" s="19"/>
      <c r="L179" s="19"/>
      <c r="M179" s="19"/>
      <c r="N179" s="19"/>
      <c r="O179" s="20"/>
      <c r="P179" s="21" t="str">
        <f aca="false">IF(OR(A179="",B179=""),"",IF(COUNT(I179:M179)=0,"",SUM(I179:M179)))</f>
        <v/>
      </c>
      <c r="Q179" s="22" t="str">
        <f aca="false">IF(OR(OR(A179="",B179=""),P179=""),"",IFERROR(P179/(IF(N(H179)&gt;0,H179,IF(N(G179)&gt;0,G179,IF(COUNTIFS($B$12:$B$211,B179,$G$12:$G$211,"&gt;0")+COUNTIFS($B$12:$B$211,B179,$H$12:$H$211,"&gt;0")&gt;0,"",INDEX($B$5:$B$7,MATCH(B179,$A$5:$A$7,0)))))),""))</f>
        <v/>
      </c>
      <c r="R179" s="23" t="str">
        <f aca="false">IF(OR(A179="",B179=""),"",IF(OR(Q179="",COUNTIFS($B$12:$B$211,B179,$Q$12:$Q$211,"&gt;=0")&lt;2),"No Data Yet",IFERROR(IF(Q179/AVERAGEIFS($Q$12:$Q$211,$B$12:$B$211,B179)&gt;=1.2,"Good",IF(Q179/AVERAGEIFS($Q$12:$Q$211,$B$12:$B$211,B179)&gt;=0.8,"Average","Below Standard")),"Average")))</f>
        <v/>
      </c>
      <c r="S179" s="24"/>
      <c r="T179" s="24"/>
      <c r="U179" s="20"/>
      <c r="V179" s="23" t="str">
        <f aca="false">IF(OR(A179="",B179=""),"","https://www.alphanodus.com/contact?utm_source="&amp;IF(B179="X","twitter",LOWER(B179))&amp;"&amp;utm_medium=social&amp;utm_campaign="&amp;IF(D179="","general",LOWER(SUBSTITUTE(SUBSTITUTE(D179," / ","-")," ","-")))&amp;"&amp;utm_content="&amp;LOWER(LEFT(B179,2))&amp;"-"&amp;TEXT(A179,"yymmdd"))</f>
        <v/>
      </c>
    </row>
    <row r="180" customFormat="false" ht="15" hidden="false" customHeight="false" outlineLevel="0" collapsed="false">
      <c r="A180" s="25"/>
      <c r="B180" s="20"/>
      <c r="C180" s="24"/>
      <c r="D180" s="20"/>
      <c r="E180" s="20"/>
      <c r="F180" s="20"/>
      <c r="G180" s="19"/>
      <c r="H180" s="19"/>
      <c r="I180" s="19"/>
      <c r="J180" s="19"/>
      <c r="K180" s="19"/>
      <c r="L180" s="19"/>
      <c r="M180" s="19"/>
      <c r="N180" s="19"/>
      <c r="O180" s="20"/>
      <c r="P180" s="21" t="str">
        <f aca="false">IF(OR(A180="",B180=""),"",IF(COUNT(I180:M180)=0,"",SUM(I180:M180)))</f>
        <v/>
      </c>
      <c r="Q180" s="22" t="str">
        <f aca="false">IF(OR(OR(A180="",B180=""),P180=""),"",IFERROR(P180/(IF(N(H180)&gt;0,H180,IF(N(G180)&gt;0,G180,IF(COUNTIFS($B$12:$B$211,B180,$G$12:$G$211,"&gt;0")+COUNTIFS($B$12:$B$211,B180,$H$12:$H$211,"&gt;0")&gt;0,"",INDEX($B$5:$B$7,MATCH(B180,$A$5:$A$7,0)))))),""))</f>
        <v/>
      </c>
      <c r="R180" s="23" t="str">
        <f aca="false">IF(OR(A180="",B180=""),"",IF(OR(Q180="",COUNTIFS($B$12:$B$211,B180,$Q$12:$Q$211,"&gt;=0")&lt;2),"No Data Yet",IFERROR(IF(Q180/AVERAGEIFS($Q$12:$Q$211,$B$12:$B$211,B180)&gt;=1.2,"Good",IF(Q180/AVERAGEIFS($Q$12:$Q$211,$B$12:$B$211,B180)&gt;=0.8,"Average","Below Standard")),"Average")))</f>
        <v/>
      </c>
      <c r="S180" s="24"/>
      <c r="T180" s="24"/>
      <c r="U180" s="20"/>
      <c r="V180" s="23" t="str">
        <f aca="false">IF(OR(A180="",B180=""),"","https://www.alphanodus.com/contact?utm_source="&amp;IF(B180="X","twitter",LOWER(B180))&amp;"&amp;utm_medium=social&amp;utm_campaign="&amp;IF(D180="","general",LOWER(SUBSTITUTE(SUBSTITUTE(D180," / ","-")," ","-")))&amp;"&amp;utm_content="&amp;LOWER(LEFT(B180,2))&amp;"-"&amp;TEXT(A180,"yymmdd"))</f>
        <v/>
      </c>
    </row>
    <row r="181" customFormat="false" ht="15" hidden="false" customHeight="false" outlineLevel="0" collapsed="false">
      <c r="A181" s="25"/>
      <c r="B181" s="20"/>
      <c r="C181" s="24"/>
      <c r="D181" s="20"/>
      <c r="E181" s="20"/>
      <c r="F181" s="20"/>
      <c r="G181" s="19"/>
      <c r="H181" s="19"/>
      <c r="I181" s="19"/>
      <c r="J181" s="19"/>
      <c r="K181" s="19"/>
      <c r="L181" s="19"/>
      <c r="M181" s="19"/>
      <c r="N181" s="19"/>
      <c r="O181" s="20"/>
      <c r="P181" s="21" t="str">
        <f aca="false">IF(OR(A181="",B181=""),"",IF(COUNT(I181:M181)=0,"",SUM(I181:M181)))</f>
        <v/>
      </c>
      <c r="Q181" s="22" t="str">
        <f aca="false">IF(OR(OR(A181="",B181=""),P181=""),"",IFERROR(P181/(IF(N(H181)&gt;0,H181,IF(N(G181)&gt;0,G181,IF(COUNTIFS($B$12:$B$211,B181,$G$12:$G$211,"&gt;0")+COUNTIFS($B$12:$B$211,B181,$H$12:$H$211,"&gt;0")&gt;0,"",INDEX($B$5:$B$7,MATCH(B181,$A$5:$A$7,0)))))),""))</f>
        <v/>
      </c>
      <c r="R181" s="23" t="str">
        <f aca="false">IF(OR(A181="",B181=""),"",IF(OR(Q181="",COUNTIFS($B$12:$B$211,B181,$Q$12:$Q$211,"&gt;=0")&lt;2),"No Data Yet",IFERROR(IF(Q181/AVERAGEIFS($Q$12:$Q$211,$B$12:$B$211,B181)&gt;=1.2,"Good",IF(Q181/AVERAGEIFS($Q$12:$Q$211,$B$12:$B$211,B181)&gt;=0.8,"Average","Below Standard")),"Average")))</f>
        <v/>
      </c>
      <c r="S181" s="24"/>
      <c r="T181" s="24"/>
      <c r="U181" s="20"/>
      <c r="V181" s="23" t="str">
        <f aca="false">IF(OR(A181="",B181=""),"","https://www.alphanodus.com/contact?utm_source="&amp;IF(B181="X","twitter",LOWER(B181))&amp;"&amp;utm_medium=social&amp;utm_campaign="&amp;IF(D181="","general",LOWER(SUBSTITUTE(SUBSTITUTE(D181," / ","-")," ","-")))&amp;"&amp;utm_content="&amp;LOWER(LEFT(B181,2))&amp;"-"&amp;TEXT(A181,"yymmdd"))</f>
        <v/>
      </c>
    </row>
    <row r="182" customFormat="false" ht="15" hidden="false" customHeight="false" outlineLevel="0" collapsed="false">
      <c r="A182" s="25"/>
      <c r="B182" s="20"/>
      <c r="C182" s="24"/>
      <c r="D182" s="20"/>
      <c r="E182" s="20"/>
      <c r="F182" s="20"/>
      <c r="G182" s="19"/>
      <c r="H182" s="19"/>
      <c r="I182" s="19"/>
      <c r="J182" s="19"/>
      <c r="K182" s="19"/>
      <c r="L182" s="19"/>
      <c r="M182" s="19"/>
      <c r="N182" s="19"/>
      <c r="O182" s="20"/>
      <c r="P182" s="21" t="str">
        <f aca="false">IF(OR(A182="",B182=""),"",IF(COUNT(I182:M182)=0,"",SUM(I182:M182)))</f>
        <v/>
      </c>
      <c r="Q182" s="22" t="str">
        <f aca="false">IF(OR(OR(A182="",B182=""),P182=""),"",IFERROR(P182/(IF(N(H182)&gt;0,H182,IF(N(G182)&gt;0,G182,IF(COUNTIFS($B$12:$B$211,B182,$G$12:$G$211,"&gt;0")+COUNTIFS($B$12:$B$211,B182,$H$12:$H$211,"&gt;0")&gt;0,"",INDEX($B$5:$B$7,MATCH(B182,$A$5:$A$7,0)))))),""))</f>
        <v/>
      </c>
      <c r="R182" s="23" t="str">
        <f aca="false">IF(OR(A182="",B182=""),"",IF(OR(Q182="",COUNTIFS($B$12:$B$211,B182,$Q$12:$Q$211,"&gt;=0")&lt;2),"No Data Yet",IFERROR(IF(Q182/AVERAGEIFS($Q$12:$Q$211,$B$12:$B$211,B182)&gt;=1.2,"Good",IF(Q182/AVERAGEIFS($Q$12:$Q$211,$B$12:$B$211,B182)&gt;=0.8,"Average","Below Standard")),"Average")))</f>
        <v/>
      </c>
      <c r="S182" s="24"/>
      <c r="T182" s="24"/>
      <c r="U182" s="20"/>
      <c r="V182" s="23" t="str">
        <f aca="false">IF(OR(A182="",B182=""),"","https://www.alphanodus.com/contact?utm_source="&amp;IF(B182="X","twitter",LOWER(B182))&amp;"&amp;utm_medium=social&amp;utm_campaign="&amp;IF(D182="","general",LOWER(SUBSTITUTE(SUBSTITUTE(D182," / ","-")," ","-")))&amp;"&amp;utm_content="&amp;LOWER(LEFT(B182,2))&amp;"-"&amp;TEXT(A182,"yymmdd"))</f>
        <v/>
      </c>
    </row>
    <row r="183" customFormat="false" ht="15" hidden="false" customHeight="false" outlineLevel="0" collapsed="false">
      <c r="A183" s="25"/>
      <c r="B183" s="20"/>
      <c r="C183" s="24"/>
      <c r="D183" s="20"/>
      <c r="E183" s="20"/>
      <c r="F183" s="20"/>
      <c r="G183" s="19"/>
      <c r="H183" s="19"/>
      <c r="I183" s="19"/>
      <c r="J183" s="19"/>
      <c r="K183" s="19"/>
      <c r="L183" s="19"/>
      <c r="M183" s="19"/>
      <c r="N183" s="19"/>
      <c r="O183" s="20"/>
      <c r="P183" s="21" t="str">
        <f aca="false">IF(OR(A183="",B183=""),"",IF(COUNT(I183:M183)=0,"",SUM(I183:M183)))</f>
        <v/>
      </c>
      <c r="Q183" s="22" t="str">
        <f aca="false">IF(OR(OR(A183="",B183=""),P183=""),"",IFERROR(P183/(IF(N(H183)&gt;0,H183,IF(N(G183)&gt;0,G183,IF(COUNTIFS($B$12:$B$211,B183,$G$12:$G$211,"&gt;0")+COUNTIFS($B$12:$B$211,B183,$H$12:$H$211,"&gt;0")&gt;0,"",INDEX($B$5:$B$7,MATCH(B183,$A$5:$A$7,0)))))),""))</f>
        <v/>
      </c>
      <c r="R183" s="23" t="str">
        <f aca="false">IF(OR(A183="",B183=""),"",IF(OR(Q183="",COUNTIFS($B$12:$B$211,B183,$Q$12:$Q$211,"&gt;=0")&lt;2),"No Data Yet",IFERROR(IF(Q183/AVERAGEIFS($Q$12:$Q$211,$B$12:$B$211,B183)&gt;=1.2,"Good",IF(Q183/AVERAGEIFS($Q$12:$Q$211,$B$12:$B$211,B183)&gt;=0.8,"Average","Below Standard")),"Average")))</f>
        <v/>
      </c>
      <c r="S183" s="24"/>
      <c r="T183" s="24"/>
      <c r="U183" s="20"/>
      <c r="V183" s="23" t="str">
        <f aca="false">IF(OR(A183="",B183=""),"","https://www.alphanodus.com/contact?utm_source="&amp;IF(B183="X","twitter",LOWER(B183))&amp;"&amp;utm_medium=social&amp;utm_campaign="&amp;IF(D183="","general",LOWER(SUBSTITUTE(SUBSTITUTE(D183," / ","-")," ","-")))&amp;"&amp;utm_content="&amp;LOWER(LEFT(B183,2))&amp;"-"&amp;TEXT(A183,"yymmdd"))</f>
        <v/>
      </c>
    </row>
    <row r="184" customFormat="false" ht="15" hidden="false" customHeight="false" outlineLevel="0" collapsed="false">
      <c r="A184" s="25"/>
      <c r="B184" s="20"/>
      <c r="C184" s="24"/>
      <c r="D184" s="20"/>
      <c r="E184" s="20"/>
      <c r="F184" s="20"/>
      <c r="G184" s="19"/>
      <c r="H184" s="19"/>
      <c r="I184" s="19"/>
      <c r="J184" s="19"/>
      <c r="K184" s="19"/>
      <c r="L184" s="19"/>
      <c r="M184" s="19"/>
      <c r="N184" s="19"/>
      <c r="O184" s="20"/>
      <c r="P184" s="21" t="str">
        <f aca="false">IF(OR(A184="",B184=""),"",IF(COUNT(I184:M184)=0,"",SUM(I184:M184)))</f>
        <v/>
      </c>
      <c r="Q184" s="22" t="str">
        <f aca="false">IF(OR(OR(A184="",B184=""),P184=""),"",IFERROR(P184/(IF(N(H184)&gt;0,H184,IF(N(G184)&gt;0,G184,IF(COUNTIFS($B$12:$B$211,B184,$G$12:$G$211,"&gt;0")+COUNTIFS($B$12:$B$211,B184,$H$12:$H$211,"&gt;0")&gt;0,"",INDEX($B$5:$B$7,MATCH(B184,$A$5:$A$7,0)))))),""))</f>
        <v/>
      </c>
      <c r="R184" s="23" t="str">
        <f aca="false">IF(OR(A184="",B184=""),"",IF(OR(Q184="",COUNTIFS($B$12:$B$211,B184,$Q$12:$Q$211,"&gt;=0")&lt;2),"No Data Yet",IFERROR(IF(Q184/AVERAGEIFS($Q$12:$Q$211,$B$12:$B$211,B184)&gt;=1.2,"Good",IF(Q184/AVERAGEIFS($Q$12:$Q$211,$B$12:$B$211,B184)&gt;=0.8,"Average","Below Standard")),"Average")))</f>
        <v/>
      </c>
      <c r="S184" s="24"/>
      <c r="T184" s="24"/>
      <c r="U184" s="20"/>
      <c r="V184" s="23" t="str">
        <f aca="false">IF(OR(A184="",B184=""),"","https://www.alphanodus.com/contact?utm_source="&amp;IF(B184="X","twitter",LOWER(B184))&amp;"&amp;utm_medium=social&amp;utm_campaign="&amp;IF(D184="","general",LOWER(SUBSTITUTE(SUBSTITUTE(D184," / ","-")," ","-")))&amp;"&amp;utm_content="&amp;LOWER(LEFT(B184,2))&amp;"-"&amp;TEXT(A184,"yymmdd"))</f>
        <v/>
      </c>
    </row>
    <row r="185" customFormat="false" ht="15" hidden="false" customHeight="false" outlineLevel="0" collapsed="false">
      <c r="A185" s="25"/>
      <c r="B185" s="20"/>
      <c r="C185" s="24"/>
      <c r="D185" s="20"/>
      <c r="E185" s="20"/>
      <c r="F185" s="20"/>
      <c r="G185" s="19"/>
      <c r="H185" s="19"/>
      <c r="I185" s="19"/>
      <c r="J185" s="19"/>
      <c r="K185" s="19"/>
      <c r="L185" s="19"/>
      <c r="M185" s="19"/>
      <c r="N185" s="19"/>
      <c r="O185" s="20"/>
      <c r="P185" s="21" t="str">
        <f aca="false">IF(OR(A185="",B185=""),"",IF(COUNT(I185:M185)=0,"",SUM(I185:M185)))</f>
        <v/>
      </c>
      <c r="Q185" s="22" t="str">
        <f aca="false">IF(OR(OR(A185="",B185=""),P185=""),"",IFERROR(P185/(IF(N(H185)&gt;0,H185,IF(N(G185)&gt;0,G185,IF(COUNTIFS($B$12:$B$211,B185,$G$12:$G$211,"&gt;0")+COUNTIFS($B$12:$B$211,B185,$H$12:$H$211,"&gt;0")&gt;0,"",INDEX($B$5:$B$7,MATCH(B185,$A$5:$A$7,0)))))),""))</f>
        <v/>
      </c>
      <c r="R185" s="23" t="str">
        <f aca="false">IF(OR(A185="",B185=""),"",IF(OR(Q185="",COUNTIFS($B$12:$B$211,B185,$Q$12:$Q$211,"&gt;=0")&lt;2),"No Data Yet",IFERROR(IF(Q185/AVERAGEIFS($Q$12:$Q$211,$B$12:$B$211,B185)&gt;=1.2,"Good",IF(Q185/AVERAGEIFS($Q$12:$Q$211,$B$12:$B$211,B185)&gt;=0.8,"Average","Below Standard")),"Average")))</f>
        <v/>
      </c>
      <c r="S185" s="24"/>
      <c r="T185" s="24"/>
      <c r="U185" s="20"/>
      <c r="V185" s="23" t="str">
        <f aca="false">IF(OR(A185="",B185=""),"","https://www.alphanodus.com/contact?utm_source="&amp;IF(B185="X","twitter",LOWER(B185))&amp;"&amp;utm_medium=social&amp;utm_campaign="&amp;IF(D185="","general",LOWER(SUBSTITUTE(SUBSTITUTE(D185," / ","-")," ","-")))&amp;"&amp;utm_content="&amp;LOWER(LEFT(B185,2))&amp;"-"&amp;TEXT(A185,"yymmdd"))</f>
        <v/>
      </c>
    </row>
    <row r="186" customFormat="false" ht="15" hidden="false" customHeight="false" outlineLevel="0" collapsed="false">
      <c r="A186" s="25"/>
      <c r="B186" s="20"/>
      <c r="C186" s="24"/>
      <c r="D186" s="20"/>
      <c r="E186" s="20"/>
      <c r="F186" s="20"/>
      <c r="G186" s="19"/>
      <c r="H186" s="19"/>
      <c r="I186" s="19"/>
      <c r="J186" s="19"/>
      <c r="K186" s="19"/>
      <c r="L186" s="19"/>
      <c r="M186" s="19"/>
      <c r="N186" s="19"/>
      <c r="O186" s="20"/>
      <c r="P186" s="21" t="str">
        <f aca="false">IF(OR(A186="",B186=""),"",IF(COUNT(I186:M186)=0,"",SUM(I186:M186)))</f>
        <v/>
      </c>
      <c r="Q186" s="22" t="str">
        <f aca="false">IF(OR(OR(A186="",B186=""),P186=""),"",IFERROR(P186/(IF(N(H186)&gt;0,H186,IF(N(G186)&gt;0,G186,IF(COUNTIFS($B$12:$B$211,B186,$G$12:$G$211,"&gt;0")+COUNTIFS($B$12:$B$211,B186,$H$12:$H$211,"&gt;0")&gt;0,"",INDEX($B$5:$B$7,MATCH(B186,$A$5:$A$7,0)))))),""))</f>
        <v/>
      </c>
      <c r="R186" s="23" t="str">
        <f aca="false">IF(OR(A186="",B186=""),"",IF(OR(Q186="",COUNTIFS($B$12:$B$211,B186,$Q$12:$Q$211,"&gt;=0")&lt;2),"No Data Yet",IFERROR(IF(Q186/AVERAGEIFS($Q$12:$Q$211,$B$12:$B$211,B186)&gt;=1.2,"Good",IF(Q186/AVERAGEIFS($Q$12:$Q$211,$B$12:$B$211,B186)&gt;=0.8,"Average","Below Standard")),"Average")))</f>
        <v/>
      </c>
      <c r="S186" s="24"/>
      <c r="T186" s="24"/>
      <c r="U186" s="20"/>
      <c r="V186" s="23" t="str">
        <f aca="false">IF(OR(A186="",B186=""),"","https://www.alphanodus.com/contact?utm_source="&amp;IF(B186="X","twitter",LOWER(B186))&amp;"&amp;utm_medium=social&amp;utm_campaign="&amp;IF(D186="","general",LOWER(SUBSTITUTE(SUBSTITUTE(D186," / ","-")," ","-")))&amp;"&amp;utm_content="&amp;LOWER(LEFT(B186,2))&amp;"-"&amp;TEXT(A186,"yymmdd"))</f>
        <v/>
      </c>
    </row>
    <row r="187" customFormat="false" ht="15" hidden="false" customHeight="false" outlineLevel="0" collapsed="false">
      <c r="A187" s="25"/>
      <c r="B187" s="20"/>
      <c r="C187" s="24"/>
      <c r="D187" s="20"/>
      <c r="E187" s="20"/>
      <c r="F187" s="20"/>
      <c r="G187" s="19"/>
      <c r="H187" s="19"/>
      <c r="I187" s="19"/>
      <c r="J187" s="19"/>
      <c r="K187" s="19"/>
      <c r="L187" s="19"/>
      <c r="M187" s="19"/>
      <c r="N187" s="19"/>
      <c r="O187" s="20"/>
      <c r="P187" s="21" t="str">
        <f aca="false">IF(OR(A187="",B187=""),"",IF(COUNT(I187:M187)=0,"",SUM(I187:M187)))</f>
        <v/>
      </c>
      <c r="Q187" s="22" t="str">
        <f aca="false">IF(OR(OR(A187="",B187=""),P187=""),"",IFERROR(P187/(IF(N(H187)&gt;0,H187,IF(N(G187)&gt;0,G187,IF(COUNTIFS($B$12:$B$211,B187,$G$12:$G$211,"&gt;0")+COUNTIFS($B$12:$B$211,B187,$H$12:$H$211,"&gt;0")&gt;0,"",INDEX($B$5:$B$7,MATCH(B187,$A$5:$A$7,0)))))),""))</f>
        <v/>
      </c>
      <c r="R187" s="23" t="str">
        <f aca="false">IF(OR(A187="",B187=""),"",IF(OR(Q187="",COUNTIFS($B$12:$B$211,B187,$Q$12:$Q$211,"&gt;=0")&lt;2),"No Data Yet",IFERROR(IF(Q187/AVERAGEIFS($Q$12:$Q$211,$B$12:$B$211,B187)&gt;=1.2,"Good",IF(Q187/AVERAGEIFS($Q$12:$Q$211,$B$12:$B$211,B187)&gt;=0.8,"Average","Below Standard")),"Average")))</f>
        <v/>
      </c>
      <c r="S187" s="24"/>
      <c r="T187" s="24"/>
      <c r="U187" s="20"/>
      <c r="V187" s="23" t="str">
        <f aca="false">IF(OR(A187="",B187=""),"","https://www.alphanodus.com/contact?utm_source="&amp;IF(B187="X","twitter",LOWER(B187))&amp;"&amp;utm_medium=social&amp;utm_campaign="&amp;IF(D187="","general",LOWER(SUBSTITUTE(SUBSTITUTE(D187," / ","-")," ","-")))&amp;"&amp;utm_content="&amp;LOWER(LEFT(B187,2))&amp;"-"&amp;TEXT(A187,"yymmdd"))</f>
        <v/>
      </c>
    </row>
    <row r="188" customFormat="false" ht="15" hidden="false" customHeight="false" outlineLevel="0" collapsed="false">
      <c r="A188" s="25"/>
      <c r="B188" s="20"/>
      <c r="C188" s="24"/>
      <c r="D188" s="20"/>
      <c r="E188" s="20"/>
      <c r="F188" s="20"/>
      <c r="G188" s="19"/>
      <c r="H188" s="19"/>
      <c r="I188" s="19"/>
      <c r="J188" s="19"/>
      <c r="K188" s="19"/>
      <c r="L188" s="19"/>
      <c r="M188" s="19"/>
      <c r="N188" s="19"/>
      <c r="O188" s="20"/>
      <c r="P188" s="21" t="str">
        <f aca="false">IF(OR(A188="",B188=""),"",IF(COUNT(I188:M188)=0,"",SUM(I188:M188)))</f>
        <v/>
      </c>
      <c r="Q188" s="22" t="str">
        <f aca="false">IF(OR(OR(A188="",B188=""),P188=""),"",IFERROR(P188/(IF(N(H188)&gt;0,H188,IF(N(G188)&gt;0,G188,IF(COUNTIFS($B$12:$B$211,B188,$G$12:$G$211,"&gt;0")+COUNTIFS($B$12:$B$211,B188,$H$12:$H$211,"&gt;0")&gt;0,"",INDEX($B$5:$B$7,MATCH(B188,$A$5:$A$7,0)))))),""))</f>
        <v/>
      </c>
      <c r="R188" s="23" t="str">
        <f aca="false">IF(OR(A188="",B188=""),"",IF(OR(Q188="",COUNTIFS($B$12:$B$211,B188,$Q$12:$Q$211,"&gt;=0")&lt;2),"No Data Yet",IFERROR(IF(Q188/AVERAGEIFS($Q$12:$Q$211,$B$12:$B$211,B188)&gt;=1.2,"Good",IF(Q188/AVERAGEIFS($Q$12:$Q$211,$B$12:$B$211,B188)&gt;=0.8,"Average","Below Standard")),"Average")))</f>
        <v/>
      </c>
      <c r="S188" s="24"/>
      <c r="T188" s="24"/>
      <c r="U188" s="20"/>
      <c r="V188" s="23" t="str">
        <f aca="false">IF(OR(A188="",B188=""),"","https://www.alphanodus.com/contact?utm_source="&amp;IF(B188="X","twitter",LOWER(B188))&amp;"&amp;utm_medium=social&amp;utm_campaign="&amp;IF(D188="","general",LOWER(SUBSTITUTE(SUBSTITUTE(D188," / ","-")," ","-")))&amp;"&amp;utm_content="&amp;LOWER(LEFT(B188,2))&amp;"-"&amp;TEXT(A188,"yymmdd"))</f>
        <v/>
      </c>
    </row>
    <row r="189" customFormat="false" ht="15" hidden="false" customHeight="false" outlineLevel="0" collapsed="false">
      <c r="A189" s="25"/>
      <c r="B189" s="20"/>
      <c r="C189" s="24"/>
      <c r="D189" s="20"/>
      <c r="E189" s="20"/>
      <c r="F189" s="20"/>
      <c r="G189" s="19"/>
      <c r="H189" s="19"/>
      <c r="I189" s="19"/>
      <c r="J189" s="19"/>
      <c r="K189" s="19"/>
      <c r="L189" s="19"/>
      <c r="M189" s="19"/>
      <c r="N189" s="19"/>
      <c r="O189" s="20"/>
      <c r="P189" s="21" t="str">
        <f aca="false">IF(OR(A189="",B189=""),"",IF(COUNT(I189:M189)=0,"",SUM(I189:M189)))</f>
        <v/>
      </c>
      <c r="Q189" s="22" t="str">
        <f aca="false">IF(OR(OR(A189="",B189=""),P189=""),"",IFERROR(P189/(IF(N(H189)&gt;0,H189,IF(N(G189)&gt;0,G189,IF(COUNTIFS($B$12:$B$211,B189,$G$12:$G$211,"&gt;0")+COUNTIFS($B$12:$B$211,B189,$H$12:$H$211,"&gt;0")&gt;0,"",INDEX($B$5:$B$7,MATCH(B189,$A$5:$A$7,0)))))),""))</f>
        <v/>
      </c>
      <c r="R189" s="23" t="str">
        <f aca="false">IF(OR(A189="",B189=""),"",IF(OR(Q189="",COUNTIFS($B$12:$B$211,B189,$Q$12:$Q$211,"&gt;=0")&lt;2),"No Data Yet",IFERROR(IF(Q189/AVERAGEIFS($Q$12:$Q$211,$B$12:$B$211,B189)&gt;=1.2,"Good",IF(Q189/AVERAGEIFS($Q$12:$Q$211,$B$12:$B$211,B189)&gt;=0.8,"Average","Below Standard")),"Average")))</f>
        <v/>
      </c>
      <c r="S189" s="24"/>
      <c r="T189" s="24"/>
      <c r="U189" s="20"/>
      <c r="V189" s="23" t="str">
        <f aca="false">IF(OR(A189="",B189=""),"","https://www.alphanodus.com/contact?utm_source="&amp;IF(B189="X","twitter",LOWER(B189))&amp;"&amp;utm_medium=social&amp;utm_campaign="&amp;IF(D189="","general",LOWER(SUBSTITUTE(SUBSTITUTE(D189," / ","-")," ","-")))&amp;"&amp;utm_content="&amp;LOWER(LEFT(B189,2))&amp;"-"&amp;TEXT(A189,"yymmdd"))</f>
        <v/>
      </c>
    </row>
    <row r="190" customFormat="false" ht="15" hidden="false" customHeight="false" outlineLevel="0" collapsed="false">
      <c r="A190" s="25"/>
      <c r="B190" s="20"/>
      <c r="C190" s="24"/>
      <c r="D190" s="20"/>
      <c r="E190" s="20"/>
      <c r="F190" s="20"/>
      <c r="G190" s="19"/>
      <c r="H190" s="19"/>
      <c r="I190" s="19"/>
      <c r="J190" s="19"/>
      <c r="K190" s="19"/>
      <c r="L190" s="19"/>
      <c r="M190" s="19"/>
      <c r="N190" s="19"/>
      <c r="O190" s="20"/>
      <c r="P190" s="21" t="str">
        <f aca="false">IF(OR(A190="",B190=""),"",IF(COUNT(I190:M190)=0,"",SUM(I190:M190)))</f>
        <v/>
      </c>
      <c r="Q190" s="22" t="str">
        <f aca="false">IF(OR(OR(A190="",B190=""),P190=""),"",IFERROR(P190/(IF(N(H190)&gt;0,H190,IF(N(G190)&gt;0,G190,IF(COUNTIFS($B$12:$B$211,B190,$G$12:$G$211,"&gt;0")+COUNTIFS($B$12:$B$211,B190,$H$12:$H$211,"&gt;0")&gt;0,"",INDEX($B$5:$B$7,MATCH(B190,$A$5:$A$7,0)))))),""))</f>
        <v/>
      </c>
      <c r="R190" s="23" t="str">
        <f aca="false">IF(OR(A190="",B190=""),"",IF(OR(Q190="",COUNTIFS($B$12:$B$211,B190,$Q$12:$Q$211,"&gt;=0")&lt;2),"No Data Yet",IFERROR(IF(Q190/AVERAGEIFS($Q$12:$Q$211,$B$12:$B$211,B190)&gt;=1.2,"Good",IF(Q190/AVERAGEIFS($Q$12:$Q$211,$B$12:$B$211,B190)&gt;=0.8,"Average","Below Standard")),"Average")))</f>
        <v/>
      </c>
      <c r="S190" s="24"/>
      <c r="T190" s="24"/>
      <c r="U190" s="20"/>
      <c r="V190" s="23" t="str">
        <f aca="false">IF(OR(A190="",B190=""),"","https://www.alphanodus.com/contact?utm_source="&amp;IF(B190="X","twitter",LOWER(B190))&amp;"&amp;utm_medium=social&amp;utm_campaign="&amp;IF(D190="","general",LOWER(SUBSTITUTE(SUBSTITUTE(D190," / ","-")," ","-")))&amp;"&amp;utm_content="&amp;LOWER(LEFT(B190,2))&amp;"-"&amp;TEXT(A190,"yymmdd"))</f>
        <v/>
      </c>
    </row>
    <row r="191" customFormat="false" ht="15" hidden="false" customHeight="false" outlineLevel="0" collapsed="false">
      <c r="A191" s="25"/>
      <c r="B191" s="20"/>
      <c r="C191" s="24"/>
      <c r="D191" s="20"/>
      <c r="E191" s="20"/>
      <c r="F191" s="20"/>
      <c r="G191" s="19"/>
      <c r="H191" s="19"/>
      <c r="I191" s="19"/>
      <c r="J191" s="19"/>
      <c r="K191" s="19"/>
      <c r="L191" s="19"/>
      <c r="M191" s="19"/>
      <c r="N191" s="19"/>
      <c r="O191" s="20"/>
      <c r="P191" s="21" t="str">
        <f aca="false">IF(OR(A191="",B191=""),"",IF(COUNT(I191:M191)=0,"",SUM(I191:M191)))</f>
        <v/>
      </c>
      <c r="Q191" s="22" t="str">
        <f aca="false">IF(OR(OR(A191="",B191=""),P191=""),"",IFERROR(P191/(IF(N(H191)&gt;0,H191,IF(N(G191)&gt;0,G191,IF(COUNTIFS($B$12:$B$211,B191,$G$12:$G$211,"&gt;0")+COUNTIFS($B$12:$B$211,B191,$H$12:$H$211,"&gt;0")&gt;0,"",INDEX($B$5:$B$7,MATCH(B191,$A$5:$A$7,0)))))),""))</f>
        <v/>
      </c>
      <c r="R191" s="23" t="str">
        <f aca="false">IF(OR(A191="",B191=""),"",IF(OR(Q191="",COUNTIFS($B$12:$B$211,B191,$Q$12:$Q$211,"&gt;=0")&lt;2),"No Data Yet",IFERROR(IF(Q191/AVERAGEIFS($Q$12:$Q$211,$B$12:$B$211,B191)&gt;=1.2,"Good",IF(Q191/AVERAGEIFS($Q$12:$Q$211,$B$12:$B$211,B191)&gt;=0.8,"Average","Below Standard")),"Average")))</f>
        <v/>
      </c>
      <c r="S191" s="24"/>
      <c r="T191" s="24"/>
      <c r="U191" s="20"/>
      <c r="V191" s="23" t="str">
        <f aca="false">IF(OR(A191="",B191=""),"","https://www.alphanodus.com/contact?utm_source="&amp;IF(B191="X","twitter",LOWER(B191))&amp;"&amp;utm_medium=social&amp;utm_campaign="&amp;IF(D191="","general",LOWER(SUBSTITUTE(SUBSTITUTE(D191," / ","-")," ","-")))&amp;"&amp;utm_content="&amp;LOWER(LEFT(B191,2))&amp;"-"&amp;TEXT(A191,"yymmdd"))</f>
        <v/>
      </c>
    </row>
    <row r="192" customFormat="false" ht="15" hidden="false" customHeight="false" outlineLevel="0" collapsed="false">
      <c r="A192" s="25"/>
      <c r="B192" s="20"/>
      <c r="C192" s="24"/>
      <c r="D192" s="20"/>
      <c r="E192" s="20"/>
      <c r="F192" s="20"/>
      <c r="G192" s="19"/>
      <c r="H192" s="19"/>
      <c r="I192" s="19"/>
      <c r="J192" s="19"/>
      <c r="K192" s="19"/>
      <c r="L192" s="19"/>
      <c r="M192" s="19"/>
      <c r="N192" s="19"/>
      <c r="O192" s="20"/>
      <c r="P192" s="21" t="str">
        <f aca="false">IF(OR(A192="",B192=""),"",IF(COUNT(I192:M192)=0,"",SUM(I192:M192)))</f>
        <v/>
      </c>
      <c r="Q192" s="22" t="str">
        <f aca="false">IF(OR(OR(A192="",B192=""),P192=""),"",IFERROR(P192/(IF(N(H192)&gt;0,H192,IF(N(G192)&gt;0,G192,IF(COUNTIFS($B$12:$B$211,B192,$G$12:$G$211,"&gt;0")+COUNTIFS($B$12:$B$211,B192,$H$12:$H$211,"&gt;0")&gt;0,"",INDEX($B$5:$B$7,MATCH(B192,$A$5:$A$7,0)))))),""))</f>
        <v/>
      </c>
      <c r="R192" s="23" t="str">
        <f aca="false">IF(OR(A192="",B192=""),"",IF(OR(Q192="",COUNTIFS($B$12:$B$211,B192,$Q$12:$Q$211,"&gt;=0")&lt;2),"No Data Yet",IFERROR(IF(Q192/AVERAGEIFS($Q$12:$Q$211,$B$12:$B$211,B192)&gt;=1.2,"Good",IF(Q192/AVERAGEIFS($Q$12:$Q$211,$B$12:$B$211,B192)&gt;=0.8,"Average","Below Standard")),"Average")))</f>
        <v/>
      </c>
      <c r="S192" s="24"/>
      <c r="T192" s="24"/>
      <c r="U192" s="20"/>
      <c r="V192" s="23" t="str">
        <f aca="false">IF(OR(A192="",B192=""),"","https://www.alphanodus.com/contact?utm_source="&amp;IF(B192="X","twitter",LOWER(B192))&amp;"&amp;utm_medium=social&amp;utm_campaign="&amp;IF(D192="","general",LOWER(SUBSTITUTE(SUBSTITUTE(D192," / ","-")," ","-")))&amp;"&amp;utm_content="&amp;LOWER(LEFT(B192,2))&amp;"-"&amp;TEXT(A192,"yymmdd"))</f>
        <v/>
      </c>
    </row>
    <row r="193" customFormat="false" ht="15" hidden="false" customHeight="false" outlineLevel="0" collapsed="false">
      <c r="A193" s="25"/>
      <c r="B193" s="20"/>
      <c r="C193" s="24"/>
      <c r="D193" s="20"/>
      <c r="E193" s="20"/>
      <c r="F193" s="20"/>
      <c r="G193" s="19"/>
      <c r="H193" s="19"/>
      <c r="I193" s="19"/>
      <c r="J193" s="19"/>
      <c r="K193" s="19"/>
      <c r="L193" s="19"/>
      <c r="M193" s="19"/>
      <c r="N193" s="19"/>
      <c r="O193" s="20"/>
      <c r="P193" s="21" t="str">
        <f aca="false">IF(OR(A193="",B193=""),"",IF(COUNT(I193:M193)=0,"",SUM(I193:M193)))</f>
        <v/>
      </c>
      <c r="Q193" s="22" t="str">
        <f aca="false">IF(OR(OR(A193="",B193=""),P193=""),"",IFERROR(P193/(IF(N(H193)&gt;0,H193,IF(N(G193)&gt;0,G193,IF(COUNTIFS($B$12:$B$211,B193,$G$12:$G$211,"&gt;0")+COUNTIFS($B$12:$B$211,B193,$H$12:$H$211,"&gt;0")&gt;0,"",INDEX($B$5:$B$7,MATCH(B193,$A$5:$A$7,0)))))),""))</f>
        <v/>
      </c>
      <c r="R193" s="23" t="str">
        <f aca="false">IF(OR(A193="",B193=""),"",IF(OR(Q193="",COUNTIFS($B$12:$B$211,B193,$Q$12:$Q$211,"&gt;=0")&lt;2),"No Data Yet",IFERROR(IF(Q193/AVERAGEIFS($Q$12:$Q$211,$B$12:$B$211,B193)&gt;=1.2,"Good",IF(Q193/AVERAGEIFS($Q$12:$Q$211,$B$12:$B$211,B193)&gt;=0.8,"Average","Below Standard")),"Average")))</f>
        <v/>
      </c>
      <c r="S193" s="24"/>
      <c r="T193" s="24"/>
      <c r="U193" s="20"/>
      <c r="V193" s="23" t="str">
        <f aca="false">IF(OR(A193="",B193=""),"","https://www.alphanodus.com/contact?utm_source="&amp;IF(B193="X","twitter",LOWER(B193))&amp;"&amp;utm_medium=social&amp;utm_campaign="&amp;IF(D193="","general",LOWER(SUBSTITUTE(SUBSTITUTE(D193," / ","-")," ","-")))&amp;"&amp;utm_content="&amp;LOWER(LEFT(B193,2))&amp;"-"&amp;TEXT(A193,"yymmdd"))</f>
        <v/>
      </c>
    </row>
    <row r="194" customFormat="false" ht="15" hidden="false" customHeight="false" outlineLevel="0" collapsed="false">
      <c r="A194" s="25"/>
      <c r="B194" s="20"/>
      <c r="C194" s="24"/>
      <c r="D194" s="20"/>
      <c r="E194" s="20"/>
      <c r="F194" s="20"/>
      <c r="G194" s="19"/>
      <c r="H194" s="19"/>
      <c r="I194" s="19"/>
      <c r="J194" s="19"/>
      <c r="K194" s="19"/>
      <c r="L194" s="19"/>
      <c r="M194" s="19"/>
      <c r="N194" s="19"/>
      <c r="O194" s="20"/>
      <c r="P194" s="21" t="str">
        <f aca="false">IF(OR(A194="",B194=""),"",IF(COUNT(I194:M194)=0,"",SUM(I194:M194)))</f>
        <v/>
      </c>
      <c r="Q194" s="22" t="str">
        <f aca="false">IF(OR(OR(A194="",B194=""),P194=""),"",IFERROR(P194/(IF(N(H194)&gt;0,H194,IF(N(G194)&gt;0,G194,IF(COUNTIFS($B$12:$B$211,B194,$G$12:$G$211,"&gt;0")+COUNTIFS($B$12:$B$211,B194,$H$12:$H$211,"&gt;0")&gt;0,"",INDEX($B$5:$B$7,MATCH(B194,$A$5:$A$7,0)))))),""))</f>
        <v/>
      </c>
      <c r="R194" s="23" t="str">
        <f aca="false">IF(OR(A194="",B194=""),"",IF(OR(Q194="",COUNTIFS($B$12:$B$211,B194,$Q$12:$Q$211,"&gt;=0")&lt;2),"No Data Yet",IFERROR(IF(Q194/AVERAGEIFS($Q$12:$Q$211,$B$12:$B$211,B194)&gt;=1.2,"Good",IF(Q194/AVERAGEIFS($Q$12:$Q$211,$B$12:$B$211,B194)&gt;=0.8,"Average","Below Standard")),"Average")))</f>
        <v/>
      </c>
      <c r="S194" s="24"/>
      <c r="T194" s="24"/>
      <c r="U194" s="20"/>
      <c r="V194" s="23" t="str">
        <f aca="false">IF(OR(A194="",B194=""),"","https://www.alphanodus.com/contact?utm_source="&amp;IF(B194="X","twitter",LOWER(B194))&amp;"&amp;utm_medium=social&amp;utm_campaign="&amp;IF(D194="","general",LOWER(SUBSTITUTE(SUBSTITUTE(D194," / ","-")," ","-")))&amp;"&amp;utm_content="&amp;LOWER(LEFT(B194,2))&amp;"-"&amp;TEXT(A194,"yymmdd"))</f>
        <v/>
      </c>
    </row>
    <row r="195" customFormat="false" ht="15" hidden="false" customHeight="false" outlineLevel="0" collapsed="false">
      <c r="A195" s="25"/>
      <c r="B195" s="20"/>
      <c r="C195" s="24"/>
      <c r="D195" s="20"/>
      <c r="E195" s="20"/>
      <c r="F195" s="20"/>
      <c r="G195" s="19"/>
      <c r="H195" s="19"/>
      <c r="I195" s="19"/>
      <c r="J195" s="19"/>
      <c r="K195" s="19"/>
      <c r="L195" s="19"/>
      <c r="M195" s="19"/>
      <c r="N195" s="19"/>
      <c r="O195" s="20"/>
      <c r="P195" s="21" t="str">
        <f aca="false">IF(OR(A195="",B195=""),"",IF(COUNT(I195:M195)=0,"",SUM(I195:M195)))</f>
        <v/>
      </c>
      <c r="Q195" s="22" t="str">
        <f aca="false">IF(OR(OR(A195="",B195=""),P195=""),"",IFERROR(P195/(IF(N(H195)&gt;0,H195,IF(N(G195)&gt;0,G195,IF(COUNTIFS($B$12:$B$211,B195,$G$12:$G$211,"&gt;0")+COUNTIFS($B$12:$B$211,B195,$H$12:$H$211,"&gt;0")&gt;0,"",INDEX($B$5:$B$7,MATCH(B195,$A$5:$A$7,0)))))),""))</f>
        <v/>
      </c>
      <c r="R195" s="23" t="str">
        <f aca="false">IF(OR(A195="",B195=""),"",IF(OR(Q195="",COUNTIFS($B$12:$B$211,B195,$Q$12:$Q$211,"&gt;=0")&lt;2),"No Data Yet",IFERROR(IF(Q195/AVERAGEIFS($Q$12:$Q$211,$B$12:$B$211,B195)&gt;=1.2,"Good",IF(Q195/AVERAGEIFS($Q$12:$Q$211,$B$12:$B$211,B195)&gt;=0.8,"Average","Below Standard")),"Average")))</f>
        <v/>
      </c>
      <c r="S195" s="24"/>
      <c r="T195" s="24"/>
      <c r="U195" s="20"/>
      <c r="V195" s="23" t="str">
        <f aca="false">IF(OR(A195="",B195=""),"","https://www.alphanodus.com/contact?utm_source="&amp;IF(B195="X","twitter",LOWER(B195))&amp;"&amp;utm_medium=social&amp;utm_campaign="&amp;IF(D195="","general",LOWER(SUBSTITUTE(SUBSTITUTE(D195," / ","-")," ","-")))&amp;"&amp;utm_content="&amp;LOWER(LEFT(B195,2))&amp;"-"&amp;TEXT(A195,"yymmdd"))</f>
        <v/>
      </c>
    </row>
    <row r="196" customFormat="false" ht="15" hidden="false" customHeight="false" outlineLevel="0" collapsed="false">
      <c r="A196" s="25"/>
      <c r="B196" s="20"/>
      <c r="C196" s="24"/>
      <c r="D196" s="20"/>
      <c r="E196" s="20"/>
      <c r="F196" s="20"/>
      <c r="G196" s="19"/>
      <c r="H196" s="19"/>
      <c r="I196" s="19"/>
      <c r="J196" s="19"/>
      <c r="K196" s="19"/>
      <c r="L196" s="19"/>
      <c r="M196" s="19"/>
      <c r="N196" s="19"/>
      <c r="O196" s="20"/>
      <c r="P196" s="21" t="str">
        <f aca="false">IF(OR(A196="",B196=""),"",IF(COUNT(I196:M196)=0,"",SUM(I196:M196)))</f>
        <v/>
      </c>
      <c r="Q196" s="22" t="str">
        <f aca="false">IF(OR(OR(A196="",B196=""),P196=""),"",IFERROR(P196/(IF(N(H196)&gt;0,H196,IF(N(G196)&gt;0,G196,IF(COUNTIFS($B$12:$B$211,B196,$G$12:$G$211,"&gt;0")+COUNTIFS($B$12:$B$211,B196,$H$12:$H$211,"&gt;0")&gt;0,"",INDEX($B$5:$B$7,MATCH(B196,$A$5:$A$7,0)))))),""))</f>
        <v/>
      </c>
      <c r="R196" s="23" t="str">
        <f aca="false">IF(OR(A196="",B196=""),"",IF(OR(Q196="",COUNTIFS($B$12:$B$211,B196,$Q$12:$Q$211,"&gt;=0")&lt;2),"No Data Yet",IFERROR(IF(Q196/AVERAGEIFS($Q$12:$Q$211,$B$12:$B$211,B196)&gt;=1.2,"Good",IF(Q196/AVERAGEIFS($Q$12:$Q$211,$B$12:$B$211,B196)&gt;=0.8,"Average","Below Standard")),"Average")))</f>
        <v/>
      </c>
      <c r="S196" s="24"/>
      <c r="T196" s="24"/>
      <c r="U196" s="20"/>
      <c r="V196" s="23" t="str">
        <f aca="false">IF(OR(A196="",B196=""),"","https://www.alphanodus.com/contact?utm_source="&amp;IF(B196="X","twitter",LOWER(B196))&amp;"&amp;utm_medium=social&amp;utm_campaign="&amp;IF(D196="","general",LOWER(SUBSTITUTE(SUBSTITUTE(D196," / ","-")," ","-")))&amp;"&amp;utm_content="&amp;LOWER(LEFT(B196,2))&amp;"-"&amp;TEXT(A196,"yymmdd"))</f>
        <v/>
      </c>
    </row>
    <row r="197" customFormat="false" ht="15" hidden="false" customHeight="false" outlineLevel="0" collapsed="false">
      <c r="A197" s="25"/>
      <c r="B197" s="20"/>
      <c r="C197" s="24"/>
      <c r="D197" s="20"/>
      <c r="E197" s="20"/>
      <c r="F197" s="20"/>
      <c r="G197" s="19"/>
      <c r="H197" s="19"/>
      <c r="I197" s="19"/>
      <c r="J197" s="19"/>
      <c r="K197" s="19"/>
      <c r="L197" s="19"/>
      <c r="M197" s="19"/>
      <c r="N197" s="19"/>
      <c r="O197" s="20"/>
      <c r="P197" s="21" t="str">
        <f aca="false">IF(OR(A197="",B197=""),"",IF(COUNT(I197:M197)=0,"",SUM(I197:M197)))</f>
        <v/>
      </c>
      <c r="Q197" s="22" t="str">
        <f aca="false">IF(OR(OR(A197="",B197=""),P197=""),"",IFERROR(P197/(IF(N(H197)&gt;0,H197,IF(N(G197)&gt;0,G197,IF(COUNTIFS($B$12:$B$211,B197,$G$12:$G$211,"&gt;0")+COUNTIFS($B$12:$B$211,B197,$H$12:$H$211,"&gt;0")&gt;0,"",INDEX($B$5:$B$7,MATCH(B197,$A$5:$A$7,0)))))),""))</f>
        <v/>
      </c>
      <c r="R197" s="23" t="str">
        <f aca="false">IF(OR(A197="",B197=""),"",IF(OR(Q197="",COUNTIFS($B$12:$B$211,B197,$Q$12:$Q$211,"&gt;=0")&lt;2),"No Data Yet",IFERROR(IF(Q197/AVERAGEIFS($Q$12:$Q$211,$B$12:$B$211,B197)&gt;=1.2,"Good",IF(Q197/AVERAGEIFS($Q$12:$Q$211,$B$12:$B$211,B197)&gt;=0.8,"Average","Below Standard")),"Average")))</f>
        <v/>
      </c>
      <c r="S197" s="24"/>
      <c r="T197" s="24"/>
      <c r="U197" s="20"/>
      <c r="V197" s="23" t="str">
        <f aca="false">IF(OR(A197="",B197=""),"","https://www.alphanodus.com/contact?utm_source="&amp;IF(B197="X","twitter",LOWER(B197))&amp;"&amp;utm_medium=social&amp;utm_campaign="&amp;IF(D197="","general",LOWER(SUBSTITUTE(SUBSTITUTE(D197," / ","-")," ","-")))&amp;"&amp;utm_content="&amp;LOWER(LEFT(B197,2))&amp;"-"&amp;TEXT(A197,"yymmdd"))</f>
        <v/>
      </c>
    </row>
    <row r="198" customFormat="false" ht="15" hidden="false" customHeight="false" outlineLevel="0" collapsed="false">
      <c r="A198" s="25"/>
      <c r="B198" s="20"/>
      <c r="C198" s="24"/>
      <c r="D198" s="20"/>
      <c r="E198" s="20"/>
      <c r="F198" s="20"/>
      <c r="G198" s="19"/>
      <c r="H198" s="19"/>
      <c r="I198" s="19"/>
      <c r="J198" s="19"/>
      <c r="K198" s="19"/>
      <c r="L198" s="19"/>
      <c r="M198" s="19"/>
      <c r="N198" s="19"/>
      <c r="O198" s="20"/>
      <c r="P198" s="21" t="str">
        <f aca="false">IF(OR(A198="",B198=""),"",IF(COUNT(I198:M198)=0,"",SUM(I198:M198)))</f>
        <v/>
      </c>
      <c r="Q198" s="22" t="str">
        <f aca="false">IF(OR(OR(A198="",B198=""),P198=""),"",IFERROR(P198/(IF(N(H198)&gt;0,H198,IF(N(G198)&gt;0,G198,IF(COUNTIFS($B$12:$B$211,B198,$G$12:$G$211,"&gt;0")+COUNTIFS($B$12:$B$211,B198,$H$12:$H$211,"&gt;0")&gt;0,"",INDEX($B$5:$B$7,MATCH(B198,$A$5:$A$7,0)))))),""))</f>
        <v/>
      </c>
      <c r="R198" s="23" t="str">
        <f aca="false">IF(OR(A198="",B198=""),"",IF(OR(Q198="",COUNTIFS($B$12:$B$211,B198,$Q$12:$Q$211,"&gt;=0")&lt;2),"No Data Yet",IFERROR(IF(Q198/AVERAGEIFS($Q$12:$Q$211,$B$12:$B$211,B198)&gt;=1.2,"Good",IF(Q198/AVERAGEIFS($Q$12:$Q$211,$B$12:$B$211,B198)&gt;=0.8,"Average","Below Standard")),"Average")))</f>
        <v/>
      </c>
      <c r="S198" s="24"/>
      <c r="T198" s="24"/>
      <c r="U198" s="20"/>
      <c r="V198" s="23" t="str">
        <f aca="false">IF(OR(A198="",B198=""),"","https://www.alphanodus.com/contact?utm_source="&amp;IF(B198="X","twitter",LOWER(B198))&amp;"&amp;utm_medium=social&amp;utm_campaign="&amp;IF(D198="","general",LOWER(SUBSTITUTE(SUBSTITUTE(D198," / ","-")," ","-")))&amp;"&amp;utm_content="&amp;LOWER(LEFT(B198,2))&amp;"-"&amp;TEXT(A198,"yymmdd"))</f>
        <v/>
      </c>
    </row>
    <row r="199" customFormat="false" ht="15" hidden="false" customHeight="false" outlineLevel="0" collapsed="false">
      <c r="A199" s="25"/>
      <c r="B199" s="20"/>
      <c r="C199" s="24"/>
      <c r="D199" s="20"/>
      <c r="E199" s="20"/>
      <c r="F199" s="20"/>
      <c r="G199" s="19"/>
      <c r="H199" s="19"/>
      <c r="I199" s="19"/>
      <c r="J199" s="19"/>
      <c r="K199" s="19"/>
      <c r="L199" s="19"/>
      <c r="M199" s="19"/>
      <c r="N199" s="19"/>
      <c r="O199" s="20"/>
      <c r="P199" s="21" t="str">
        <f aca="false">IF(OR(A199="",B199=""),"",IF(COUNT(I199:M199)=0,"",SUM(I199:M199)))</f>
        <v/>
      </c>
      <c r="Q199" s="22" t="str">
        <f aca="false">IF(OR(OR(A199="",B199=""),P199=""),"",IFERROR(P199/(IF(N(H199)&gt;0,H199,IF(N(G199)&gt;0,G199,IF(COUNTIFS($B$12:$B$211,B199,$G$12:$G$211,"&gt;0")+COUNTIFS($B$12:$B$211,B199,$H$12:$H$211,"&gt;0")&gt;0,"",INDEX($B$5:$B$7,MATCH(B199,$A$5:$A$7,0)))))),""))</f>
        <v/>
      </c>
      <c r="R199" s="23" t="str">
        <f aca="false">IF(OR(A199="",B199=""),"",IF(OR(Q199="",COUNTIFS($B$12:$B$211,B199,$Q$12:$Q$211,"&gt;=0")&lt;2),"No Data Yet",IFERROR(IF(Q199/AVERAGEIFS($Q$12:$Q$211,$B$12:$B$211,B199)&gt;=1.2,"Good",IF(Q199/AVERAGEIFS($Q$12:$Q$211,$B$12:$B$211,B199)&gt;=0.8,"Average","Below Standard")),"Average")))</f>
        <v/>
      </c>
      <c r="S199" s="24"/>
      <c r="T199" s="24"/>
      <c r="U199" s="20"/>
      <c r="V199" s="23" t="str">
        <f aca="false">IF(OR(A199="",B199=""),"","https://www.alphanodus.com/contact?utm_source="&amp;IF(B199="X","twitter",LOWER(B199))&amp;"&amp;utm_medium=social&amp;utm_campaign="&amp;IF(D199="","general",LOWER(SUBSTITUTE(SUBSTITUTE(D199," / ","-")," ","-")))&amp;"&amp;utm_content="&amp;LOWER(LEFT(B199,2))&amp;"-"&amp;TEXT(A199,"yymmdd"))</f>
        <v/>
      </c>
    </row>
    <row r="200" customFormat="false" ht="15" hidden="false" customHeight="false" outlineLevel="0" collapsed="false">
      <c r="A200" s="25"/>
      <c r="B200" s="20"/>
      <c r="C200" s="24"/>
      <c r="D200" s="20"/>
      <c r="E200" s="20"/>
      <c r="F200" s="20"/>
      <c r="G200" s="19"/>
      <c r="H200" s="19"/>
      <c r="I200" s="19"/>
      <c r="J200" s="19"/>
      <c r="K200" s="19"/>
      <c r="L200" s="19"/>
      <c r="M200" s="19"/>
      <c r="N200" s="19"/>
      <c r="O200" s="20"/>
      <c r="P200" s="21" t="str">
        <f aca="false">IF(OR(A200="",B200=""),"",IF(COUNT(I200:M200)=0,"",SUM(I200:M200)))</f>
        <v/>
      </c>
      <c r="Q200" s="22" t="str">
        <f aca="false">IF(OR(OR(A200="",B200=""),P200=""),"",IFERROR(P200/(IF(N(H200)&gt;0,H200,IF(N(G200)&gt;0,G200,IF(COUNTIFS($B$12:$B$211,B200,$G$12:$G$211,"&gt;0")+COUNTIFS($B$12:$B$211,B200,$H$12:$H$211,"&gt;0")&gt;0,"",INDEX($B$5:$B$7,MATCH(B200,$A$5:$A$7,0)))))),""))</f>
        <v/>
      </c>
      <c r="R200" s="23" t="str">
        <f aca="false">IF(OR(A200="",B200=""),"",IF(OR(Q200="",COUNTIFS($B$12:$B$211,B200,$Q$12:$Q$211,"&gt;=0")&lt;2),"No Data Yet",IFERROR(IF(Q200/AVERAGEIFS($Q$12:$Q$211,$B$12:$B$211,B200)&gt;=1.2,"Good",IF(Q200/AVERAGEIFS($Q$12:$Q$211,$B$12:$B$211,B200)&gt;=0.8,"Average","Below Standard")),"Average")))</f>
        <v/>
      </c>
      <c r="S200" s="24"/>
      <c r="T200" s="24"/>
      <c r="U200" s="20"/>
      <c r="V200" s="23" t="str">
        <f aca="false">IF(OR(A200="",B200=""),"","https://www.alphanodus.com/contact?utm_source="&amp;IF(B200="X","twitter",LOWER(B200))&amp;"&amp;utm_medium=social&amp;utm_campaign="&amp;IF(D200="","general",LOWER(SUBSTITUTE(SUBSTITUTE(D200," / ","-")," ","-")))&amp;"&amp;utm_content="&amp;LOWER(LEFT(B200,2))&amp;"-"&amp;TEXT(A200,"yymmdd"))</f>
        <v/>
      </c>
    </row>
    <row r="201" customFormat="false" ht="15" hidden="false" customHeight="false" outlineLevel="0" collapsed="false">
      <c r="A201" s="25"/>
      <c r="B201" s="20"/>
      <c r="C201" s="24"/>
      <c r="D201" s="20"/>
      <c r="E201" s="20"/>
      <c r="F201" s="20"/>
      <c r="G201" s="19"/>
      <c r="H201" s="19"/>
      <c r="I201" s="19"/>
      <c r="J201" s="19"/>
      <c r="K201" s="19"/>
      <c r="L201" s="19"/>
      <c r="M201" s="19"/>
      <c r="N201" s="19"/>
      <c r="O201" s="20"/>
      <c r="P201" s="21" t="str">
        <f aca="false">IF(OR(A201="",B201=""),"",IF(COUNT(I201:M201)=0,"",SUM(I201:M201)))</f>
        <v/>
      </c>
      <c r="Q201" s="22" t="str">
        <f aca="false">IF(OR(OR(A201="",B201=""),P201=""),"",IFERROR(P201/(IF(N(H201)&gt;0,H201,IF(N(G201)&gt;0,G201,IF(COUNTIFS($B$12:$B$211,B201,$G$12:$G$211,"&gt;0")+COUNTIFS($B$12:$B$211,B201,$H$12:$H$211,"&gt;0")&gt;0,"",INDEX($B$5:$B$7,MATCH(B201,$A$5:$A$7,0)))))),""))</f>
        <v/>
      </c>
      <c r="R201" s="23" t="str">
        <f aca="false">IF(OR(A201="",B201=""),"",IF(OR(Q201="",COUNTIFS($B$12:$B$211,B201,$Q$12:$Q$211,"&gt;=0")&lt;2),"No Data Yet",IFERROR(IF(Q201/AVERAGEIFS($Q$12:$Q$211,$B$12:$B$211,B201)&gt;=1.2,"Good",IF(Q201/AVERAGEIFS($Q$12:$Q$211,$B$12:$B$211,B201)&gt;=0.8,"Average","Below Standard")),"Average")))</f>
        <v/>
      </c>
      <c r="S201" s="24"/>
      <c r="T201" s="24"/>
      <c r="U201" s="20"/>
      <c r="V201" s="23" t="str">
        <f aca="false">IF(OR(A201="",B201=""),"","https://www.alphanodus.com/contact?utm_source="&amp;IF(B201="X","twitter",LOWER(B201))&amp;"&amp;utm_medium=social&amp;utm_campaign="&amp;IF(D201="","general",LOWER(SUBSTITUTE(SUBSTITUTE(D201," / ","-")," ","-")))&amp;"&amp;utm_content="&amp;LOWER(LEFT(B201,2))&amp;"-"&amp;TEXT(A201,"yymmdd"))</f>
        <v/>
      </c>
    </row>
    <row r="202" customFormat="false" ht="15" hidden="false" customHeight="false" outlineLevel="0" collapsed="false">
      <c r="A202" s="25"/>
      <c r="B202" s="20"/>
      <c r="C202" s="24"/>
      <c r="D202" s="20"/>
      <c r="E202" s="20"/>
      <c r="F202" s="20"/>
      <c r="G202" s="19"/>
      <c r="H202" s="19"/>
      <c r="I202" s="19"/>
      <c r="J202" s="19"/>
      <c r="K202" s="19"/>
      <c r="L202" s="19"/>
      <c r="M202" s="19"/>
      <c r="N202" s="19"/>
      <c r="O202" s="20"/>
      <c r="P202" s="21" t="str">
        <f aca="false">IF(OR(A202="",B202=""),"",IF(COUNT(I202:M202)=0,"",SUM(I202:M202)))</f>
        <v/>
      </c>
      <c r="Q202" s="22" t="str">
        <f aca="false">IF(OR(OR(A202="",B202=""),P202=""),"",IFERROR(P202/(IF(N(H202)&gt;0,H202,IF(N(G202)&gt;0,G202,IF(COUNTIFS($B$12:$B$211,B202,$G$12:$G$211,"&gt;0")+COUNTIFS($B$12:$B$211,B202,$H$12:$H$211,"&gt;0")&gt;0,"",INDEX($B$5:$B$7,MATCH(B202,$A$5:$A$7,0)))))),""))</f>
        <v/>
      </c>
      <c r="R202" s="23" t="str">
        <f aca="false">IF(OR(A202="",B202=""),"",IF(OR(Q202="",COUNTIFS($B$12:$B$211,B202,$Q$12:$Q$211,"&gt;=0")&lt;2),"No Data Yet",IFERROR(IF(Q202/AVERAGEIFS($Q$12:$Q$211,$B$12:$B$211,B202)&gt;=1.2,"Good",IF(Q202/AVERAGEIFS($Q$12:$Q$211,$B$12:$B$211,B202)&gt;=0.8,"Average","Below Standard")),"Average")))</f>
        <v/>
      </c>
      <c r="S202" s="24"/>
      <c r="T202" s="24"/>
      <c r="U202" s="20"/>
      <c r="V202" s="23" t="str">
        <f aca="false">IF(OR(A202="",B202=""),"","https://www.alphanodus.com/contact?utm_source="&amp;IF(B202="X","twitter",LOWER(B202))&amp;"&amp;utm_medium=social&amp;utm_campaign="&amp;IF(D202="","general",LOWER(SUBSTITUTE(SUBSTITUTE(D202," / ","-")," ","-")))&amp;"&amp;utm_content="&amp;LOWER(LEFT(B202,2))&amp;"-"&amp;TEXT(A202,"yymmdd"))</f>
        <v/>
      </c>
    </row>
    <row r="203" customFormat="false" ht="15" hidden="false" customHeight="false" outlineLevel="0" collapsed="false">
      <c r="A203" s="25"/>
      <c r="B203" s="20"/>
      <c r="C203" s="24"/>
      <c r="D203" s="20"/>
      <c r="E203" s="20"/>
      <c r="F203" s="20"/>
      <c r="G203" s="19"/>
      <c r="H203" s="19"/>
      <c r="I203" s="19"/>
      <c r="J203" s="19"/>
      <c r="K203" s="19"/>
      <c r="L203" s="19"/>
      <c r="M203" s="19"/>
      <c r="N203" s="19"/>
      <c r="O203" s="20"/>
      <c r="P203" s="21" t="str">
        <f aca="false">IF(OR(A203="",B203=""),"",IF(COUNT(I203:M203)=0,"",SUM(I203:M203)))</f>
        <v/>
      </c>
      <c r="Q203" s="22" t="str">
        <f aca="false">IF(OR(OR(A203="",B203=""),P203=""),"",IFERROR(P203/(IF(N(H203)&gt;0,H203,IF(N(G203)&gt;0,G203,IF(COUNTIFS($B$12:$B$211,B203,$G$12:$G$211,"&gt;0")+COUNTIFS($B$12:$B$211,B203,$H$12:$H$211,"&gt;0")&gt;0,"",INDEX($B$5:$B$7,MATCH(B203,$A$5:$A$7,0)))))),""))</f>
        <v/>
      </c>
      <c r="R203" s="23" t="str">
        <f aca="false">IF(OR(A203="",B203=""),"",IF(OR(Q203="",COUNTIFS($B$12:$B$211,B203,$Q$12:$Q$211,"&gt;=0")&lt;2),"No Data Yet",IFERROR(IF(Q203/AVERAGEIFS($Q$12:$Q$211,$B$12:$B$211,B203)&gt;=1.2,"Good",IF(Q203/AVERAGEIFS($Q$12:$Q$211,$B$12:$B$211,B203)&gt;=0.8,"Average","Below Standard")),"Average")))</f>
        <v/>
      </c>
      <c r="S203" s="24"/>
      <c r="T203" s="24"/>
      <c r="U203" s="20"/>
      <c r="V203" s="23" t="str">
        <f aca="false">IF(OR(A203="",B203=""),"","https://www.alphanodus.com/contact?utm_source="&amp;IF(B203="X","twitter",LOWER(B203))&amp;"&amp;utm_medium=social&amp;utm_campaign="&amp;IF(D203="","general",LOWER(SUBSTITUTE(SUBSTITUTE(D203," / ","-")," ","-")))&amp;"&amp;utm_content="&amp;LOWER(LEFT(B203,2))&amp;"-"&amp;TEXT(A203,"yymmdd"))</f>
        <v/>
      </c>
    </row>
    <row r="204" customFormat="false" ht="15" hidden="false" customHeight="false" outlineLevel="0" collapsed="false">
      <c r="A204" s="25"/>
      <c r="B204" s="20"/>
      <c r="C204" s="24"/>
      <c r="D204" s="20"/>
      <c r="E204" s="20"/>
      <c r="F204" s="20"/>
      <c r="G204" s="19"/>
      <c r="H204" s="19"/>
      <c r="I204" s="19"/>
      <c r="J204" s="19"/>
      <c r="K204" s="19"/>
      <c r="L204" s="19"/>
      <c r="M204" s="19"/>
      <c r="N204" s="19"/>
      <c r="O204" s="20"/>
      <c r="P204" s="21" t="str">
        <f aca="false">IF(OR(A204="",B204=""),"",IF(COUNT(I204:M204)=0,"",SUM(I204:M204)))</f>
        <v/>
      </c>
      <c r="Q204" s="22" t="str">
        <f aca="false">IF(OR(OR(A204="",B204=""),P204=""),"",IFERROR(P204/(IF(N(H204)&gt;0,H204,IF(N(G204)&gt;0,G204,IF(COUNTIFS($B$12:$B$211,B204,$G$12:$G$211,"&gt;0")+COUNTIFS($B$12:$B$211,B204,$H$12:$H$211,"&gt;0")&gt;0,"",INDEX($B$5:$B$7,MATCH(B204,$A$5:$A$7,0)))))),""))</f>
        <v/>
      </c>
      <c r="R204" s="23" t="str">
        <f aca="false">IF(OR(A204="",B204=""),"",IF(OR(Q204="",COUNTIFS($B$12:$B$211,B204,$Q$12:$Q$211,"&gt;=0")&lt;2),"No Data Yet",IFERROR(IF(Q204/AVERAGEIFS($Q$12:$Q$211,$B$12:$B$211,B204)&gt;=1.2,"Good",IF(Q204/AVERAGEIFS($Q$12:$Q$211,$B$12:$B$211,B204)&gt;=0.8,"Average","Below Standard")),"Average")))</f>
        <v/>
      </c>
      <c r="S204" s="24"/>
      <c r="T204" s="24"/>
      <c r="U204" s="20"/>
      <c r="V204" s="23" t="str">
        <f aca="false">IF(OR(A204="",B204=""),"","https://www.alphanodus.com/contact?utm_source="&amp;IF(B204="X","twitter",LOWER(B204))&amp;"&amp;utm_medium=social&amp;utm_campaign="&amp;IF(D204="","general",LOWER(SUBSTITUTE(SUBSTITUTE(D204," / ","-")," ","-")))&amp;"&amp;utm_content="&amp;LOWER(LEFT(B204,2))&amp;"-"&amp;TEXT(A204,"yymmdd"))</f>
        <v/>
      </c>
    </row>
    <row r="205" customFormat="false" ht="15" hidden="false" customHeight="false" outlineLevel="0" collapsed="false">
      <c r="A205" s="25"/>
      <c r="B205" s="20"/>
      <c r="C205" s="24"/>
      <c r="D205" s="20"/>
      <c r="E205" s="20"/>
      <c r="F205" s="20"/>
      <c r="G205" s="19"/>
      <c r="H205" s="19"/>
      <c r="I205" s="19"/>
      <c r="J205" s="19"/>
      <c r="K205" s="19"/>
      <c r="L205" s="19"/>
      <c r="M205" s="19"/>
      <c r="N205" s="19"/>
      <c r="O205" s="20"/>
      <c r="P205" s="21" t="str">
        <f aca="false">IF(OR(A205="",B205=""),"",IF(COUNT(I205:M205)=0,"",SUM(I205:M205)))</f>
        <v/>
      </c>
      <c r="Q205" s="22" t="str">
        <f aca="false">IF(OR(OR(A205="",B205=""),P205=""),"",IFERROR(P205/(IF(N(H205)&gt;0,H205,IF(N(G205)&gt;0,G205,IF(COUNTIFS($B$12:$B$211,B205,$G$12:$G$211,"&gt;0")+COUNTIFS($B$12:$B$211,B205,$H$12:$H$211,"&gt;0")&gt;0,"",INDEX($B$5:$B$7,MATCH(B205,$A$5:$A$7,0)))))),""))</f>
        <v/>
      </c>
      <c r="R205" s="23" t="str">
        <f aca="false">IF(OR(A205="",B205=""),"",IF(OR(Q205="",COUNTIFS($B$12:$B$211,B205,$Q$12:$Q$211,"&gt;=0")&lt;2),"No Data Yet",IFERROR(IF(Q205/AVERAGEIFS($Q$12:$Q$211,$B$12:$B$211,B205)&gt;=1.2,"Good",IF(Q205/AVERAGEIFS($Q$12:$Q$211,$B$12:$B$211,B205)&gt;=0.8,"Average","Below Standard")),"Average")))</f>
        <v/>
      </c>
      <c r="S205" s="24"/>
      <c r="T205" s="24"/>
      <c r="U205" s="20"/>
      <c r="V205" s="23" t="str">
        <f aca="false">IF(OR(A205="",B205=""),"","https://www.alphanodus.com/contact?utm_source="&amp;IF(B205="X","twitter",LOWER(B205))&amp;"&amp;utm_medium=social&amp;utm_campaign="&amp;IF(D205="","general",LOWER(SUBSTITUTE(SUBSTITUTE(D205," / ","-")," ","-")))&amp;"&amp;utm_content="&amp;LOWER(LEFT(B205,2))&amp;"-"&amp;TEXT(A205,"yymmdd"))</f>
        <v/>
      </c>
    </row>
    <row r="206" customFormat="false" ht="15" hidden="false" customHeight="false" outlineLevel="0" collapsed="false">
      <c r="A206" s="25"/>
      <c r="B206" s="20"/>
      <c r="C206" s="24"/>
      <c r="D206" s="20"/>
      <c r="E206" s="20"/>
      <c r="F206" s="20"/>
      <c r="G206" s="19"/>
      <c r="H206" s="19"/>
      <c r="I206" s="19"/>
      <c r="J206" s="19"/>
      <c r="K206" s="19"/>
      <c r="L206" s="19"/>
      <c r="M206" s="19"/>
      <c r="N206" s="19"/>
      <c r="O206" s="20"/>
      <c r="P206" s="21" t="str">
        <f aca="false">IF(OR(A206="",B206=""),"",IF(COUNT(I206:M206)=0,"",SUM(I206:M206)))</f>
        <v/>
      </c>
      <c r="Q206" s="22" t="str">
        <f aca="false">IF(OR(OR(A206="",B206=""),P206=""),"",IFERROR(P206/(IF(N(H206)&gt;0,H206,IF(N(G206)&gt;0,G206,IF(COUNTIFS($B$12:$B$211,B206,$G$12:$G$211,"&gt;0")+COUNTIFS($B$12:$B$211,B206,$H$12:$H$211,"&gt;0")&gt;0,"",INDEX($B$5:$B$7,MATCH(B206,$A$5:$A$7,0)))))),""))</f>
        <v/>
      </c>
      <c r="R206" s="23" t="str">
        <f aca="false">IF(OR(A206="",B206=""),"",IF(OR(Q206="",COUNTIFS($B$12:$B$211,B206,$Q$12:$Q$211,"&gt;=0")&lt;2),"No Data Yet",IFERROR(IF(Q206/AVERAGEIFS($Q$12:$Q$211,$B$12:$B$211,B206)&gt;=1.2,"Good",IF(Q206/AVERAGEIFS($Q$12:$Q$211,$B$12:$B$211,B206)&gt;=0.8,"Average","Below Standard")),"Average")))</f>
        <v/>
      </c>
      <c r="S206" s="24"/>
      <c r="T206" s="24"/>
      <c r="U206" s="20"/>
      <c r="V206" s="23" t="str">
        <f aca="false">IF(OR(A206="",B206=""),"","https://www.alphanodus.com/contact?utm_source="&amp;IF(B206="X","twitter",LOWER(B206))&amp;"&amp;utm_medium=social&amp;utm_campaign="&amp;IF(D206="","general",LOWER(SUBSTITUTE(SUBSTITUTE(D206," / ","-")," ","-")))&amp;"&amp;utm_content="&amp;LOWER(LEFT(B206,2))&amp;"-"&amp;TEXT(A206,"yymmdd"))</f>
        <v/>
      </c>
    </row>
    <row r="207" customFormat="false" ht="15" hidden="false" customHeight="false" outlineLevel="0" collapsed="false">
      <c r="A207" s="25"/>
      <c r="B207" s="20"/>
      <c r="C207" s="24"/>
      <c r="D207" s="20"/>
      <c r="E207" s="20"/>
      <c r="F207" s="20"/>
      <c r="G207" s="19"/>
      <c r="H207" s="19"/>
      <c r="I207" s="19"/>
      <c r="J207" s="19"/>
      <c r="K207" s="19"/>
      <c r="L207" s="19"/>
      <c r="M207" s="19"/>
      <c r="N207" s="19"/>
      <c r="O207" s="20"/>
      <c r="P207" s="21" t="str">
        <f aca="false">IF(OR(A207="",B207=""),"",IF(COUNT(I207:M207)=0,"",SUM(I207:M207)))</f>
        <v/>
      </c>
      <c r="Q207" s="22" t="str">
        <f aca="false">IF(OR(OR(A207="",B207=""),P207=""),"",IFERROR(P207/(IF(N(H207)&gt;0,H207,IF(N(G207)&gt;0,G207,IF(COUNTIFS($B$12:$B$211,B207,$G$12:$G$211,"&gt;0")+COUNTIFS($B$12:$B$211,B207,$H$12:$H$211,"&gt;0")&gt;0,"",INDEX($B$5:$B$7,MATCH(B207,$A$5:$A$7,0)))))),""))</f>
        <v/>
      </c>
      <c r="R207" s="23" t="str">
        <f aca="false">IF(OR(A207="",B207=""),"",IF(OR(Q207="",COUNTIFS($B$12:$B$211,B207,$Q$12:$Q$211,"&gt;=0")&lt;2),"No Data Yet",IFERROR(IF(Q207/AVERAGEIFS($Q$12:$Q$211,$B$12:$B$211,B207)&gt;=1.2,"Good",IF(Q207/AVERAGEIFS($Q$12:$Q$211,$B$12:$B$211,B207)&gt;=0.8,"Average","Below Standard")),"Average")))</f>
        <v/>
      </c>
      <c r="S207" s="24"/>
      <c r="T207" s="24"/>
      <c r="U207" s="20"/>
      <c r="V207" s="23" t="str">
        <f aca="false">IF(OR(A207="",B207=""),"","https://www.alphanodus.com/contact?utm_source="&amp;IF(B207="X","twitter",LOWER(B207))&amp;"&amp;utm_medium=social&amp;utm_campaign="&amp;IF(D207="","general",LOWER(SUBSTITUTE(SUBSTITUTE(D207," / ","-")," ","-")))&amp;"&amp;utm_content="&amp;LOWER(LEFT(B207,2))&amp;"-"&amp;TEXT(A207,"yymmdd"))</f>
        <v/>
      </c>
    </row>
    <row r="208" customFormat="false" ht="15" hidden="false" customHeight="false" outlineLevel="0" collapsed="false">
      <c r="A208" s="25"/>
      <c r="B208" s="20"/>
      <c r="C208" s="24"/>
      <c r="D208" s="20"/>
      <c r="E208" s="20"/>
      <c r="F208" s="20"/>
      <c r="G208" s="19"/>
      <c r="H208" s="19"/>
      <c r="I208" s="19"/>
      <c r="J208" s="19"/>
      <c r="K208" s="19"/>
      <c r="L208" s="19"/>
      <c r="M208" s="19"/>
      <c r="N208" s="19"/>
      <c r="O208" s="20"/>
      <c r="P208" s="21" t="str">
        <f aca="false">IF(OR(A208="",B208=""),"",IF(COUNT(I208:M208)=0,"",SUM(I208:M208)))</f>
        <v/>
      </c>
      <c r="Q208" s="22" t="str">
        <f aca="false">IF(OR(OR(A208="",B208=""),P208=""),"",IFERROR(P208/(IF(N(H208)&gt;0,H208,IF(N(G208)&gt;0,G208,IF(COUNTIFS($B$12:$B$211,B208,$G$12:$G$211,"&gt;0")+COUNTIFS($B$12:$B$211,B208,$H$12:$H$211,"&gt;0")&gt;0,"",INDEX($B$5:$B$7,MATCH(B208,$A$5:$A$7,0)))))),""))</f>
        <v/>
      </c>
      <c r="R208" s="23" t="str">
        <f aca="false">IF(OR(A208="",B208=""),"",IF(OR(Q208="",COUNTIFS($B$12:$B$211,B208,$Q$12:$Q$211,"&gt;=0")&lt;2),"No Data Yet",IFERROR(IF(Q208/AVERAGEIFS($Q$12:$Q$211,$B$12:$B$211,B208)&gt;=1.2,"Good",IF(Q208/AVERAGEIFS($Q$12:$Q$211,$B$12:$B$211,B208)&gt;=0.8,"Average","Below Standard")),"Average")))</f>
        <v/>
      </c>
      <c r="S208" s="24"/>
      <c r="T208" s="24"/>
      <c r="U208" s="20"/>
      <c r="V208" s="23" t="str">
        <f aca="false">IF(OR(A208="",B208=""),"","https://www.alphanodus.com/contact?utm_source="&amp;IF(B208="X","twitter",LOWER(B208))&amp;"&amp;utm_medium=social&amp;utm_campaign="&amp;IF(D208="","general",LOWER(SUBSTITUTE(SUBSTITUTE(D208," / ","-")," ","-")))&amp;"&amp;utm_content="&amp;LOWER(LEFT(B208,2))&amp;"-"&amp;TEXT(A208,"yymmdd"))</f>
        <v/>
      </c>
    </row>
    <row r="209" customFormat="false" ht="15" hidden="false" customHeight="false" outlineLevel="0" collapsed="false">
      <c r="A209" s="25"/>
      <c r="B209" s="20"/>
      <c r="C209" s="24"/>
      <c r="D209" s="20"/>
      <c r="E209" s="20"/>
      <c r="F209" s="20"/>
      <c r="G209" s="19"/>
      <c r="H209" s="19"/>
      <c r="I209" s="19"/>
      <c r="J209" s="19"/>
      <c r="K209" s="19"/>
      <c r="L209" s="19"/>
      <c r="M209" s="19"/>
      <c r="N209" s="19"/>
      <c r="O209" s="20"/>
      <c r="P209" s="21" t="str">
        <f aca="false">IF(OR(A209="",B209=""),"",IF(COUNT(I209:M209)=0,"",SUM(I209:M209)))</f>
        <v/>
      </c>
      <c r="Q209" s="22" t="str">
        <f aca="false">IF(OR(OR(A209="",B209=""),P209=""),"",IFERROR(P209/(IF(N(H209)&gt;0,H209,IF(N(G209)&gt;0,G209,IF(COUNTIFS($B$12:$B$211,B209,$G$12:$G$211,"&gt;0")+COUNTIFS($B$12:$B$211,B209,$H$12:$H$211,"&gt;0")&gt;0,"",INDEX($B$5:$B$7,MATCH(B209,$A$5:$A$7,0)))))),""))</f>
        <v/>
      </c>
      <c r="R209" s="23" t="str">
        <f aca="false">IF(OR(A209="",B209=""),"",IF(OR(Q209="",COUNTIFS($B$12:$B$211,B209,$Q$12:$Q$211,"&gt;=0")&lt;2),"No Data Yet",IFERROR(IF(Q209/AVERAGEIFS($Q$12:$Q$211,$B$12:$B$211,B209)&gt;=1.2,"Good",IF(Q209/AVERAGEIFS($Q$12:$Q$211,$B$12:$B$211,B209)&gt;=0.8,"Average","Below Standard")),"Average")))</f>
        <v/>
      </c>
      <c r="S209" s="24"/>
      <c r="T209" s="24"/>
      <c r="U209" s="20"/>
      <c r="V209" s="23" t="str">
        <f aca="false">IF(OR(A209="",B209=""),"","https://www.alphanodus.com/contact?utm_source="&amp;IF(B209="X","twitter",LOWER(B209))&amp;"&amp;utm_medium=social&amp;utm_campaign="&amp;IF(D209="","general",LOWER(SUBSTITUTE(SUBSTITUTE(D209," / ","-")," ","-")))&amp;"&amp;utm_content="&amp;LOWER(LEFT(B209,2))&amp;"-"&amp;TEXT(A209,"yymmdd"))</f>
        <v/>
      </c>
    </row>
    <row r="210" customFormat="false" ht="15" hidden="false" customHeight="false" outlineLevel="0" collapsed="false">
      <c r="A210" s="25"/>
      <c r="B210" s="20"/>
      <c r="C210" s="24"/>
      <c r="D210" s="20"/>
      <c r="E210" s="20"/>
      <c r="F210" s="20"/>
      <c r="G210" s="19"/>
      <c r="H210" s="19"/>
      <c r="I210" s="19"/>
      <c r="J210" s="19"/>
      <c r="K210" s="19"/>
      <c r="L210" s="19"/>
      <c r="M210" s="19"/>
      <c r="N210" s="19"/>
      <c r="O210" s="20"/>
      <c r="P210" s="21" t="str">
        <f aca="false">IF(OR(A210="",B210=""),"",IF(COUNT(I210:M210)=0,"",SUM(I210:M210)))</f>
        <v/>
      </c>
      <c r="Q210" s="22" t="str">
        <f aca="false">IF(OR(OR(A210="",B210=""),P210=""),"",IFERROR(P210/(IF(N(H210)&gt;0,H210,IF(N(G210)&gt;0,G210,IF(COUNTIFS($B$12:$B$211,B210,$G$12:$G$211,"&gt;0")+COUNTIFS($B$12:$B$211,B210,$H$12:$H$211,"&gt;0")&gt;0,"",INDEX($B$5:$B$7,MATCH(B210,$A$5:$A$7,0)))))),""))</f>
        <v/>
      </c>
      <c r="R210" s="23" t="str">
        <f aca="false">IF(OR(A210="",B210=""),"",IF(OR(Q210="",COUNTIFS($B$12:$B$211,B210,$Q$12:$Q$211,"&gt;=0")&lt;2),"No Data Yet",IFERROR(IF(Q210/AVERAGEIFS($Q$12:$Q$211,$B$12:$B$211,B210)&gt;=1.2,"Good",IF(Q210/AVERAGEIFS($Q$12:$Q$211,$B$12:$B$211,B210)&gt;=0.8,"Average","Below Standard")),"Average")))</f>
        <v/>
      </c>
      <c r="S210" s="24"/>
      <c r="T210" s="24"/>
      <c r="U210" s="20"/>
      <c r="V210" s="23" t="str">
        <f aca="false">IF(OR(A210="",B210=""),"","https://www.alphanodus.com/contact?utm_source="&amp;IF(B210="X","twitter",LOWER(B210))&amp;"&amp;utm_medium=social&amp;utm_campaign="&amp;IF(D210="","general",LOWER(SUBSTITUTE(SUBSTITUTE(D210," / ","-")," ","-")))&amp;"&amp;utm_content="&amp;LOWER(LEFT(B210,2))&amp;"-"&amp;TEXT(A210,"yymmdd"))</f>
        <v/>
      </c>
    </row>
    <row r="211" customFormat="false" ht="15" hidden="false" customHeight="false" outlineLevel="0" collapsed="false">
      <c r="A211" s="25"/>
      <c r="B211" s="20"/>
      <c r="C211" s="24"/>
      <c r="D211" s="20"/>
      <c r="E211" s="20"/>
      <c r="F211" s="20"/>
      <c r="G211" s="19"/>
      <c r="H211" s="19"/>
      <c r="I211" s="19"/>
      <c r="J211" s="19"/>
      <c r="K211" s="19"/>
      <c r="L211" s="19"/>
      <c r="M211" s="19"/>
      <c r="N211" s="19"/>
      <c r="O211" s="20"/>
      <c r="P211" s="21" t="str">
        <f aca="false">IF(OR(A211="",B211=""),"",IF(COUNT(I211:M211)=0,"",SUM(I211:M211)))</f>
        <v/>
      </c>
      <c r="Q211" s="22" t="str">
        <f aca="false">IF(OR(OR(A211="",B211=""),P211=""),"",IFERROR(P211/(IF(N(H211)&gt;0,H211,IF(N(G211)&gt;0,G211,IF(COUNTIFS($B$12:$B$211,B211,$G$12:$G$211,"&gt;0")+COUNTIFS($B$12:$B$211,B211,$H$12:$H$211,"&gt;0")&gt;0,"",INDEX($B$5:$B$7,MATCH(B211,$A$5:$A$7,0)))))),""))</f>
        <v/>
      </c>
      <c r="R211" s="23" t="str">
        <f aca="false">IF(OR(A211="",B211=""),"",IF(OR(Q211="",COUNTIFS($B$12:$B$211,B211,$Q$12:$Q$211,"&gt;=0")&lt;2),"No Data Yet",IFERROR(IF(Q211/AVERAGEIFS($Q$12:$Q$211,$B$12:$B$211,B211)&gt;=1.2,"Good",IF(Q211/AVERAGEIFS($Q$12:$Q$211,$B$12:$B$211,B211)&gt;=0.8,"Average","Below Standard")),"Average")))</f>
        <v/>
      </c>
      <c r="S211" s="24"/>
      <c r="T211" s="24"/>
      <c r="U211" s="20"/>
      <c r="V211" s="23" t="str">
        <f aca="false">IF(OR(A211="",B211=""),"","https://www.alphanodus.com/contact?utm_source="&amp;IF(B211="X","twitter",LOWER(B211))&amp;"&amp;utm_medium=social&amp;utm_campaign="&amp;IF(D211="","general",LOWER(SUBSTITUTE(SUBSTITUTE(D211," / ","-")," ","-")))&amp;"&amp;utm_content="&amp;LOWER(LEFT(B211,2))&amp;"-"&amp;TEXT(A211,"yymmdd"))</f>
        <v/>
      </c>
    </row>
  </sheetData>
  <autoFilter ref="A11:V211"/>
  <conditionalFormatting sqref="R12:R211">
    <cfRule type="cellIs" priority="2" operator="equal" aboveAverage="0" equalAverage="0" bottom="0" percent="0" rank="0" text="" dxfId="14">
      <formula>"Good"</formula>
    </cfRule>
    <cfRule type="cellIs" priority="3" operator="equal" aboveAverage="0" equalAverage="0" bottom="0" percent="0" rank="0" text="" dxfId="15">
      <formula>"Average"</formula>
    </cfRule>
    <cfRule type="cellIs" priority="4" operator="equal" aboveAverage="0" equalAverage="0" bottom="0" percent="0" rank="0" text="" dxfId="16">
      <formula>"Below Standard"</formula>
    </cfRule>
    <cfRule type="cellIs" priority="5" operator="equal" aboveAverage="0" equalAverage="0" bottom="0" percent="0" rank="0" text="" dxfId="17">
      <formula>"No Data Yet"</formula>
    </cfRule>
  </conditionalFormatting>
  <conditionalFormatting sqref="U12:U211">
    <cfRule type="cellIs" priority="6" operator="equal" aboveAverage="0" equalAverage="0" bottom="0" percent="0" rank="0" text="" dxfId="18">
      <formula>"Repeat"</formula>
    </cfRule>
    <cfRule type="cellIs" priority="7" operator="equal" aboveAverage="0" equalAverage="0" bottom="0" percent="0" rank="0" text="" dxfId="19">
      <formula>"Improve &amp; Retry"</formula>
    </cfRule>
    <cfRule type="cellIs" priority="8" operator="equal" aboveAverage="0" equalAverage="0" bottom="0" percent="0" rank="0" text="" dxfId="20">
      <formula>"Stop"</formula>
    </cfRule>
    <cfRule type="cellIs" priority="9" operator="equal" aboveAverage="0" equalAverage="0" bottom="0" percent="0" rank="0" text="" dxfId="21">
      <formula>"Wait for Data"</formula>
    </cfRule>
  </conditionalFormatting>
  <dataValidations count="5">
    <dataValidation allowBlank="true" errorStyle="stop" operator="between" showDropDown="false" showErrorMessage="false" showInputMessage="false" sqref="B12:B211" type="list">
      <formula1>"LinkedIn,Instagram,X,Facebook,YouTube"</formula1>
      <formula2>0</formula2>
    </dataValidation>
    <dataValidation allowBlank="true" errorStyle="stop" operator="between" showDropDown="false" showErrorMessage="false" showInputMessage="false" sqref="D12:D211" type="list">
      <formula1>"Product / Demo,Operations Tips,Revenue Cycle,Industry Insight,Case Study,Thought Leadership,Testimonial,Regulatory,Team / Culture,Event"</formula1>
      <formula2>0</formula2>
    </dataValidation>
    <dataValidation allowBlank="true" errorStyle="stop" operator="between" showDropDown="false" showErrorMessage="false" showInputMessage="false" sqref="E12:E211" type="list">
      <formula1>"Stat / Number,Question,Story,Contrarian,How-To / List,Customer Quote,News"</formula1>
      <formula2>0</formula2>
    </dataValidation>
    <dataValidation allowBlank="true" errorStyle="stop" operator="between" showDropDown="false" showErrorMessage="false" showInputMessage="false" sqref="O12:O211" type="list">
      <formula1>"Yes,No,Not Checked"</formula1>
      <formula2>0</formula2>
    </dataValidation>
    <dataValidation allowBlank="true" errorStyle="stop" operator="between" showDropDown="false" showErrorMessage="false" showInputMessage="false" sqref="U12:U211" type="list">
      <formula1>"Repeat,Improve &amp; Retry,Stop,Wait for Data"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2026-09-28T22:35:51Z</dcterms:created>
  <dc:creator>openpyxl</dc:creator>
  <dc:description/>
  <dc:language>en-US</dc:language>
  <cp:lastModifiedBy/>
  <dcterms:modified xsi:type="dcterms:W3CDTF">2026-09-28T22:35:52Z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